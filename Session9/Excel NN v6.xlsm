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630" yWindow="0" windowWidth="20730" windowHeight="11760" activeTab="1"/>
  </bookViews>
  <sheets>
    <sheet name="Activation Functions" sheetId="3" r:id="rId1"/>
    <sheet name="XOR" sheetId="7" r:id="rId2"/>
    <sheet name="conv-example" sheetId="8" r:id="rId3"/>
    <sheet name="Max Pooling" sheetId="9" r:id="rId4"/>
  </sheets>
  <definedNames>
    <definedName name="current_Row" localSheetId="1">XOR!$E$10</definedName>
    <definedName name="current_Row">#REF!</definedName>
    <definedName name="sigmoid_slope" localSheetId="1">XOR!$M$34</definedName>
    <definedName name="sigmoid_slope">#REF!</definedName>
    <definedName name="solver_adj" localSheetId="1" hidden="1">XOR!$AK$18:$AK$28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XOR!$G$29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G2" i="9" l="1"/>
  <c r="F7" i="9" l="1"/>
  <c r="D9" i="9"/>
  <c r="F9" i="9"/>
  <c r="D7" i="9"/>
  <c r="CH57" i="8"/>
  <c r="BZ57" i="8"/>
  <c r="BG57" i="8"/>
  <c r="CJ57" i="8" s="1"/>
  <c r="BG57" i="8" a="1"/>
  <c r="BF57" i="8" a="1"/>
  <c r="BF57" i="8" s="1"/>
  <c r="CI57" i="8" s="1"/>
  <c r="BE57" i="8" a="1"/>
  <c r="BE57" i="8" s="1"/>
  <c r="BD57" i="8" a="1"/>
  <c r="BD57" i="8" s="1"/>
  <c r="CG57" i="8" s="1"/>
  <c r="BC57" i="8"/>
  <c r="CF57" i="8" s="1"/>
  <c r="BC57" i="8" a="1"/>
  <c r="BB57" i="8" a="1"/>
  <c r="BB57" i="8" s="1"/>
  <c r="CE57" i="8" s="1"/>
  <c r="BA57" i="8" a="1"/>
  <c r="BA57" i="8" s="1"/>
  <c r="CD57" i="8" s="1"/>
  <c r="AZ57" i="8" a="1"/>
  <c r="AZ57" i="8" s="1"/>
  <c r="CC57" i="8" s="1"/>
  <c r="AY57" i="8"/>
  <c r="CB57" i="8" s="1"/>
  <c r="AY57" i="8" a="1"/>
  <c r="AX57" i="8" a="1"/>
  <c r="AX57" i="8" s="1"/>
  <c r="CA57" i="8" s="1"/>
  <c r="AW57" i="8" a="1"/>
  <c r="AW57" i="8" s="1"/>
  <c r="AV57" i="8" a="1"/>
  <c r="AV57" i="8" s="1"/>
  <c r="BY57" i="8" s="1"/>
  <c r="AU57" i="8"/>
  <c r="BX57" i="8" s="1"/>
  <c r="AU57" i="8" a="1"/>
  <c r="AT57" i="8" a="1"/>
  <c r="AT57" i="8" s="1"/>
  <c r="BW57" i="8" s="1"/>
  <c r="AS57" i="8" a="1"/>
  <c r="AS57" i="8" s="1"/>
  <c r="BV57" i="8" s="1"/>
  <c r="AR57" i="8" a="1"/>
  <c r="AR57" i="8" s="1"/>
  <c r="BU57" i="8" s="1"/>
  <c r="AQ57" i="8"/>
  <c r="BT57" i="8" s="1"/>
  <c r="AQ57" i="8" a="1"/>
  <c r="AP57" i="8" a="1"/>
  <c r="AP57" i="8" s="1"/>
  <c r="BS57" i="8" s="1"/>
  <c r="AO57" i="8" a="1"/>
  <c r="AO57" i="8" s="1"/>
  <c r="BR57" i="8" s="1"/>
  <c r="AN57" i="8" a="1"/>
  <c r="AN57" i="8" s="1"/>
  <c r="BQ57" i="8" s="1"/>
  <c r="AM57" i="8"/>
  <c r="BP57" i="8" s="1"/>
  <c r="AM57" i="8" a="1"/>
  <c r="AL57" i="8" a="1"/>
  <c r="AL57" i="8" s="1"/>
  <c r="BO57" i="8" s="1"/>
  <c r="AK57" i="8" a="1"/>
  <c r="AK57" i="8" s="1"/>
  <c r="BN57" i="8" s="1"/>
  <c r="AJ57" i="8" a="1"/>
  <c r="AJ57" i="8" s="1"/>
  <c r="BM57" i="8" s="1"/>
  <c r="AI57" i="8"/>
  <c r="BL57" i="8" s="1"/>
  <c r="AI57" i="8" a="1"/>
  <c r="AH57" i="8" a="1"/>
  <c r="AH57" i="8" s="1"/>
  <c r="BK57" i="8" s="1"/>
  <c r="CH56" i="8"/>
  <c r="BG56" i="8"/>
  <c r="CJ56" i="8" s="1"/>
  <c r="BG56" i="8" a="1"/>
  <c r="BF56" i="8" a="1"/>
  <c r="BF56" i="8" s="1"/>
  <c r="CI56" i="8" s="1"/>
  <c r="BE56" i="8" a="1"/>
  <c r="BE56" i="8" s="1"/>
  <c r="BD56" i="8" a="1"/>
  <c r="BD56" i="8" s="1"/>
  <c r="CG56" i="8" s="1"/>
  <c r="BC56" i="8"/>
  <c r="CF56" i="8" s="1"/>
  <c r="BC56" i="8" a="1"/>
  <c r="BB56" i="8" a="1"/>
  <c r="BB56" i="8" s="1"/>
  <c r="CE56" i="8" s="1"/>
  <c r="BA56" i="8" a="1"/>
  <c r="BA56" i="8" s="1"/>
  <c r="CD56" i="8" s="1"/>
  <c r="AZ56" i="8" a="1"/>
  <c r="AZ56" i="8" s="1"/>
  <c r="CC56" i="8" s="1"/>
  <c r="AY56" i="8"/>
  <c r="CB56" i="8" s="1"/>
  <c r="AY56" i="8" a="1"/>
  <c r="AX56" i="8" a="1"/>
  <c r="AX56" i="8" s="1"/>
  <c r="CA56" i="8" s="1"/>
  <c r="AW56" i="8" a="1"/>
  <c r="AW56" i="8" s="1"/>
  <c r="BZ56" i="8" s="1"/>
  <c r="AV56" i="8" a="1"/>
  <c r="AV56" i="8" s="1"/>
  <c r="BY56" i="8" s="1"/>
  <c r="AU56" i="8"/>
  <c r="BX56" i="8" s="1"/>
  <c r="AU56" i="8" a="1"/>
  <c r="AT56" i="8" a="1"/>
  <c r="AT56" i="8" s="1"/>
  <c r="BW56" i="8" s="1"/>
  <c r="AS56" i="8" a="1"/>
  <c r="AS56" i="8" s="1"/>
  <c r="BV56" i="8" s="1"/>
  <c r="AR56" i="8" a="1"/>
  <c r="AR56" i="8" s="1"/>
  <c r="BU56" i="8" s="1"/>
  <c r="AQ56" i="8"/>
  <c r="BT56" i="8" s="1"/>
  <c r="AQ56" i="8" a="1"/>
  <c r="AP56" i="8" a="1"/>
  <c r="AP56" i="8" s="1"/>
  <c r="BS56" i="8" s="1"/>
  <c r="AO56" i="8" a="1"/>
  <c r="AO56" i="8" s="1"/>
  <c r="BR56" i="8" s="1"/>
  <c r="AN56" i="8" a="1"/>
  <c r="AN56" i="8" s="1"/>
  <c r="BQ56" i="8" s="1"/>
  <c r="AM56" i="8"/>
  <c r="BP56" i="8" s="1"/>
  <c r="AM56" i="8" a="1"/>
  <c r="AL56" i="8" a="1"/>
  <c r="AL56" i="8" s="1"/>
  <c r="BO56" i="8" s="1"/>
  <c r="AK56" i="8" a="1"/>
  <c r="AK56" i="8" s="1"/>
  <c r="BN56" i="8" s="1"/>
  <c r="AJ56" i="8" a="1"/>
  <c r="AJ56" i="8" s="1"/>
  <c r="BM56" i="8" s="1"/>
  <c r="AI56" i="8"/>
  <c r="BL56" i="8" s="1"/>
  <c r="AI56" i="8" a="1"/>
  <c r="AH56" i="8" a="1"/>
  <c r="AH56" i="8" s="1"/>
  <c r="BK56" i="8" s="1"/>
  <c r="CJ55" i="8"/>
  <c r="CH55" i="8"/>
  <c r="CE55" i="8"/>
  <c r="CB55" i="8"/>
  <c r="BT55" i="8"/>
  <c r="BL55" i="8"/>
  <c r="BG55" i="8"/>
  <c r="BG55" i="8" a="1"/>
  <c r="BF55" i="8" a="1"/>
  <c r="BF55" i="8" s="1"/>
  <c r="CI55" i="8" s="1"/>
  <c r="BE55" i="8"/>
  <c r="BE55" i="8" a="1"/>
  <c r="BD55" i="8"/>
  <c r="CG55" i="8" s="1"/>
  <c r="BD55" i="8" a="1"/>
  <c r="BC55" i="8"/>
  <c r="CF55" i="8" s="1"/>
  <c r="BC55" i="8" a="1"/>
  <c r="BB55" i="8" a="1"/>
  <c r="BB55" i="8" s="1"/>
  <c r="BA55" i="8" a="1"/>
  <c r="BA55" i="8" s="1"/>
  <c r="CD55" i="8" s="1"/>
  <c r="AZ55" i="8"/>
  <c r="CC55" i="8" s="1"/>
  <c r="AZ55" i="8" a="1"/>
  <c r="AY55" i="8"/>
  <c r="AY55" i="8" a="1"/>
  <c r="AX55" i="8" a="1"/>
  <c r="AX55" i="8" s="1"/>
  <c r="CA55" i="8" s="1"/>
  <c r="AW55" i="8" a="1"/>
  <c r="AW55" i="8" s="1"/>
  <c r="BZ55" i="8" s="1"/>
  <c r="AV55" i="8"/>
  <c r="BY55" i="8" s="1"/>
  <c r="AV55" i="8" a="1"/>
  <c r="AU55" i="8"/>
  <c r="BX55" i="8" s="1"/>
  <c r="AU55" i="8" a="1"/>
  <c r="AT55" i="8" a="1"/>
  <c r="AT55" i="8" s="1"/>
  <c r="BW55" i="8" s="1"/>
  <c r="AS55" i="8" a="1"/>
  <c r="AS55" i="8" s="1"/>
  <c r="BV55" i="8" s="1"/>
  <c r="AR55" i="8"/>
  <c r="BU55" i="8" s="1"/>
  <c r="AR55" i="8" a="1"/>
  <c r="AQ55" i="8"/>
  <c r="AQ55" i="8" a="1"/>
  <c r="AP55" i="8" a="1"/>
  <c r="AP55" i="8" s="1"/>
  <c r="BS55" i="8" s="1"/>
  <c r="AO55" i="8" a="1"/>
  <c r="AO55" i="8" s="1"/>
  <c r="BR55" i="8" s="1"/>
  <c r="AN55" i="8"/>
  <c r="BQ55" i="8" s="1"/>
  <c r="AN55" i="8" a="1"/>
  <c r="AM55" i="8"/>
  <c r="BP55" i="8" s="1"/>
  <c r="AM55" i="8" a="1"/>
  <c r="AL55" i="8" a="1"/>
  <c r="AL55" i="8" s="1"/>
  <c r="BO55" i="8" s="1"/>
  <c r="AK55" i="8" a="1"/>
  <c r="AK55" i="8" s="1"/>
  <c r="BN55" i="8" s="1"/>
  <c r="AJ55" i="8"/>
  <c r="BM55" i="8" s="1"/>
  <c r="AJ55" i="8" a="1"/>
  <c r="AI55" i="8"/>
  <c r="AI55" i="8" a="1"/>
  <c r="AH55" i="8" a="1"/>
  <c r="AH55" i="8" s="1"/>
  <c r="BK55" i="8" s="1"/>
  <c r="CE54" i="8"/>
  <c r="CB54" i="8"/>
  <c r="BZ54" i="8"/>
  <c r="BU54" i="8"/>
  <c r="BO54" i="8"/>
  <c r="BL54" i="8"/>
  <c r="BG54" i="8"/>
  <c r="CJ54" i="8" s="1"/>
  <c r="BG54" i="8" a="1"/>
  <c r="BF54" i="8" a="1"/>
  <c r="BF54" i="8" s="1"/>
  <c r="CI54" i="8" s="1"/>
  <c r="BE54" i="8" a="1"/>
  <c r="BE54" i="8" s="1"/>
  <c r="CH54" i="8" s="1"/>
  <c r="BD54" i="8"/>
  <c r="CG54" i="8" s="1"/>
  <c r="BD54" i="8" a="1"/>
  <c r="BC54" i="8"/>
  <c r="CF54" i="8" s="1"/>
  <c r="BC54" i="8" a="1"/>
  <c r="BB54" i="8" a="1"/>
  <c r="BB54" i="8" s="1"/>
  <c r="BA54" i="8" a="1"/>
  <c r="BA54" i="8" s="1"/>
  <c r="CD54" i="8" s="1"/>
  <c r="AZ54" i="8"/>
  <c r="CC54" i="8" s="1"/>
  <c r="AZ54" i="8" a="1"/>
  <c r="AY54" i="8"/>
  <c r="AY54" i="8" a="1"/>
  <c r="AX54" i="8" a="1"/>
  <c r="AX54" i="8" s="1"/>
  <c r="CA54" i="8" s="1"/>
  <c r="AW54" i="8" a="1"/>
  <c r="AW54" i="8" s="1"/>
  <c r="AV54" i="8"/>
  <c r="BY54" i="8" s="1"/>
  <c r="AV54" i="8" a="1"/>
  <c r="AU54" i="8"/>
  <c r="BX54" i="8" s="1"/>
  <c r="AU54" i="8" a="1"/>
  <c r="AT54" i="8" a="1"/>
  <c r="AT54" i="8" s="1"/>
  <c r="BW54" i="8" s="1"/>
  <c r="AS54" i="8" a="1"/>
  <c r="AS54" i="8" s="1"/>
  <c r="BV54" i="8" s="1"/>
  <c r="AR54" i="8"/>
  <c r="AR54" i="8" a="1"/>
  <c r="AQ54" i="8"/>
  <c r="BT54" i="8" s="1"/>
  <c r="AQ54" i="8" a="1"/>
  <c r="AP54" i="8" a="1"/>
  <c r="AP54" i="8" s="1"/>
  <c r="BS54" i="8" s="1"/>
  <c r="AO54" i="8" a="1"/>
  <c r="AO54" i="8" s="1"/>
  <c r="BR54" i="8" s="1"/>
  <c r="AN54" i="8"/>
  <c r="BQ54" i="8" s="1"/>
  <c r="AN54" i="8" a="1"/>
  <c r="AM54" i="8"/>
  <c r="BP54" i="8" s="1"/>
  <c r="AM54" i="8" a="1"/>
  <c r="AL54" i="8" a="1"/>
  <c r="AL54" i="8" s="1"/>
  <c r="AK54" i="8" a="1"/>
  <c r="AK54" i="8" s="1"/>
  <c r="BN54" i="8" s="1"/>
  <c r="AJ54" i="8"/>
  <c r="BM54" i="8" s="1"/>
  <c r="AJ54" i="8" a="1"/>
  <c r="AI54" i="8"/>
  <c r="AI54" i="8" a="1"/>
  <c r="AH54" i="8" a="1"/>
  <c r="AH54" i="8" s="1"/>
  <c r="BK54" i="8" s="1"/>
  <c r="CH53" i="8"/>
  <c r="CE53" i="8"/>
  <c r="CC53" i="8"/>
  <c r="BZ53" i="8"/>
  <c r="BY53" i="8"/>
  <c r="BU53" i="8"/>
  <c r="BM53" i="8"/>
  <c r="BG53" i="8" a="1"/>
  <c r="BG53" i="8" s="1"/>
  <c r="CJ53" i="8" s="1"/>
  <c r="BF53" i="8" a="1"/>
  <c r="BF53" i="8" s="1"/>
  <c r="CI53" i="8" s="1"/>
  <c r="BE53" i="8" a="1"/>
  <c r="BE53" i="8" s="1"/>
  <c r="BD53" i="8"/>
  <c r="CG53" i="8" s="1"/>
  <c r="BD53" i="8" a="1"/>
  <c r="BC53" i="8"/>
  <c r="CF53" i="8" s="1"/>
  <c r="BC53" i="8" a="1"/>
  <c r="BB53" i="8" a="1"/>
  <c r="BB53" i="8" s="1"/>
  <c r="BA53" i="8" a="1"/>
  <c r="BA53" i="8" s="1"/>
  <c r="CD53" i="8" s="1"/>
  <c r="AZ53" i="8"/>
  <c r="AZ53" i="8" a="1"/>
  <c r="AY53" i="8"/>
  <c r="CB53" i="8" s="1"/>
  <c r="AY53" i="8" a="1"/>
  <c r="AX53" i="8" a="1"/>
  <c r="AX53" i="8" s="1"/>
  <c r="CA53" i="8" s="1"/>
  <c r="AW53" i="8" a="1"/>
  <c r="AW53" i="8" s="1"/>
  <c r="AV53" i="8"/>
  <c r="AV53" i="8" a="1"/>
  <c r="AU53" i="8" a="1"/>
  <c r="AU53" i="8" s="1"/>
  <c r="BX53" i="8" s="1"/>
  <c r="AT53" i="8" a="1"/>
  <c r="AT53" i="8" s="1"/>
  <c r="BW53" i="8" s="1"/>
  <c r="AS53" i="8" a="1"/>
  <c r="AS53" i="8" s="1"/>
  <c r="BV53" i="8" s="1"/>
  <c r="AR53" i="8"/>
  <c r="AR53" i="8" a="1"/>
  <c r="AQ53" i="8" a="1"/>
  <c r="AQ53" i="8" s="1"/>
  <c r="BT53" i="8" s="1"/>
  <c r="AP53" i="8" a="1"/>
  <c r="AP53" i="8" s="1"/>
  <c r="BS53" i="8" s="1"/>
  <c r="AO53" i="8" a="1"/>
  <c r="AO53" i="8" s="1"/>
  <c r="BR53" i="8" s="1"/>
  <c r="AN53" i="8"/>
  <c r="BQ53" i="8" s="1"/>
  <c r="AN53" i="8" a="1"/>
  <c r="AM53" i="8"/>
  <c r="BP53" i="8" s="1"/>
  <c r="AM53" i="8" a="1"/>
  <c r="AL53" i="8" a="1"/>
  <c r="AL53" i="8" s="1"/>
  <c r="BO53" i="8" s="1"/>
  <c r="AK53" i="8" a="1"/>
  <c r="AK53" i="8" s="1"/>
  <c r="BN53" i="8" s="1"/>
  <c r="AJ53" i="8"/>
  <c r="AJ53" i="8" a="1"/>
  <c r="AI53" i="8"/>
  <c r="BL53" i="8" s="1"/>
  <c r="AI53" i="8" a="1"/>
  <c r="AH53" i="8" a="1"/>
  <c r="AH53" i="8" s="1"/>
  <c r="BK53" i="8" s="1"/>
  <c r="CH52" i="8"/>
  <c r="BZ52" i="8"/>
  <c r="BW52" i="8"/>
  <c r="BS52" i="8"/>
  <c r="BO52" i="8"/>
  <c r="BL52" i="8"/>
  <c r="BG52" i="8" a="1"/>
  <c r="BG52" i="8" s="1"/>
  <c r="CJ52" i="8" s="1"/>
  <c r="BF52" i="8" a="1"/>
  <c r="BF52" i="8" s="1"/>
  <c r="CI52" i="8" s="1"/>
  <c r="BE52" i="8" a="1"/>
  <c r="BE52" i="8" s="1"/>
  <c r="BD52" i="8"/>
  <c r="CG52" i="8" s="1"/>
  <c r="BD52" i="8" a="1"/>
  <c r="BC52" i="8"/>
  <c r="CF52" i="8" s="1"/>
  <c r="BC52" i="8" a="1"/>
  <c r="BB52" i="8" a="1"/>
  <c r="BB52" i="8" s="1"/>
  <c r="CE52" i="8" s="1"/>
  <c r="BA52" i="8" a="1"/>
  <c r="BA52" i="8" s="1"/>
  <c r="CD52" i="8" s="1"/>
  <c r="AZ52" i="8" a="1"/>
  <c r="AZ52" i="8" s="1"/>
  <c r="CC52" i="8" s="1"/>
  <c r="AY52" i="8"/>
  <c r="CB52" i="8" s="1"/>
  <c r="AY52" i="8" a="1"/>
  <c r="AX52" i="8" a="1"/>
  <c r="AX52" i="8" s="1"/>
  <c r="CA52" i="8" s="1"/>
  <c r="AW52" i="8" a="1"/>
  <c r="AW52" i="8" s="1"/>
  <c r="AV52" i="8" a="1"/>
  <c r="AV52" i="8" s="1"/>
  <c r="BY52" i="8" s="1"/>
  <c r="AU52" i="8" a="1"/>
  <c r="AU52" i="8" s="1"/>
  <c r="BX52" i="8" s="1"/>
  <c r="AT52" i="8" a="1"/>
  <c r="AT52" i="8" s="1"/>
  <c r="AS52" i="8" a="1"/>
  <c r="AS52" i="8" s="1"/>
  <c r="BV52" i="8" s="1"/>
  <c r="AR52" i="8"/>
  <c r="BU52" i="8" s="1"/>
  <c r="AR52" i="8" a="1"/>
  <c r="AQ52" i="8" a="1"/>
  <c r="AQ52" i="8" s="1"/>
  <c r="BT52" i="8" s="1"/>
  <c r="AP52" i="8" a="1"/>
  <c r="AP52" i="8" s="1"/>
  <c r="AO52" i="8" a="1"/>
  <c r="AO52" i="8" s="1"/>
  <c r="BR52" i="8" s="1"/>
  <c r="AN52" i="8"/>
  <c r="BQ52" i="8" s="1"/>
  <c r="AN52" i="8" a="1"/>
  <c r="AM52" i="8"/>
  <c r="BP52" i="8" s="1"/>
  <c r="AM52" i="8" a="1"/>
  <c r="AL52" i="8" a="1"/>
  <c r="AL52" i="8" s="1"/>
  <c r="AK52" i="8" a="1"/>
  <c r="AK52" i="8" s="1"/>
  <c r="BN52" i="8" s="1"/>
  <c r="AJ52" i="8" a="1"/>
  <c r="AJ52" i="8" s="1"/>
  <c r="BM52" i="8" s="1"/>
  <c r="AI52" i="8"/>
  <c r="AI52" i="8" a="1"/>
  <c r="AH52" i="8" a="1"/>
  <c r="AH52" i="8" s="1"/>
  <c r="BK52" i="8" s="1"/>
  <c r="CJ51" i="8"/>
  <c r="BT51" i="8"/>
  <c r="BL51" i="8"/>
  <c r="BG51" i="8" a="1"/>
  <c r="BG51" i="8" s="1"/>
  <c r="BF51" i="8" a="1"/>
  <c r="BF51" i="8" s="1"/>
  <c r="CI51" i="8" s="1"/>
  <c r="BE51" i="8"/>
  <c r="CH51" i="8" s="1"/>
  <c r="BE51" i="8" a="1"/>
  <c r="BD51" i="8"/>
  <c r="CG51" i="8" s="1"/>
  <c r="BD51" i="8" a="1"/>
  <c r="BC51" i="8" a="1"/>
  <c r="BC51" i="8" s="1"/>
  <c r="CF51" i="8" s="1"/>
  <c r="BB51" i="8" a="1"/>
  <c r="BB51" i="8" s="1"/>
  <c r="CE51" i="8" s="1"/>
  <c r="BA51" i="8"/>
  <c r="CD51" i="8" s="1"/>
  <c r="BA51" i="8" a="1"/>
  <c r="AZ51" i="8"/>
  <c r="CC51" i="8" s="1"/>
  <c r="AZ51" i="8" a="1"/>
  <c r="AY51" i="8" a="1"/>
  <c r="AY51" i="8" s="1"/>
  <c r="CB51" i="8" s="1"/>
  <c r="AX51" i="8" a="1"/>
  <c r="AX51" i="8" s="1"/>
  <c r="CA51" i="8" s="1"/>
  <c r="AW51" i="8"/>
  <c r="BZ51" i="8" s="1"/>
  <c r="AW51" i="8" a="1"/>
  <c r="AV51" i="8"/>
  <c r="BY51" i="8" s="1"/>
  <c r="AV51" i="8" a="1"/>
  <c r="AU51" i="8" a="1"/>
  <c r="AU51" i="8" s="1"/>
  <c r="BX51" i="8" s="1"/>
  <c r="AT51" i="8" a="1"/>
  <c r="AT51" i="8" s="1"/>
  <c r="BW51" i="8" s="1"/>
  <c r="AS51" i="8"/>
  <c r="BV51" i="8" s="1"/>
  <c r="AS51" i="8" a="1"/>
  <c r="AR51" i="8"/>
  <c r="BU51" i="8" s="1"/>
  <c r="AR51" i="8" a="1"/>
  <c r="AQ51" i="8" a="1"/>
  <c r="AQ51" i="8" s="1"/>
  <c r="AP51" i="8" a="1"/>
  <c r="AP51" i="8" s="1"/>
  <c r="BS51" i="8" s="1"/>
  <c r="AO51" i="8"/>
  <c r="BR51" i="8" s="1"/>
  <c r="AO51" i="8" a="1"/>
  <c r="AN51" i="8"/>
  <c r="BQ51" i="8" s="1"/>
  <c r="AN51" i="8" a="1"/>
  <c r="AM51" i="8" a="1"/>
  <c r="AM51" i="8" s="1"/>
  <c r="BP51" i="8" s="1"/>
  <c r="AL51" i="8" a="1"/>
  <c r="AL51" i="8" s="1"/>
  <c r="BO51" i="8" s="1"/>
  <c r="AK51" i="8"/>
  <c r="BN51" i="8" s="1"/>
  <c r="AK51" i="8" a="1"/>
  <c r="AJ51" i="8"/>
  <c r="BM51" i="8" s="1"/>
  <c r="AJ51" i="8" a="1"/>
  <c r="AI51" i="8" a="1"/>
  <c r="AI51" i="8" s="1"/>
  <c r="AH51" i="8" a="1"/>
  <c r="AH51" i="8" s="1"/>
  <c r="BK51" i="8" s="1"/>
  <c r="CJ50" i="8"/>
  <c r="CB50" i="8"/>
  <c r="BT50" i="8"/>
  <c r="BG50" i="8" a="1"/>
  <c r="BG50" i="8" s="1"/>
  <c r="BF50" i="8" a="1"/>
  <c r="BF50" i="8" s="1"/>
  <c r="CI50" i="8" s="1"/>
  <c r="BE50" i="8" a="1"/>
  <c r="BE50" i="8" s="1"/>
  <c r="CH50" i="8" s="1"/>
  <c r="BD50" i="8"/>
  <c r="CG50" i="8" s="1"/>
  <c r="BD50" i="8" a="1"/>
  <c r="BC50" i="8" a="1"/>
  <c r="BC50" i="8" s="1"/>
  <c r="CF50" i="8" s="1"/>
  <c r="BB50" i="8" a="1"/>
  <c r="BB50" i="8" s="1"/>
  <c r="CE50" i="8" s="1"/>
  <c r="BA50" i="8" a="1"/>
  <c r="BA50" i="8" s="1"/>
  <c r="CD50" i="8" s="1"/>
  <c r="AZ50" i="8"/>
  <c r="CC50" i="8" s="1"/>
  <c r="AZ50" i="8" a="1"/>
  <c r="AY50" i="8" a="1"/>
  <c r="AY50" i="8" s="1"/>
  <c r="AX50" i="8" a="1"/>
  <c r="AX50" i="8" s="1"/>
  <c r="CA50" i="8" s="1"/>
  <c r="AW50" i="8" a="1"/>
  <c r="AW50" i="8" s="1"/>
  <c r="BZ50" i="8" s="1"/>
  <c r="AV50" i="8"/>
  <c r="BY50" i="8" s="1"/>
  <c r="AV50" i="8" a="1"/>
  <c r="AU50" i="8" a="1"/>
  <c r="AU50" i="8" s="1"/>
  <c r="BX50" i="8" s="1"/>
  <c r="AT50" i="8" a="1"/>
  <c r="AT50" i="8" s="1"/>
  <c r="BW50" i="8" s="1"/>
  <c r="AS50" i="8" a="1"/>
  <c r="AS50" i="8" s="1"/>
  <c r="BV50" i="8" s="1"/>
  <c r="AR50" i="8"/>
  <c r="BU50" i="8" s="1"/>
  <c r="AR50" i="8" a="1"/>
  <c r="AQ50" i="8" a="1"/>
  <c r="AQ50" i="8" s="1"/>
  <c r="AP50" i="8" a="1"/>
  <c r="AP50" i="8" s="1"/>
  <c r="BS50" i="8" s="1"/>
  <c r="AO50" i="8" a="1"/>
  <c r="AO50" i="8" s="1"/>
  <c r="BR50" i="8" s="1"/>
  <c r="AN50" i="8"/>
  <c r="BQ50" i="8" s="1"/>
  <c r="AN50" i="8" a="1"/>
  <c r="AM50" i="8" a="1"/>
  <c r="AM50" i="8" s="1"/>
  <c r="BP50" i="8" s="1"/>
  <c r="AL50" i="8" a="1"/>
  <c r="AL50" i="8" s="1"/>
  <c r="BO50" i="8" s="1"/>
  <c r="AK50" i="8" a="1"/>
  <c r="AK50" i="8" s="1"/>
  <c r="BN50" i="8" s="1"/>
  <c r="AJ50" i="8"/>
  <c r="BM50" i="8" s="1"/>
  <c r="AJ50" i="8" a="1"/>
  <c r="AI50" i="8" a="1"/>
  <c r="AI50" i="8" s="1"/>
  <c r="BL50" i="8" s="1"/>
  <c r="AH50" i="8" a="1"/>
  <c r="AH50" i="8" s="1"/>
  <c r="BK50" i="8" s="1"/>
  <c r="CB49" i="8"/>
  <c r="BY49" i="8"/>
  <c r="BV49" i="8"/>
  <c r="BQ49" i="8"/>
  <c r="BG49" i="8" a="1"/>
  <c r="BG49" i="8" s="1"/>
  <c r="CJ49" i="8" s="1"/>
  <c r="BF49" i="8"/>
  <c r="CI49" i="8" s="1"/>
  <c r="BF49" i="8" a="1"/>
  <c r="BE49" i="8"/>
  <c r="CH49" i="8" s="1"/>
  <c r="BE49" i="8" a="1"/>
  <c r="BD49" i="8"/>
  <c r="CG49" i="8" s="1"/>
  <c r="BD49" i="8" a="1"/>
  <c r="BC49" i="8" a="1"/>
  <c r="BC49" i="8" s="1"/>
  <c r="CF49" i="8" s="1"/>
  <c r="BB49" i="8"/>
  <c r="CE49" i="8" s="1"/>
  <c r="BB49" i="8" a="1"/>
  <c r="BA49" i="8"/>
  <c r="CD49" i="8" s="1"/>
  <c r="BA49" i="8" a="1"/>
  <c r="AZ49" i="8"/>
  <c r="CC49" i="8" s="1"/>
  <c r="AZ49" i="8" a="1"/>
  <c r="AY49" i="8" a="1"/>
  <c r="AY49" i="8" s="1"/>
  <c r="AX49" i="8"/>
  <c r="CA49" i="8" s="1"/>
  <c r="AX49" i="8" a="1"/>
  <c r="AW49" i="8"/>
  <c r="BZ49" i="8" s="1"/>
  <c r="AW49" i="8" a="1"/>
  <c r="AV49" i="8"/>
  <c r="AV49" i="8" a="1"/>
  <c r="AU49" i="8" a="1"/>
  <c r="AU49" i="8" s="1"/>
  <c r="BX49" i="8" s="1"/>
  <c r="AT49" i="8"/>
  <c r="BW49" i="8" s="1"/>
  <c r="AT49" i="8" a="1"/>
  <c r="AS49" i="8"/>
  <c r="AS49" i="8" a="1"/>
  <c r="AR49" i="8"/>
  <c r="BU49" i="8" s="1"/>
  <c r="AR49" i="8" a="1"/>
  <c r="AQ49" i="8" a="1"/>
  <c r="AQ49" i="8" s="1"/>
  <c r="BT49" i="8" s="1"/>
  <c r="AP49" i="8"/>
  <c r="BS49" i="8" s="1"/>
  <c r="AP49" i="8" a="1"/>
  <c r="AO49" i="8"/>
  <c r="BR49" i="8" s="1"/>
  <c r="AO49" i="8" a="1"/>
  <c r="AN49" i="8"/>
  <c r="AN49" i="8" a="1"/>
  <c r="AM49" i="8" a="1"/>
  <c r="AM49" i="8" s="1"/>
  <c r="BP49" i="8" s="1"/>
  <c r="AL49" i="8"/>
  <c r="BO49" i="8" s="1"/>
  <c r="AL49" i="8" a="1"/>
  <c r="AK49" i="8"/>
  <c r="BN49" i="8" s="1"/>
  <c r="AK49" i="8" a="1"/>
  <c r="AJ49" i="8"/>
  <c r="BM49" i="8" s="1"/>
  <c r="AJ49" i="8" a="1"/>
  <c r="AI49" i="8" a="1"/>
  <c r="AI49" i="8" s="1"/>
  <c r="BL49" i="8" s="1"/>
  <c r="AH49" i="8"/>
  <c r="BK49" i="8" s="1"/>
  <c r="AH49" i="8" a="1"/>
  <c r="CG48" i="8"/>
  <c r="CB48" i="8"/>
  <c r="BL48" i="8"/>
  <c r="BG48" i="8" a="1"/>
  <c r="BG48" i="8" s="1"/>
  <c r="CJ48" i="8" s="1"/>
  <c r="BF48" i="8" a="1"/>
  <c r="BF48" i="8" s="1"/>
  <c r="CI48" i="8" s="1"/>
  <c r="BE48" i="8"/>
  <c r="CH48" i="8" s="1"/>
  <c r="BE48" i="8" a="1"/>
  <c r="BD48" i="8"/>
  <c r="BD48" i="8" a="1"/>
  <c r="BC48" i="8" a="1"/>
  <c r="BC48" i="8" s="1"/>
  <c r="CF48" i="8" s="1"/>
  <c r="BB48" i="8" a="1"/>
  <c r="BB48" i="8" s="1"/>
  <c r="CE48" i="8" s="1"/>
  <c r="BA48" i="8"/>
  <c r="CD48" i="8" s="1"/>
  <c r="BA48" i="8" a="1"/>
  <c r="AZ48" i="8" a="1"/>
  <c r="AZ48" i="8" s="1"/>
  <c r="CC48" i="8" s="1"/>
  <c r="AY48" i="8" a="1"/>
  <c r="AY48" i="8" s="1"/>
  <c r="AX48" i="8" a="1"/>
  <c r="AX48" i="8" s="1"/>
  <c r="CA48" i="8" s="1"/>
  <c r="AW48" i="8"/>
  <c r="BZ48" i="8" s="1"/>
  <c r="AW48" i="8" a="1"/>
  <c r="AV48" i="8"/>
  <c r="BY48" i="8" s="1"/>
  <c r="AV48" i="8" a="1"/>
  <c r="AU48" i="8" a="1"/>
  <c r="AU48" i="8" s="1"/>
  <c r="BX48" i="8" s="1"/>
  <c r="AT48" i="8" a="1"/>
  <c r="AT48" i="8" s="1"/>
  <c r="BW48" i="8" s="1"/>
  <c r="AS48" i="8" a="1"/>
  <c r="AS48" i="8" s="1"/>
  <c r="BV48" i="8" s="1"/>
  <c r="AR48" i="8"/>
  <c r="BU48" i="8" s="1"/>
  <c r="AR48" i="8" a="1"/>
  <c r="AQ48" i="8" a="1"/>
  <c r="AQ48" i="8" s="1"/>
  <c r="BT48" i="8" s="1"/>
  <c r="AP48" i="8" a="1"/>
  <c r="AP48" i="8" s="1"/>
  <c r="BS48" i="8" s="1"/>
  <c r="AO48" i="8" a="1"/>
  <c r="AO48" i="8" s="1"/>
  <c r="BR48" i="8" s="1"/>
  <c r="AN48" i="8" a="1"/>
  <c r="AN48" i="8" s="1"/>
  <c r="BQ48" i="8" s="1"/>
  <c r="AM48" i="8" a="1"/>
  <c r="AM48" i="8" s="1"/>
  <c r="BP48" i="8" s="1"/>
  <c r="AL48" i="8" a="1"/>
  <c r="AL48" i="8" s="1"/>
  <c r="BO48" i="8" s="1"/>
  <c r="AK48" i="8"/>
  <c r="BN48" i="8" s="1"/>
  <c r="AK48" i="8" a="1"/>
  <c r="AJ48" i="8"/>
  <c r="BM48" i="8" s="1"/>
  <c r="AJ48" i="8" a="1"/>
  <c r="AI48" i="8" a="1"/>
  <c r="AI48" i="8" s="1"/>
  <c r="AH48" i="8" a="1"/>
  <c r="AH48" i="8" s="1"/>
  <c r="BK48" i="8" s="1"/>
  <c r="BV47" i="8"/>
  <c r="BG47" i="8" a="1"/>
  <c r="BG47" i="8" s="1"/>
  <c r="CJ47" i="8" s="1"/>
  <c r="BF47" i="8"/>
  <c r="CI47" i="8" s="1"/>
  <c r="BF47" i="8" a="1"/>
  <c r="BE47" i="8"/>
  <c r="CH47" i="8" s="1"/>
  <c r="BE47" i="8" a="1"/>
  <c r="BD47" i="8"/>
  <c r="CG47" i="8" s="1"/>
  <c r="BD47" i="8" a="1"/>
  <c r="BC47" i="8" a="1"/>
  <c r="BC47" i="8" s="1"/>
  <c r="CF47" i="8" s="1"/>
  <c r="BB47" i="8"/>
  <c r="CE47" i="8" s="1"/>
  <c r="BB47" i="8" a="1"/>
  <c r="BA47" i="8"/>
  <c r="CD47" i="8" s="1"/>
  <c r="BA47" i="8" a="1"/>
  <c r="AZ47" i="8"/>
  <c r="CC47" i="8" s="1"/>
  <c r="AZ47" i="8" a="1"/>
  <c r="AY47" i="8" a="1"/>
  <c r="AY47" i="8" s="1"/>
  <c r="CB47" i="8" s="1"/>
  <c r="AX47" i="8"/>
  <c r="CA47" i="8" s="1"/>
  <c r="AX47" i="8" a="1"/>
  <c r="AW47" i="8"/>
  <c r="BZ47" i="8" s="1"/>
  <c r="AW47" i="8" a="1"/>
  <c r="AV47" i="8"/>
  <c r="BY47" i="8" s="1"/>
  <c r="AV47" i="8" a="1"/>
  <c r="AU47" i="8" a="1"/>
  <c r="AU47" i="8" s="1"/>
  <c r="BX47" i="8" s="1"/>
  <c r="AT47" i="8"/>
  <c r="BW47" i="8" s="1"/>
  <c r="AT47" i="8" a="1"/>
  <c r="AS47" i="8"/>
  <c r="AS47" i="8" a="1"/>
  <c r="AR47" i="8"/>
  <c r="BU47" i="8" s="1"/>
  <c r="AR47" i="8" a="1"/>
  <c r="AQ47" i="8" a="1"/>
  <c r="AQ47" i="8" s="1"/>
  <c r="BT47" i="8" s="1"/>
  <c r="AP47" i="8"/>
  <c r="BS47" i="8" s="1"/>
  <c r="AP47" i="8" a="1"/>
  <c r="AO47" i="8"/>
  <c r="BR47" i="8" s="1"/>
  <c r="AO47" i="8" a="1"/>
  <c r="AN47" i="8"/>
  <c r="BQ47" i="8" s="1"/>
  <c r="AN47" i="8" a="1"/>
  <c r="AM47" i="8" a="1"/>
  <c r="AM47" i="8" s="1"/>
  <c r="BP47" i="8" s="1"/>
  <c r="AL47" i="8"/>
  <c r="BO47" i="8" s="1"/>
  <c r="AL47" i="8" a="1"/>
  <c r="AK47" i="8"/>
  <c r="BN47" i="8" s="1"/>
  <c r="AK47" i="8" a="1"/>
  <c r="AJ47" i="8"/>
  <c r="BM47" i="8" s="1"/>
  <c r="AJ47" i="8" a="1"/>
  <c r="AI47" i="8" a="1"/>
  <c r="AI47" i="8" s="1"/>
  <c r="BL47" i="8" s="1"/>
  <c r="AH47" i="8"/>
  <c r="BK47" i="8" s="1"/>
  <c r="AH47" i="8" a="1"/>
  <c r="CI46" i="8"/>
  <c r="CA46" i="8"/>
  <c r="BS46" i="8"/>
  <c r="BL46" i="8"/>
  <c r="BK46" i="8"/>
  <c r="BG46" i="8" a="1"/>
  <c r="BG46" i="8" s="1"/>
  <c r="CJ46" i="8" s="1"/>
  <c r="BF46" i="8"/>
  <c r="BF46" i="8" a="1"/>
  <c r="BE46" i="8" a="1"/>
  <c r="BE46" i="8" s="1"/>
  <c r="CH46" i="8" s="1"/>
  <c r="BD46" i="8" a="1"/>
  <c r="BD46" i="8" s="1"/>
  <c r="CG46" i="8" s="1"/>
  <c r="BC46" i="8" a="1"/>
  <c r="BC46" i="8" s="1"/>
  <c r="CF46" i="8" s="1"/>
  <c r="BB46" i="8"/>
  <c r="CE46" i="8" s="1"/>
  <c r="BB46" i="8" a="1"/>
  <c r="BA46" i="8" a="1"/>
  <c r="BA46" i="8" s="1"/>
  <c r="CD46" i="8" s="1"/>
  <c r="AZ46" i="8"/>
  <c r="CC46" i="8" s="1"/>
  <c r="AZ46" i="8" a="1"/>
  <c r="AY46" i="8" a="1"/>
  <c r="AY46" i="8" s="1"/>
  <c r="CB46" i="8" s="1"/>
  <c r="AX46" i="8"/>
  <c r="AX46" i="8" a="1"/>
  <c r="AW46" i="8"/>
  <c r="BZ46" i="8" s="1"/>
  <c r="AW46" i="8" a="1"/>
  <c r="AV46" i="8" a="1"/>
  <c r="AV46" i="8" s="1"/>
  <c r="BY46" i="8" s="1"/>
  <c r="AU46" i="8" a="1"/>
  <c r="AU46" i="8" s="1"/>
  <c r="BX46" i="8" s="1"/>
  <c r="AT46" i="8"/>
  <c r="BW46" i="8" s="1"/>
  <c r="AT46" i="8" a="1"/>
  <c r="AS46" i="8" a="1"/>
  <c r="AS46" i="8" s="1"/>
  <c r="BV46" i="8" s="1"/>
  <c r="AR46" i="8" a="1"/>
  <c r="AR46" i="8" s="1"/>
  <c r="BU46" i="8" s="1"/>
  <c r="AQ46" i="8" a="1"/>
  <c r="AQ46" i="8" s="1"/>
  <c r="BT46" i="8" s="1"/>
  <c r="AP46" i="8"/>
  <c r="AP46" i="8" a="1"/>
  <c r="AO46" i="8" a="1"/>
  <c r="AO46" i="8" s="1"/>
  <c r="BR46" i="8" s="1"/>
  <c r="AN46" i="8"/>
  <c r="BQ46" i="8" s="1"/>
  <c r="AN46" i="8" a="1"/>
  <c r="AM46" i="8" a="1"/>
  <c r="AM46" i="8" s="1"/>
  <c r="BP46" i="8" s="1"/>
  <c r="AL46" i="8"/>
  <c r="BO46" i="8" s="1"/>
  <c r="AL46" i="8" a="1"/>
  <c r="AK46" i="8"/>
  <c r="BN46" i="8" s="1"/>
  <c r="AK46" i="8" a="1"/>
  <c r="AJ46" i="8" a="1"/>
  <c r="AJ46" i="8" s="1"/>
  <c r="BM46" i="8" s="1"/>
  <c r="AI46" i="8" a="1"/>
  <c r="AI46" i="8" s="1"/>
  <c r="AH46" i="8"/>
  <c r="AH46" i="8" a="1"/>
  <c r="CI45" i="8"/>
  <c r="CH45" i="8"/>
  <c r="CF45" i="8"/>
  <c r="BZ45" i="8"/>
  <c r="BU45" i="8"/>
  <c r="BR45" i="8"/>
  <c r="BG45" i="8" a="1"/>
  <c r="BG45" i="8" s="1"/>
  <c r="CJ45" i="8" s="1"/>
  <c r="BF45" i="8"/>
  <c r="BF45" i="8" a="1"/>
  <c r="BE45" i="8" a="1"/>
  <c r="BE45" i="8" s="1"/>
  <c r="BD45" i="8" a="1"/>
  <c r="BD45" i="8" s="1"/>
  <c r="CG45" i="8" s="1"/>
  <c r="BC45" i="8"/>
  <c r="BC45" i="8" a="1"/>
  <c r="BB45" i="8"/>
  <c r="CE45" i="8" s="1"/>
  <c r="BB45" i="8" a="1"/>
  <c r="BA45" i="8" a="1"/>
  <c r="BA45" i="8" s="1"/>
  <c r="CD45" i="8" s="1"/>
  <c r="AZ45" i="8" a="1"/>
  <c r="AZ45" i="8" s="1"/>
  <c r="CC45" i="8" s="1"/>
  <c r="AY45" i="8" a="1"/>
  <c r="AY45" i="8" s="1"/>
  <c r="CB45" i="8" s="1"/>
  <c r="AX45" i="8"/>
  <c r="CA45" i="8" s="1"/>
  <c r="AX45" i="8" a="1"/>
  <c r="AW45" i="8" a="1"/>
  <c r="AW45" i="8" s="1"/>
  <c r="AV45" i="8" a="1"/>
  <c r="AV45" i="8" s="1"/>
  <c r="BY45" i="8" s="1"/>
  <c r="AU45" i="8" a="1"/>
  <c r="AU45" i="8" s="1"/>
  <c r="BX45" i="8" s="1"/>
  <c r="AT45" i="8"/>
  <c r="BW45" i="8" s="1"/>
  <c r="AT45" i="8" a="1"/>
  <c r="AS45" i="8" a="1"/>
  <c r="AS45" i="8" s="1"/>
  <c r="BV45" i="8" s="1"/>
  <c r="AR45" i="8" a="1"/>
  <c r="AR45" i="8" s="1"/>
  <c r="AQ45" i="8" a="1"/>
  <c r="AQ45" i="8" s="1"/>
  <c r="BT45" i="8" s="1"/>
  <c r="AP45" i="8"/>
  <c r="BS45" i="8" s="1"/>
  <c r="AP45" i="8" a="1"/>
  <c r="AO45" i="8" a="1"/>
  <c r="AO45" i="8" s="1"/>
  <c r="AN45" i="8" a="1"/>
  <c r="AN45" i="8" s="1"/>
  <c r="BQ45" i="8" s="1"/>
  <c r="AM45" i="8"/>
  <c r="BP45" i="8" s="1"/>
  <c r="AM45" i="8" a="1"/>
  <c r="AL45" i="8"/>
  <c r="BO45" i="8" s="1"/>
  <c r="AL45" i="8" a="1"/>
  <c r="AK45" i="8" a="1"/>
  <c r="AK45" i="8" s="1"/>
  <c r="BN45" i="8" s="1"/>
  <c r="AJ45" i="8" a="1"/>
  <c r="AJ45" i="8" s="1"/>
  <c r="BM45" i="8" s="1"/>
  <c r="AI45" i="8" a="1"/>
  <c r="AI45" i="8" s="1"/>
  <c r="BL45" i="8" s="1"/>
  <c r="AH45" i="8"/>
  <c r="BK45" i="8" s="1"/>
  <c r="AH45" i="8" a="1"/>
  <c r="CG44" i="8"/>
  <c r="CC44" i="8"/>
  <c r="BZ44" i="8"/>
  <c r="BQ44" i="8"/>
  <c r="BM44" i="8"/>
  <c r="BG44" i="8" a="1"/>
  <c r="BG44" i="8" s="1"/>
  <c r="CJ44" i="8" s="1"/>
  <c r="BF44" i="8"/>
  <c r="CI44" i="8" s="1"/>
  <c r="BF44" i="8" a="1"/>
  <c r="BE44" i="8" a="1"/>
  <c r="BE44" i="8" s="1"/>
  <c r="CH44" i="8" s="1"/>
  <c r="BD44" i="8" a="1"/>
  <c r="BD44" i="8" s="1"/>
  <c r="BC44" i="8"/>
  <c r="CF44" i="8" s="1"/>
  <c r="BC44" i="8" a="1"/>
  <c r="BB44" i="8"/>
  <c r="CE44" i="8" s="1"/>
  <c r="BB44" i="8" a="1"/>
  <c r="BA44" i="8" a="1"/>
  <c r="BA44" i="8" s="1"/>
  <c r="CD44" i="8" s="1"/>
  <c r="AZ44" i="8" a="1"/>
  <c r="AZ44" i="8" s="1"/>
  <c r="AY44" i="8"/>
  <c r="CB44" i="8" s="1"/>
  <c r="AY44" i="8" a="1"/>
  <c r="AX44" i="8"/>
  <c r="CA44" i="8" s="1"/>
  <c r="AX44" i="8" a="1"/>
  <c r="AW44" i="8" a="1"/>
  <c r="AW44" i="8" s="1"/>
  <c r="AV44" i="8" a="1"/>
  <c r="AV44" i="8" s="1"/>
  <c r="BY44" i="8" s="1"/>
  <c r="AU44" i="8"/>
  <c r="BX44" i="8" s="1"/>
  <c r="AU44" i="8" a="1"/>
  <c r="AT44" i="8"/>
  <c r="BW44" i="8" s="1"/>
  <c r="AT44" i="8" a="1"/>
  <c r="AS44" i="8" a="1"/>
  <c r="AS44" i="8" s="1"/>
  <c r="BV44" i="8" s="1"/>
  <c r="AR44" i="8" a="1"/>
  <c r="AR44" i="8" s="1"/>
  <c r="BU44" i="8" s="1"/>
  <c r="AQ44" i="8" a="1"/>
  <c r="AQ44" i="8" s="1"/>
  <c r="BT44" i="8" s="1"/>
  <c r="AP44" i="8"/>
  <c r="BS44" i="8" s="1"/>
  <c r="AP44" i="8" a="1"/>
  <c r="AO44" i="8" a="1"/>
  <c r="AO44" i="8" s="1"/>
  <c r="BR44" i="8" s="1"/>
  <c r="AN44" i="8" a="1"/>
  <c r="AN44" i="8" s="1"/>
  <c r="AM44" i="8"/>
  <c r="BP44" i="8" s="1"/>
  <c r="AM44" i="8" a="1"/>
  <c r="AL44" i="8"/>
  <c r="BO44" i="8" s="1"/>
  <c r="AL44" i="8" a="1"/>
  <c r="AK44" i="8" a="1"/>
  <c r="AK44" i="8" s="1"/>
  <c r="BN44" i="8" s="1"/>
  <c r="AJ44" i="8" a="1"/>
  <c r="AJ44" i="8" s="1"/>
  <c r="AI44" i="8"/>
  <c r="BL44" i="8" s="1"/>
  <c r="AI44" i="8" a="1"/>
  <c r="AH44" i="8"/>
  <c r="BK44" i="8" s="1"/>
  <c r="AH44" i="8" a="1"/>
  <c r="CH43" i="8"/>
  <c r="CE43" i="8"/>
  <c r="BW43" i="8"/>
  <c r="BU43" i="8"/>
  <c r="BM43" i="8"/>
  <c r="BG43" i="8"/>
  <c r="CJ43" i="8" s="1"/>
  <c r="BG43" i="8" a="1"/>
  <c r="BF43" i="8" a="1"/>
  <c r="BF43" i="8" s="1"/>
  <c r="CI43" i="8" s="1"/>
  <c r="BE43" i="8"/>
  <c r="BE43" i="8" a="1"/>
  <c r="BD43" i="8" a="1"/>
  <c r="BD43" i="8" s="1"/>
  <c r="CG43" i="8" s="1"/>
  <c r="BC43" i="8" a="1"/>
  <c r="BC43" i="8" s="1"/>
  <c r="CF43" i="8" s="1"/>
  <c r="BB43" i="8"/>
  <c r="BB43" i="8" a="1"/>
  <c r="BA43" i="8"/>
  <c r="CD43" i="8" s="1"/>
  <c r="BA43" i="8" a="1"/>
  <c r="AZ43" i="8" a="1"/>
  <c r="AZ43" i="8" s="1"/>
  <c r="CC43" i="8" s="1"/>
  <c r="AY43" i="8"/>
  <c r="CB43" i="8" s="1"/>
  <c r="AY43" i="8" a="1"/>
  <c r="AX43" i="8"/>
  <c r="CA43" i="8" s="1"/>
  <c r="AX43" i="8" a="1"/>
  <c r="AW43" i="8" a="1"/>
  <c r="AW43" i="8" s="1"/>
  <c r="BZ43" i="8" s="1"/>
  <c r="AV43" i="8" a="1"/>
  <c r="AV43" i="8" s="1"/>
  <c r="BY43" i="8" s="1"/>
  <c r="AU43" i="8" a="1"/>
  <c r="AU43" i="8" s="1"/>
  <c r="BX43" i="8" s="1"/>
  <c r="AT43" i="8" a="1"/>
  <c r="AT43" i="8" s="1"/>
  <c r="AS43" i="8"/>
  <c r="BV43" i="8" s="1"/>
  <c r="AS43" i="8" a="1"/>
  <c r="AR43" i="8" a="1"/>
  <c r="AR43" i="8" s="1"/>
  <c r="AQ43" i="8"/>
  <c r="BT43" i="8" s="1"/>
  <c r="AQ43" i="8" a="1"/>
  <c r="AP43" i="8"/>
  <c r="BS43" i="8" s="1"/>
  <c r="AP43" i="8" a="1"/>
  <c r="AO43" i="8"/>
  <c r="BR43" i="8" s="1"/>
  <c r="AO43" i="8" a="1"/>
  <c r="AN43" i="8" a="1"/>
  <c r="AN43" i="8" s="1"/>
  <c r="BQ43" i="8" s="1"/>
  <c r="AM43" i="8"/>
  <c r="BP43" i="8" s="1"/>
  <c r="AM43" i="8" a="1"/>
  <c r="AL43" i="8" a="1"/>
  <c r="AL43" i="8" s="1"/>
  <c r="BO43" i="8" s="1"/>
  <c r="AK43" i="8" a="1"/>
  <c r="AK43" i="8" s="1"/>
  <c r="BN43" i="8" s="1"/>
  <c r="AJ43" i="8" a="1"/>
  <c r="AJ43" i="8" s="1"/>
  <c r="AI43" i="8" a="1"/>
  <c r="AI43" i="8" s="1"/>
  <c r="BL43" i="8" s="1"/>
  <c r="AH43" i="8"/>
  <c r="BK43" i="8" s="1"/>
  <c r="AH43" i="8" a="1"/>
  <c r="CI42" i="8"/>
  <c r="CA42" i="8"/>
  <c r="BY42" i="8"/>
  <c r="BS42" i="8"/>
  <c r="BK42" i="8"/>
  <c r="BG42" i="8" a="1"/>
  <c r="BG42" i="8" s="1"/>
  <c r="CJ42" i="8" s="1"/>
  <c r="BF42" i="8"/>
  <c r="BF42" i="8" a="1"/>
  <c r="BE42" i="8" a="1"/>
  <c r="BE42" i="8" s="1"/>
  <c r="CH42" i="8" s="1"/>
  <c r="BD42" i="8" a="1"/>
  <c r="BD42" i="8" s="1"/>
  <c r="CG42" i="8" s="1"/>
  <c r="BC42" i="8" a="1"/>
  <c r="BC42" i="8" s="1"/>
  <c r="CF42" i="8" s="1"/>
  <c r="BB42" i="8"/>
  <c r="CE42" i="8" s="1"/>
  <c r="BB42" i="8" a="1"/>
  <c r="BA42" i="8" a="1"/>
  <c r="BA42" i="8" s="1"/>
  <c r="CD42" i="8" s="1"/>
  <c r="AZ42" i="8" a="1"/>
  <c r="AZ42" i="8" s="1"/>
  <c r="CC42" i="8" s="1"/>
  <c r="AY42" i="8" a="1"/>
  <c r="AY42" i="8" s="1"/>
  <c r="CB42" i="8" s="1"/>
  <c r="AX42" i="8"/>
  <c r="AX42" i="8" a="1"/>
  <c r="AW42" i="8" a="1"/>
  <c r="AW42" i="8" s="1"/>
  <c r="BZ42" i="8" s="1"/>
  <c r="AV42" i="8" a="1"/>
  <c r="AV42" i="8" s="1"/>
  <c r="AU42" i="8" a="1"/>
  <c r="AU42" i="8" s="1"/>
  <c r="BX42" i="8" s="1"/>
  <c r="AT42" i="8"/>
  <c r="BW42" i="8" s="1"/>
  <c r="AT42" i="8" a="1"/>
  <c r="AS42" i="8" a="1"/>
  <c r="AS42" i="8" s="1"/>
  <c r="BV42" i="8" s="1"/>
  <c r="AR42" i="8" a="1"/>
  <c r="AR42" i="8" s="1"/>
  <c r="BU42" i="8" s="1"/>
  <c r="AQ42" i="8" a="1"/>
  <c r="AQ42" i="8" s="1"/>
  <c r="BT42" i="8" s="1"/>
  <c r="AP42" i="8"/>
  <c r="AP42" i="8" a="1"/>
  <c r="AO42" i="8" a="1"/>
  <c r="AO42" i="8" s="1"/>
  <c r="BR42" i="8" s="1"/>
  <c r="AN42" i="8" a="1"/>
  <c r="AN42" i="8" s="1"/>
  <c r="BQ42" i="8" s="1"/>
  <c r="AM42" i="8" a="1"/>
  <c r="AM42" i="8" s="1"/>
  <c r="BP42" i="8" s="1"/>
  <c r="AL42" i="8"/>
  <c r="BO42" i="8" s="1"/>
  <c r="AL42" i="8" a="1"/>
  <c r="AK42" i="8" a="1"/>
  <c r="AK42" i="8" s="1"/>
  <c r="BN42" i="8" s="1"/>
  <c r="AJ42" i="8" a="1"/>
  <c r="AJ42" i="8" s="1"/>
  <c r="BM42" i="8" s="1"/>
  <c r="AI42" i="8" a="1"/>
  <c r="AI42" i="8" s="1"/>
  <c r="BL42" i="8" s="1"/>
  <c r="AH42" i="8"/>
  <c r="AH42" i="8" a="1"/>
  <c r="CF41" i="8"/>
  <c r="BX41" i="8"/>
  <c r="BV41" i="8"/>
  <c r="BP41" i="8"/>
  <c r="BG41" i="8"/>
  <c r="CJ41" i="8" s="1"/>
  <c r="BG41" i="8" a="1"/>
  <c r="BF41" i="8"/>
  <c r="CI41" i="8" s="1"/>
  <c r="BF41" i="8" a="1"/>
  <c r="BE41" i="8"/>
  <c r="CH41" i="8" s="1"/>
  <c r="BE41" i="8" a="1"/>
  <c r="BD41" i="8" a="1"/>
  <c r="BD41" i="8" s="1"/>
  <c r="CG41" i="8" s="1"/>
  <c r="BC41" i="8"/>
  <c r="BC41" i="8" a="1"/>
  <c r="BB41" i="8"/>
  <c r="CE41" i="8" s="1"/>
  <c r="BB41" i="8" a="1"/>
  <c r="BA41" i="8"/>
  <c r="CD41" i="8" s="1"/>
  <c r="BA41" i="8" a="1"/>
  <c r="AZ41" i="8" a="1"/>
  <c r="AZ41" i="8" s="1"/>
  <c r="CC41" i="8" s="1"/>
  <c r="AY41" i="8"/>
  <c r="CB41" i="8" s="1"/>
  <c r="AY41" i="8" a="1"/>
  <c r="AX41" i="8"/>
  <c r="CA41" i="8" s="1"/>
  <c r="AX41" i="8" a="1"/>
  <c r="AW41" i="8"/>
  <c r="BZ41" i="8" s="1"/>
  <c r="AW41" i="8" a="1"/>
  <c r="AV41" i="8" a="1"/>
  <c r="AV41" i="8" s="1"/>
  <c r="BY41" i="8" s="1"/>
  <c r="AU41" i="8"/>
  <c r="AU41" i="8" a="1"/>
  <c r="AT41" i="8"/>
  <c r="BW41" i="8" s="1"/>
  <c r="AT41" i="8" a="1"/>
  <c r="AS41" i="8"/>
  <c r="AS41" i="8" a="1"/>
  <c r="AR41" i="8" a="1"/>
  <c r="AR41" i="8" s="1"/>
  <c r="BU41" i="8" s="1"/>
  <c r="AQ41" i="8"/>
  <c r="BT41" i="8" s="1"/>
  <c r="AQ41" i="8" a="1"/>
  <c r="AP41" i="8"/>
  <c r="BS41" i="8" s="1"/>
  <c r="AP41" i="8" a="1"/>
  <c r="AO41" i="8"/>
  <c r="BR41" i="8" s="1"/>
  <c r="AO41" i="8" a="1"/>
  <c r="AN41" i="8" a="1"/>
  <c r="AN41" i="8" s="1"/>
  <c r="BQ41" i="8" s="1"/>
  <c r="AM41" i="8"/>
  <c r="AM41" i="8" a="1"/>
  <c r="AL41" i="8"/>
  <c r="BO41" i="8" s="1"/>
  <c r="AL41" i="8" a="1"/>
  <c r="AK41" i="8"/>
  <c r="BN41" i="8" s="1"/>
  <c r="AK41" i="8" a="1"/>
  <c r="AJ41" i="8" a="1"/>
  <c r="AJ41" i="8" s="1"/>
  <c r="BM41" i="8" s="1"/>
  <c r="AI41" i="8"/>
  <c r="BL41" i="8" s="1"/>
  <c r="AI41" i="8" a="1"/>
  <c r="AH41" i="8"/>
  <c r="BK41" i="8" s="1"/>
  <c r="AH41" i="8" a="1"/>
  <c r="CF40" i="8"/>
  <c r="BX40" i="8"/>
  <c r="BV40" i="8"/>
  <c r="BP40" i="8"/>
  <c r="BM40" i="8"/>
  <c r="BG40" i="8"/>
  <c r="CJ40" i="8" s="1"/>
  <c r="BG40" i="8" a="1"/>
  <c r="BF40" i="8"/>
  <c r="CI40" i="8" s="1"/>
  <c r="BF40" i="8" a="1"/>
  <c r="BE40" i="8" a="1"/>
  <c r="BE40" i="8" s="1"/>
  <c r="CH40" i="8" s="1"/>
  <c r="BD40" i="8" a="1"/>
  <c r="BD40" i="8" s="1"/>
  <c r="CG40" i="8" s="1"/>
  <c r="BC40" i="8"/>
  <c r="BC40" i="8" a="1"/>
  <c r="BB40" i="8"/>
  <c r="CE40" i="8" s="1"/>
  <c r="BB40" i="8" a="1"/>
  <c r="BA40" i="8"/>
  <c r="CD40" i="8" s="1"/>
  <c r="BA40" i="8" a="1"/>
  <c r="AZ40" i="8" a="1"/>
  <c r="AZ40" i="8" s="1"/>
  <c r="CC40" i="8" s="1"/>
  <c r="AY40" i="8"/>
  <c r="CB40" i="8" s="1"/>
  <c r="AY40" i="8" a="1"/>
  <c r="AX40" i="8"/>
  <c r="CA40" i="8" s="1"/>
  <c r="AX40" i="8" a="1"/>
  <c r="AW40" i="8" a="1"/>
  <c r="AW40" i="8" s="1"/>
  <c r="BZ40" i="8" s="1"/>
  <c r="AV40" i="8" a="1"/>
  <c r="AV40" i="8" s="1"/>
  <c r="BY40" i="8" s="1"/>
  <c r="AU40" i="8" a="1"/>
  <c r="AU40" i="8" s="1"/>
  <c r="AT40" i="8"/>
  <c r="BW40" i="8" s="1"/>
  <c r="AT40" i="8" a="1"/>
  <c r="AS40" i="8"/>
  <c r="AS40" i="8" a="1"/>
  <c r="AR40" i="8" a="1"/>
  <c r="AR40" i="8" s="1"/>
  <c r="BU40" i="8" s="1"/>
  <c r="AQ40" i="8" a="1"/>
  <c r="AQ40" i="8" s="1"/>
  <c r="BT40" i="8" s="1"/>
  <c r="AP40" i="8"/>
  <c r="BS40" i="8" s="1"/>
  <c r="AP40" i="8" a="1"/>
  <c r="AO40" i="8" a="1"/>
  <c r="AO40" i="8" s="1"/>
  <c r="BR40" i="8" s="1"/>
  <c r="AN40" i="8" a="1"/>
  <c r="AN40" i="8" s="1"/>
  <c r="BQ40" i="8" s="1"/>
  <c r="AM40" i="8" a="1"/>
  <c r="AM40" i="8" s="1"/>
  <c r="AL40" i="8"/>
  <c r="BO40" i="8" s="1"/>
  <c r="AL40" i="8" a="1"/>
  <c r="AK40" i="8" a="1"/>
  <c r="AK40" i="8" s="1"/>
  <c r="BN40" i="8" s="1"/>
  <c r="AJ40" i="8" a="1"/>
  <c r="AJ40" i="8" s="1"/>
  <c r="AI40" i="8" a="1"/>
  <c r="AI40" i="8" s="1"/>
  <c r="BL40" i="8" s="1"/>
  <c r="AH40" i="8"/>
  <c r="BK40" i="8" s="1"/>
  <c r="AH40" i="8" a="1"/>
  <c r="CI39" i="8"/>
  <c r="CH39" i="8"/>
  <c r="CA39" i="8"/>
  <c r="BS39" i="8"/>
  <c r="BM39" i="8"/>
  <c r="BK39" i="8"/>
  <c r="BG39" i="8"/>
  <c r="CJ39" i="8" s="1"/>
  <c r="BG39" i="8" a="1"/>
  <c r="BF39" i="8"/>
  <c r="BF39" i="8" a="1"/>
  <c r="BE39" i="8" a="1"/>
  <c r="BE39" i="8" s="1"/>
  <c r="BD39" i="8" a="1"/>
  <c r="BD39" i="8" s="1"/>
  <c r="CG39" i="8" s="1"/>
  <c r="BC39" i="8"/>
  <c r="CF39" i="8" s="1"/>
  <c r="BC39" i="8" a="1"/>
  <c r="BB39" i="8"/>
  <c r="CE39" i="8" s="1"/>
  <c r="BB39" i="8" a="1"/>
  <c r="BA39" i="8" a="1"/>
  <c r="BA39" i="8" s="1"/>
  <c r="CD39" i="8" s="1"/>
  <c r="AZ39" i="8" a="1"/>
  <c r="AZ39" i="8" s="1"/>
  <c r="CC39" i="8" s="1"/>
  <c r="AY39" i="8"/>
  <c r="CB39" i="8" s="1"/>
  <c r="AY39" i="8" a="1"/>
  <c r="AX39" i="8"/>
  <c r="AX39" i="8" a="1"/>
  <c r="AW39" i="8" a="1"/>
  <c r="AW39" i="8" s="1"/>
  <c r="BZ39" i="8" s="1"/>
  <c r="AV39" i="8" a="1"/>
  <c r="AV39" i="8" s="1"/>
  <c r="BY39" i="8" s="1"/>
  <c r="AU39" i="8"/>
  <c r="BX39" i="8" s="1"/>
  <c r="AU39" i="8" a="1"/>
  <c r="AT39" i="8"/>
  <c r="BW39" i="8" s="1"/>
  <c r="AT39" i="8" a="1"/>
  <c r="AS39" i="8" a="1"/>
  <c r="AS39" i="8" s="1"/>
  <c r="BV39" i="8" s="1"/>
  <c r="AR39" i="8" a="1"/>
  <c r="AR39" i="8" s="1"/>
  <c r="BU39" i="8" s="1"/>
  <c r="AQ39" i="8"/>
  <c r="BT39" i="8" s="1"/>
  <c r="AQ39" i="8" a="1"/>
  <c r="AP39" i="8"/>
  <c r="AP39" i="8" a="1"/>
  <c r="AO39" i="8" a="1"/>
  <c r="AO39" i="8" s="1"/>
  <c r="BR39" i="8" s="1"/>
  <c r="AN39" i="8" a="1"/>
  <c r="AN39" i="8" s="1"/>
  <c r="BQ39" i="8" s="1"/>
  <c r="AM39" i="8"/>
  <c r="BP39" i="8" s="1"/>
  <c r="AM39" i="8" a="1"/>
  <c r="AL39" i="8"/>
  <c r="BO39" i="8" s="1"/>
  <c r="AL39" i="8" a="1"/>
  <c r="AK39" i="8" a="1"/>
  <c r="AK39" i="8" s="1"/>
  <c r="BN39" i="8" s="1"/>
  <c r="AJ39" i="8" a="1"/>
  <c r="AJ39" i="8" s="1"/>
  <c r="AI39" i="8"/>
  <c r="BL39" i="8" s="1"/>
  <c r="AI39" i="8" a="1"/>
  <c r="AH39" i="8"/>
  <c r="AH39" i="8" a="1"/>
  <c r="CH38" i="8"/>
  <c r="CA38" i="8"/>
  <c r="BZ38" i="8"/>
  <c r="BU38" i="8"/>
  <c r="BP38" i="8"/>
  <c r="BG38" i="8"/>
  <c r="CJ38" i="8" s="1"/>
  <c r="BG38" i="8" a="1"/>
  <c r="BF38" i="8"/>
  <c r="CI38" i="8" s="1"/>
  <c r="BF38" i="8" a="1"/>
  <c r="BE38" i="8" a="1"/>
  <c r="BE38" i="8" s="1"/>
  <c r="BD38" i="8" a="1"/>
  <c r="BD38" i="8" s="1"/>
  <c r="CG38" i="8" s="1"/>
  <c r="BC38" i="8"/>
  <c r="CF38" i="8" s="1"/>
  <c r="BC38" i="8" a="1"/>
  <c r="BB38" i="8" a="1"/>
  <c r="BB38" i="8" s="1"/>
  <c r="CE38" i="8" s="1"/>
  <c r="BA38" i="8" a="1"/>
  <c r="BA38" i="8" s="1"/>
  <c r="CD38" i="8" s="1"/>
  <c r="AZ38" i="8" a="1"/>
  <c r="AZ38" i="8" s="1"/>
  <c r="CC38" i="8" s="1"/>
  <c r="AY38" i="8"/>
  <c r="CB38" i="8" s="1"/>
  <c r="AY38" i="8" a="1"/>
  <c r="AX38" i="8"/>
  <c r="AX38" i="8" a="1"/>
  <c r="AW38" i="8" a="1"/>
  <c r="AW38" i="8" s="1"/>
  <c r="AV38" i="8" a="1"/>
  <c r="AV38" i="8" s="1"/>
  <c r="BY38" i="8" s="1"/>
  <c r="AU38" i="8"/>
  <c r="BX38" i="8" s="1"/>
  <c r="AU38" i="8" a="1"/>
  <c r="AT38" i="8" a="1"/>
  <c r="AT38" i="8" s="1"/>
  <c r="BW38" i="8" s="1"/>
  <c r="AS38" i="8" a="1"/>
  <c r="AS38" i="8" s="1"/>
  <c r="BV38" i="8" s="1"/>
  <c r="AR38" i="8" a="1"/>
  <c r="AR38" i="8" s="1"/>
  <c r="AQ38" i="8"/>
  <c r="BT38" i="8" s="1"/>
  <c r="AQ38" i="8" a="1"/>
  <c r="AP38" i="8"/>
  <c r="BS38" i="8" s="1"/>
  <c r="AP38" i="8" a="1"/>
  <c r="AO38" i="8" a="1"/>
  <c r="AO38" i="8" s="1"/>
  <c r="BR38" i="8" s="1"/>
  <c r="AN38" i="8" a="1"/>
  <c r="AN38" i="8" s="1"/>
  <c r="BQ38" i="8" s="1"/>
  <c r="AM38" i="8"/>
  <c r="AM38" i="8" a="1"/>
  <c r="AL38" i="8" a="1"/>
  <c r="AL38" i="8" s="1"/>
  <c r="BO38" i="8" s="1"/>
  <c r="AK38" i="8" a="1"/>
  <c r="AK38" i="8" s="1"/>
  <c r="BN38" i="8" s="1"/>
  <c r="AJ38" i="8" a="1"/>
  <c r="AJ38" i="8" s="1"/>
  <c r="BM38" i="8" s="1"/>
  <c r="AI38" i="8"/>
  <c r="BL38" i="8" s="1"/>
  <c r="AI38" i="8" a="1"/>
  <c r="AH38" i="8"/>
  <c r="BK38" i="8" s="1"/>
  <c r="AH38" i="8" a="1"/>
  <c r="CH37" i="8"/>
  <c r="CF37" i="8"/>
  <c r="BT37" i="8"/>
  <c r="BR37" i="8"/>
  <c r="BG37" i="8"/>
  <c r="CJ37" i="8" s="1"/>
  <c r="BG37" i="8" a="1"/>
  <c r="BF37" i="8"/>
  <c r="CI37" i="8" s="1"/>
  <c r="BF37" i="8" a="1"/>
  <c r="BE37" i="8" a="1"/>
  <c r="BE37" i="8" s="1"/>
  <c r="BD37" i="8"/>
  <c r="CG37" i="8" s="1"/>
  <c r="BD37" i="8" a="1"/>
  <c r="BC37" i="8"/>
  <c r="BC37" i="8" a="1"/>
  <c r="BB37" i="8" a="1"/>
  <c r="BB37" i="8" s="1"/>
  <c r="CE37" i="8" s="1"/>
  <c r="BA37" i="8" a="1"/>
  <c r="BA37" i="8" s="1"/>
  <c r="CD37" i="8" s="1"/>
  <c r="AZ37" i="8"/>
  <c r="CC37" i="8" s="1"/>
  <c r="AZ37" i="8" a="1"/>
  <c r="AY37" i="8"/>
  <c r="CB37" i="8" s="1"/>
  <c r="AY37" i="8" a="1"/>
  <c r="AX37" i="8" a="1"/>
  <c r="AX37" i="8" s="1"/>
  <c r="CA37" i="8" s="1"/>
  <c r="AW37" i="8" a="1"/>
  <c r="AW37" i="8" s="1"/>
  <c r="BZ37" i="8" s="1"/>
  <c r="AV37" i="8"/>
  <c r="BY37" i="8" s="1"/>
  <c r="AV37" i="8" a="1"/>
  <c r="AU37" i="8" a="1"/>
  <c r="AU37" i="8" s="1"/>
  <c r="BX37" i="8" s="1"/>
  <c r="AT37" i="8"/>
  <c r="BW37" i="8" s="1"/>
  <c r="AT37" i="8" a="1"/>
  <c r="AS37" i="8" a="1"/>
  <c r="AS37" i="8" s="1"/>
  <c r="BV37" i="8" s="1"/>
  <c r="AR37" i="8"/>
  <c r="BU37" i="8" s="1"/>
  <c r="AR37" i="8" a="1"/>
  <c r="AQ37" i="8"/>
  <c r="AQ37" i="8" a="1"/>
  <c r="AP37" i="8"/>
  <c r="BS37" i="8" s="1"/>
  <c r="AP37" i="8" a="1"/>
  <c r="AO37" i="8" a="1"/>
  <c r="AO37" i="8" s="1"/>
  <c r="AN37" i="8"/>
  <c r="BQ37" i="8" s="1"/>
  <c r="AN37" i="8" a="1"/>
  <c r="AM37" i="8"/>
  <c r="BP37" i="8" s="1"/>
  <c r="AM37" i="8" a="1"/>
  <c r="AL37" i="8" a="1"/>
  <c r="AL37" i="8" s="1"/>
  <c r="BO37" i="8" s="1"/>
  <c r="AK37" i="8" a="1"/>
  <c r="AK37" i="8" s="1"/>
  <c r="BN37" i="8" s="1"/>
  <c r="AJ37" i="8" a="1"/>
  <c r="AJ37" i="8" s="1"/>
  <c r="BM37" i="8" s="1"/>
  <c r="AI37" i="8"/>
  <c r="BL37" i="8" s="1"/>
  <c r="AI37" i="8" a="1"/>
  <c r="AH37" i="8"/>
  <c r="BK37" i="8" s="1"/>
  <c r="AH37" i="8" a="1"/>
  <c r="CI36" i="8"/>
  <c r="CE36" i="8"/>
  <c r="CA36" i="8"/>
  <c r="BZ36" i="8"/>
  <c r="BY36" i="8"/>
  <c r="BU36" i="8"/>
  <c r="BQ36" i="8"/>
  <c r="BM36" i="8"/>
  <c r="BG36" i="8" a="1"/>
  <c r="BG36" i="8" s="1"/>
  <c r="CJ36" i="8" s="1"/>
  <c r="BF36" i="8"/>
  <c r="BF36" i="8" a="1"/>
  <c r="BE36" i="8" a="1"/>
  <c r="BE36" i="8" s="1"/>
  <c r="CH36" i="8" s="1"/>
  <c r="BD36" i="8"/>
  <c r="CG36" i="8" s="1"/>
  <c r="BD36" i="8" a="1"/>
  <c r="BC36" i="8" a="1"/>
  <c r="BC36" i="8" s="1"/>
  <c r="CF36" i="8" s="1"/>
  <c r="BB36" i="8"/>
  <c r="BB36" i="8" a="1"/>
  <c r="BA36" i="8" a="1"/>
  <c r="BA36" i="8" s="1"/>
  <c r="CD36" i="8" s="1"/>
  <c r="AZ36" i="8"/>
  <c r="CC36" i="8" s="1"/>
  <c r="AZ36" i="8" a="1"/>
  <c r="AY36" i="8" a="1"/>
  <c r="AY36" i="8" s="1"/>
  <c r="CB36" i="8" s="1"/>
  <c r="AX36" i="8"/>
  <c r="AX36" i="8" a="1"/>
  <c r="AW36" i="8" a="1"/>
  <c r="AW36" i="8" s="1"/>
  <c r="AV36" i="8"/>
  <c r="AV36" i="8" a="1"/>
  <c r="AU36" i="8" a="1"/>
  <c r="AU36" i="8" s="1"/>
  <c r="BX36" i="8" s="1"/>
  <c r="AT36" i="8"/>
  <c r="BW36" i="8" s="1"/>
  <c r="AT36" i="8" a="1"/>
  <c r="AS36" i="8" a="1"/>
  <c r="AS36" i="8" s="1"/>
  <c r="BV36" i="8" s="1"/>
  <c r="AR36" i="8"/>
  <c r="AR36" i="8" a="1"/>
  <c r="AQ36" i="8" a="1"/>
  <c r="AQ36" i="8" s="1"/>
  <c r="BT36" i="8" s="1"/>
  <c r="AP36" i="8"/>
  <c r="BS36" i="8" s="1"/>
  <c r="AP36" i="8" a="1"/>
  <c r="AO36" i="8" a="1"/>
  <c r="AO36" i="8" s="1"/>
  <c r="BR36" i="8" s="1"/>
  <c r="AN36" i="8"/>
  <c r="AN36" i="8" a="1"/>
  <c r="AM36" i="8" a="1"/>
  <c r="AM36" i="8" s="1"/>
  <c r="BP36" i="8" s="1"/>
  <c r="AL36" i="8"/>
  <c r="BO36" i="8" s="1"/>
  <c r="AL36" i="8" a="1"/>
  <c r="AK36" i="8" a="1"/>
  <c r="AK36" i="8" s="1"/>
  <c r="BN36" i="8" s="1"/>
  <c r="AJ36" i="8"/>
  <c r="AJ36" i="8" a="1"/>
  <c r="AI36" i="8" a="1"/>
  <c r="AI36" i="8" s="1"/>
  <c r="BL36" i="8" s="1"/>
  <c r="AH36" i="8"/>
  <c r="BK36" i="8" s="1"/>
  <c r="AH36" i="8" a="1"/>
  <c r="CC35" i="8"/>
  <c r="BV35" i="8"/>
  <c r="BU35" i="8"/>
  <c r="BM35" i="8"/>
  <c r="BG35" i="8"/>
  <c r="CJ35" i="8" s="1"/>
  <c r="BG35" i="8" a="1"/>
  <c r="BF35" i="8" a="1"/>
  <c r="BF35" i="8" s="1"/>
  <c r="CI35" i="8" s="1"/>
  <c r="BE35" i="8"/>
  <c r="CH35" i="8" s="1"/>
  <c r="BE35" i="8" a="1"/>
  <c r="BD35" i="8"/>
  <c r="CG35" i="8" s="1"/>
  <c r="BD35" i="8" a="1"/>
  <c r="BC35" i="8"/>
  <c r="CF35" i="8" s="1"/>
  <c r="BC35" i="8" a="1"/>
  <c r="BB35" i="8" a="1"/>
  <c r="BB35" i="8" s="1"/>
  <c r="CE35" i="8" s="1"/>
  <c r="BA35" i="8"/>
  <c r="CD35" i="8" s="1"/>
  <c r="BA35" i="8" a="1"/>
  <c r="AZ35" i="8"/>
  <c r="AZ35" i="8" a="1"/>
  <c r="AY35" i="8"/>
  <c r="CB35" i="8" s="1"/>
  <c r="AY35" i="8" a="1"/>
  <c r="AX35" i="8" a="1"/>
  <c r="AX35" i="8" s="1"/>
  <c r="CA35" i="8" s="1"/>
  <c r="AW35" i="8"/>
  <c r="BZ35" i="8" s="1"/>
  <c r="AW35" i="8" a="1"/>
  <c r="AV35" i="8"/>
  <c r="BY35" i="8" s="1"/>
  <c r="AV35" i="8" a="1"/>
  <c r="AU35" i="8"/>
  <c r="BX35" i="8" s="1"/>
  <c r="AU35" i="8" a="1"/>
  <c r="AT35" i="8" a="1"/>
  <c r="AT35" i="8" s="1"/>
  <c r="BW35" i="8" s="1"/>
  <c r="AS35" i="8"/>
  <c r="AS35" i="8" a="1"/>
  <c r="AR35" i="8"/>
  <c r="AR35" i="8" a="1"/>
  <c r="AQ35" i="8"/>
  <c r="BT35" i="8" s="1"/>
  <c r="AQ35" i="8" a="1"/>
  <c r="AP35" i="8" a="1"/>
  <c r="AP35" i="8" s="1"/>
  <c r="BS35" i="8" s="1"/>
  <c r="AO35" i="8"/>
  <c r="BR35" i="8" s="1"/>
  <c r="AO35" i="8" a="1"/>
  <c r="AN35" i="8"/>
  <c r="BQ35" i="8" s="1"/>
  <c r="AN35" i="8" a="1"/>
  <c r="AM35" i="8"/>
  <c r="BP35" i="8" s="1"/>
  <c r="AM35" i="8" a="1"/>
  <c r="AL35" i="8" a="1"/>
  <c r="AL35" i="8" s="1"/>
  <c r="BO35" i="8" s="1"/>
  <c r="AK35" i="8"/>
  <c r="BN35" i="8" s="1"/>
  <c r="AK35" i="8" a="1"/>
  <c r="AJ35" i="8"/>
  <c r="AJ35" i="8" a="1"/>
  <c r="AI35" i="8"/>
  <c r="BL35" i="8" s="1"/>
  <c r="AI35" i="8" a="1"/>
  <c r="AH35" i="8" a="1"/>
  <c r="AH35" i="8" s="1"/>
  <c r="BK35" i="8" s="1"/>
  <c r="CG34" i="8"/>
  <c r="BG34" i="8"/>
  <c r="CJ34" i="8" s="1"/>
  <c r="BG34" i="8" a="1"/>
  <c r="BF34" i="8" a="1"/>
  <c r="BF34" i="8" s="1"/>
  <c r="CI34" i="8" s="1"/>
  <c r="BE34" i="8"/>
  <c r="CH34" i="8" s="1"/>
  <c r="BE34" i="8" a="1"/>
  <c r="BD34" i="8"/>
  <c r="BD34" i="8" a="1"/>
  <c r="BC34" i="8" a="1"/>
  <c r="BC34" i="8" s="1"/>
  <c r="CF34" i="8" s="1"/>
  <c r="BB34" i="8" a="1"/>
  <c r="BB34" i="8" s="1"/>
  <c r="CE34" i="8" s="1"/>
  <c r="BA34" i="8"/>
  <c r="CD34" i="8" s="1"/>
  <c r="BA34" i="8" a="1"/>
  <c r="AZ34" i="8" a="1"/>
  <c r="AZ34" i="8" s="1"/>
  <c r="CC34" i="8" s="1"/>
  <c r="AY34" i="8" a="1"/>
  <c r="AY34" i="8" s="1"/>
  <c r="CB34" i="8" s="1"/>
  <c r="AX34" i="8" a="1"/>
  <c r="AX34" i="8" s="1"/>
  <c r="CA34" i="8" s="1"/>
  <c r="AW34" i="8"/>
  <c r="BZ34" i="8" s="1"/>
  <c r="AW34" i="8" a="1"/>
  <c r="AV34" i="8" a="1"/>
  <c r="AV34" i="8" s="1"/>
  <c r="BY34" i="8" s="1"/>
  <c r="AU34" i="8" a="1"/>
  <c r="AU34" i="8" s="1"/>
  <c r="BX34" i="8" s="1"/>
  <c r="AT34" i="8" a="1"/>
  <c r="AT34" i="8" s="1"/>
  <c r="BW34" i="8" s="1"/>
  <c r="AS34" i="8"/>
  <c r="BV34" i="8" s="1"/>
  <c r="AS34" i="8" a="1"/>
  <c r="AR34" i="8" a="1"/>
  <c r="AR34" i="8" s="1"/>
  <c r="BU34" i="8" s="1"/>
  <c r="AQ34" i="8" a="1"/>
  <c r="AQ34" i="8" s="1"/>
  <c r="BT34" i="8" s="1"/>
  <c r="AP34" i="8" a="1"/>
  <c r="AP34" i="8" s="1"/>
  <c r="BS34" i="8" s="1"/>
  <c r="AO34" i="8" a="1"/>
  <c r="AO34" i="8" s="1"/>
  <c r="BR34" i="8" s="1"/>
  <c r="AN34" i="8" a="1"/>
  <c r="AN34" i="8" s="1"/>
  <c r="BQ34" i="8" s="1"/>
  <c r="AM34" i="8" a="1"/>
  <c r="AM34" i="8" s="1"/>
  <c r="BP34" i="8" s="1"/>
  <c r="AL34" i="8" a="1"/>
  <c r="AL34" i="8" s="1"/>
  <c r="BO34" i="8" s="1"/>
  <c r="AK34" i="8" a="1"/>
  <c r="AK34" i="8" s="1"/>
  <c r="BN34" i="8" s="1"/>
  <c r="AJ34" i="8" a="1"/>
  <c r="AJ34" i="8" s="1"/>
  <c r="BM34" i="8" s="1"/>
  <c r="AI34" i="8" a="1"/>
  <c r="AI34" i="8" s="1"/>
  <c r="BL34" i="8" s="1"/>
  <c r="AH34" i="8" a="1"/>
  <c r="AH34" i="8" s="1"/>
  <c r="BK34" i="8" s="1"/>
  <c r="CJ33" i="8"/>
  <c r="CH33" i="8"/>
  <c r="CB33" i="8"/>
  <c r="BZ33" i="8"/>
  <c r="BT33" i="8"/>
  <c r="BR33" i="8"/>
  <c r="BK33" i="8"/>
  <c r="BG33" i="8"/>
  <c r="BG33" i="8" a="1"/>
  <c r="BF33" i="8" a="1"/>
  <c r="BF33" i="8" s="1"/>
  <c r="CI33" i="8" s="1"/>
  <c r="BE33" i="8"/>
  <c r="BE33" i="8" a="1"/>
  <c r="BD33" i="8"/>
  <c r="CG33" i="8" s="1"/>
  <c r="BD33" i="8" a="1"/>
  <c r="BC33" i="8"/>
  <c r="CF33" i="8" s="1"/>
  <c r="BC33" i="8" a="1"/>
  <c r="BB33" i="8" a="1"/>
  <c r="BB33" i="8" s="1"/>
  <c r="CE33" i="8" s="1"/>
  <c r="BA33" i="8"/>
  <c r="CD33" i="8" s="1"/>
  <c r="BA33" i="8" a="1"/>
  <c r="AZ33" i="8" a="1"/>
  <c r="AZ33" i="8" s="1"/>
  <c r="CC33" i="8" s="1"/>
  <c r="AY33" i="8"/>
  <c r="AY33" i="8" a="1"/>
  <c r="AX33" i="8" a="1"/>
  <c r="AX33" i="8" s="1"/>
  <c r="CA33" i="8" s="1"/>
  <c r="AW33" i="8"/>
  <c r="AW33" i="8" a="1"/>
  <c r="AV33" i="8"/>
  <c r="BY33" i="8" s="1"/>
  <c r="AV33" i="8" a="1"/>
  <c r="AU33" i="8"/>
  <c r="BX33" i="8" s="1"/>
  <c r="AU33" i="8" a="1"/>
  <c r="AT33" i="8" a="1"/>
  <c r="AT33" i="8" s="1"/>
  <c r="BW33" i="8" s="1"/>
  <c r="AS33" i="8"/>
  <c r="BV33" i="8" s="1"/>
  <c r="AS33" i="8" a="1"/>
  <c r="AR33" i="8"/>
  <c r="BU33" i="8" s="1"/>
  <c r="AR33" i="8" a="1"/>
  <c r="AQ33" i="8"/>
  <c r="AQ33" i="8" a="1"/>
  <c r="AP33" i="8" a="1"/>
  <c r="AP33" i="8" s="1"/>
  <c r="BS33" i="8" s="1"/>
  <c r="AO33" i="8"/>
  <c r="AO33" i="8" a="1"/>
  <c r="AN33" i="8" a="1"/>
  <c r="AN33" i="8" s="1"/>
  <c r="BQ33" i="8" s="1"/>
  <c r="AM33" i="8"/>
  <c r="BP33" i="8" s="1"/>
  <c r="AM33" i="8" a="1"/>
  <c r="AL33" i="8" a="1"/>
  <c r="AL33" i="8" s="1"/>
  <c r="BO33" i="8" s="1"/>
  <c r="AK33" i="8"/>
  <c r="BN33" i="8" s="1"/>
  <c r="AK33" i="8" a="1"/>
  <c r="AJ33" i="8"/>
  <c r="BM33" i="8" s="1"/>
  <c r="AJ33" i="8" a="1"/>
  <c r="AI33" i="8"/>
  <c r="BL33" i="8" s="1"/>
  <c r="AI33" i="8" a="1"/>
  <c r="AH33" i="8" a="1"/>
  <c r="AH33" i="8" s="1"/>
  <c r="CG32" i="8"/>
  <c r="CC32" i="8"/>
  <c r="BY32" i="8"/>
  <c r="BU32" i="8"/>
  <c r="BR32" i="8"/>
  <c r="BQ32" i="8"/>
  <c r="BM32" i="8"/>
  <c r="BG32" i="8" a="1"/>
  <c r="BG32" i="8" s="1"/>
  <c r="CJ32" i="8" s="1"/>
  <c r="BF32" i="8"/>
  <c r="CI32" i="8" s="1"/>
  <c r="BF32" i="8" a="1"/>
  <c r="BE32" i="8" a="1"/>
  <c r="BE32" i="8" s="1"/>
  <c r="CH32" i="8" s="1"/>
  <c r="BD32" i="8"/>
  <c r="BD32" i="8" a="1"/>
  <c r="BC32" i="8"/>
  <c r="CF32" i="8" s="1"/>
  <c r="BC32" i="8" a="1"/>
  <c r="BB32" i="8"/>
  <c r="CE32" i="8" s="1"/>
  <c r="BB32" i="8" a="1"/>
  <c r="BA32" i="8" a="1"/>
  <c r="BA32" i="8" s="1"/>
  <c r="CD32" i="8" s="1"/>
  <c r="AZ32" i="8"/>
  <c r="AZ32" i="8" a="1"/>
  <c r="AY32" i="8" a="1"/>
  <c r="AY32" i="8" s="1"/>
  <c r="CB32" i="8" s="1"/>
  <c r="AX32" i="8"/>
  <c r="CA32" i="8" s="1"/>
  <c r="AX32" i="8" a="1"/>
  <c r="AW32" i="8" a="1"/>
  <c r="AW32" i="8" s="1"/>
  <c r="BZ32" i="8" s="1"/>
  <c r="AV32" i="8"/>
  <c r="AV32" i="8" a="1"/>
  <c r="AU32" i="8" a="1"/>
  <c r="AU32" i="8" s="1"/>
  <c r="BX32" i="8" s="1"/>
  <c r="AT32" i="8"/>
  <c r="BW32" i="8" s="1"/>
  <c r="AT32" i="8" a="1"/>
  <c r="AS32" i="8" a="1"/>
  <c r="AS32" i="8" s="1"/>
  <c r="BV32" i="8" s="1"/>
  <c r="AR32" i="8"/>
  <c r="AR32" i="8" a="1"/>
  <c r="AQ32" i="8"/>
  <c r="BT32" i="8" s="1"/>
  <c r="AQ32" i="8" a="1"/>
  <c r="AP32" i="8"/>
  <c r="BS32" i="8" s="1"/>
  <c r="AP32" i="8" a="1"/>
  <c r="AO32" i="8" a="1"/>
  <c r="AO32" i="8" s="1"/>
  <c r="AN32" i="8"/>
  <c r="AN32" i="8" a="1"/>
  <c r="AM32" i="8" a="1"/>
  <c r="AM32" i="8" s="1"/>
  <c r="BP32" i="8" s="1"/>
  <c r="AL32" i="8"/>
  <c r="BO32" i="8" s="1"/>
  <c r="AL32" i="8" a="1"/>
  <c r="AK32" i="8" a="1"/>
  <c r="AK32" i="8" s="1"/>
  <c r="BN32" i="8" s="1"/>
  <c r="AJ32" i="8"/>
  <c r="AJ32" i="8" a="1"/>
  <c r="AI32" i="8"/>
  <c r="BL32" i="8" s="1"/>
  <c r="AI32" i="8" a="1"/>
  <c r="AH32" i="8"/>
  <c r="BK32" i="8" s="1"/>
  <c r="AH32" i="8" a="1"/>
  <c r="CF28" i="8"/>
  <c r="CC28" i="8"/>
  <c r="BX28" i="8"/>
  <c r="BU28" i="8"/>
  <c r="BP28" i="8"/>
  <c r="BM28" i="8"/>
  <c r="BG28" i="8"/>
  <c r="CJ28" i="8" s="1"/>
  <c r="BG28" i="8" a="1"/>
  <c r="BF28" i="8" a="1"/>
  <c r="BF28" i="8" s="1"/>
  <c r="CI28" i="8" s="1"/>
  <c r="BE28" i="8"/>
  <c r="CH28" i="8" s="1"/>
  <c r="BE28" i="8" a="1"/>
  <c r="BD28" i="8" a="1"/>
  <c r="BD28" i="8" s="1"/>
  <c r="CG28" i="8" s="1"/>
  <c r="BC28" i="8"/>
  <c r="BC28" i="8" a="1"/>
  <c r="BB28" i="8"/>
  <c r="CE28" i="8" s="1"/>
  <c r="BB28" i="8" a="1"/>
  <c r="BA28" i="8"/>
  <c r="CD28" i="8" s="1"/>
  <c r="BA28" i="8" a="1"/>
  <c r="AZ28" i="8" a="1"/>
  <c r="AZ28" i="8" s="1"/>
  <c r="AY28" i="8"/>
  <c r="CB28" i="8" s="1"/>
  <c r="AY28" i="8" a="1"/>
  <c r="AX28" i="8" a="1"/>
  <c r="AX28" i="8" s="1"/>
  <c r="CA28" i="8" s="1"/>
  <c r="AW28" i="8" a="1"/>
  <c r="AW28" i="8" s="1"/>
  <c r="BZ28" i="8" s="1"/>
  <c r="AV28" i="8" a="1"/>
  <c r="AV28" i="8" s="1"/>
  <c r="BY28" i="8" s="1"/>
  <c r="AU28" i="8" a="1"/>
  <c r="AU28" i="8" s="1"/>
  <c r="AT28" i="8"/>
  <c r="BW28" i="8" s="1"/>
  <c r="AT28" i="8" a="1"/>
  <c r="AS28" i="8" a="1"/>
  <c r="AS28" i="8" s="1"/>
  <c r="BV28" i="8" s="1"/>
  <c r="AR28" i="8" a="1"/>
  <c r="AR28" i="8" s="1"/>
  <c r="AQ28" i="8" a="1"/>
  <c r="AQ28" i="8" s="1"/>
  <c r="BT28" i="8" s="1"/>
  <c r="AP28" i="8"/>
  <c r="BS28" i="8" s="1"/>
  <c r="AP28" i="8" a="1"/>
  <c r="AO28" i="8"/>
  <c r="BR28" i="8" s="1"/>
  <c r="AO28" i="8" a="1"/>
  <c r="AN28" i="8" a="1"/>
  <c r="AN28" i="8" s="1"/>
  <c r="BQ28" i="8" s="1"/>
  <c r="AM28" i="8" a="1"/>
  <c r="AM28" i="8" s="1"/>
  <c r="AL28" i="8" a="1"/>
  <c r="AL28" i="8" s="1"/>
  <c r="BO28" i="8" s="1"/>
  <c r="AK28" i="8"/>
  <c r="BN28" i="8" s="1"/>
  <c r="AK28" i="8" a="1"/>
  <c r="AJ28" i="8" a="1"/>
  <c r="AJ28" i="8" s="1"/>
  <c r="AI28" i="8" a="1"/>
  <c r="AI28" i="8" s="1"/>
  <c r="BL28" i="8" s="1"/>
  <c r="AH28" i="8" a="1"/>
  <c r="AH28" i="8" s="1"/>
  <c r="BK28" i="8" s="1"/>
  <c r="CG27" i="8"/>
  <c r="CA27" i="8"/>
  <c r="BX27" i="8"/>
  <c r="BU27" i="8"/>
  <c r="BM27" i="8"/>
  <c r="BG27" i="8" a="1"/>
  <c r="BG27" i="8" s="1"/>
  <c r="CJ27" i="8" s="1"/>
  <c r="BF27" i="8"/>
  <c r="CI27" i="8" s="1"/>
  <c r="BF27" i="8" a="1"/>
  <c r="BE27" i="8"/>
  <c r="CH27" i="8" s="1"/>
  <c r="BE27" i="8" a="1"/>
  <c r="BD27" i="8" a="1"/>
  <c r="BD27" i="8" s="1"/>
  <c r="BC27" i="8" a="1"/>
  <c r="BC27" i="8" s="1"/>
  <c r="CF27" i="8" s="1"/>
  <c r="BB27" i="8" a="1"/>
  <c r="BB27" i="8" s="1"/>
  <c r="CE27" i="8" s="1"/>
  <c r="BA27" i="8"/>
  <c r="CD27" i="8" s="1"/>
  <c r="BA27" i="8" a="1"/>
  <c r="AZ27" i="8" a="1"/>
  <c r="AZ27" i="8" s="1"/>
  <c r="CC27" i="8" s="1"/>
  <c r="AY27" i="8" a="1"/>
  <c r="AY27" i="8" s="1"/>
  <c r="CB27" i="8" s="1"/>
  <c r="AX27" i="8" a="1"/>
  <c r="AX27" i="8" s="1"/>
  <c r="AW27" i="8" a="1"/>
  <c r="AW27" i="8" s="1"/>
  <c r="BZ27" i="8" s="1"/>
  <c r="AV27" i="8" a="1"/>
  <c r="AV27" i="8" s="1"/>
  <c r="BY27" i="8" s="1"/>
  <c r="AU27" i="8" a="1"/>
  <c r="AU27" i="8" s="1"/>
  <c r="AT27" i="8"/>
  <c r="BW27" i="8" s="1"/>
  <c r="AT27" i="8" a="1"/>
  <c r="AS27" i="8" a="1"/>
  <c r="AS27" i="8" s="1"/>
  <c r="BV27" i="8" s="1"/>
  <c r="AR27" i="8" a="1"/>
  <c r="AR27" i="8" s="1"/>
  <c r="AQ27" i="8"/>
  <c r="BT27" i="8" s="1"/>
  <c r="AQ27" i="8" a="1"/>
  <c r="AP27" i="8" a="1"/>
  <c r="AP27" i="8" s="1"/>
  <c r="BS27" i="8" s="1"/>
  <c r="AO27" i="8"/>
  <c r="BR27" i="8" s="1"/>
  <c r="AO27" i="8" a="1"/>
  <c r="AN27" i="8" a="1"/>
  <c r="AN27" i="8" s="1"/>
  <c r="BQ27" i="8" s="1"/>
  <c r="AM27" i="8" a="1"/>
  <c r="AM27" i="8" s="1"/>
  <c r="BP27" i="8" s="1"/>
  <c r="AL27" i="8"/>
  <c r="BO27" i="8" s="1"/>
  <c r="AL27" i="8" a="1"/>
  <c r="AK27" i="8"/>
  <c r="BN27" i="8" s="1"/>
  <c r="AK27" i="8" a="1"/>
  <c r="AJ27" i="8" a="1"/>
  <c r="AJ27" i="8" s="1"/>
  <c r="AI27" i="8"/>
  <c r="BL27" i="8" s="1"/>
  <c r="AI27" i="8" a="1"/>
  <c r="AH27" i="8"/>
  <c r="BK27" i="8" s="1"/>
  <c r="AH27" i="8" a="1"/>
  <c r="CH26" i="8"/>
  <c r="CD26" i="8"/>
  <c r="BX26" i="8"/>
  <c r="BG26" i="8"/>
  <c r="CJ26" i="8" s="1"/>
  <c r="BG26" i="8" a="1"/>
  <c r="BF26" i="8" a="1"/>
  <c r="BF26" i="8" s="1"/>
  <c r="BE26" i="8"/>
  <c r="BE26" i="8" a="1"/>
  <c r="BD26" i="8"/>
  <c r="BD26" i="8" a="1"/>
  <c r="BC26" i="8"/>
  <c r="BC26" i="8" a="1"/>
  <c r="BB26" i="8" a="1"/>
  <c r="BB26" i="8" s="1"/>
  <c r="BA26" i="8"/>
  <c r="BA26" i="8" a="1"/>
  <c r="AZ26" i="8"/>
  <c r="CC26" i="8" s="1"/>
  <c r="AZ26" i="8" a="1"/>
  <c r="AY26" i="8"/>
  <c r="AY26" i="8" a="1"/>
  <c r="AX26" i="8" a="1"/>
  <c r="AX26" i="8" s="1"/>
  <c r="AW26" i="8" a="1"/>
  <c r="AW26" i="8" s="1"/>
  <c r="AV26" i="8"/>
  <c r="AV26" i="8" a="1"/>
  <c r="AU26" i="8"/>
  <c r="AU26" i="8" a="1"/>
  <c r="AT26" i="8" a="1"/>
  <c r="AT26" i="8" s="1"/>
  <c r="AS26" i="8" a="1"/>
  <c r="AS26" i="8" s="1"/>
  <c r="AR26" i="8"/>
  <c r="AR26" i="8" a="1"/>
  <c r="AQ26" i="8"/>
  <c r="AQ26" i="8" a="1"/>
  <c r="AP26" i="8" a="1"/>
  <c r="AP26" i="8" s="1"/>
  <c r="AO26" i="8" a="1"/>
  <c r="AO26" i="8" s="1"/>
  <c r="AN26" i="8"/>
  <c r="AN26" i="8" a="1"/>
  <c r="AM26" i="8"/>
  <c r="BP26" i="8" s="1"/>
  <c r="AM26" i="8" a="1"/>
  <c r="AL26" i="8" a="1"/>
  <c r="AL26" i="8" s="1"/>
  <c r="AK26" i="8" a="1"/>
  <c r="AK26" i="8" s="1"/>
  <c r="AJ26" i="8"/>
  <c r="DU27" i="8" s="1" a="1"/>
  <c r="DU27" i="8" s="1"/>
  <c r="AJ26" i="8" a="1"/>
  <c r="AI26" i="8"/>
  <c r="AI26" i="8" a="1"/>
  <c r="AH26" i="8" a="1"/>
  <c r="AH26" i="8" s="1"/>
  <c r="EN25" i="8" a="1"/>
  <c r="EN25" i="8" s="1"/>
  <c r="EB25" i="8" a="1"/>
  <c r="EB25" i="8" s="1"/>
  <c r="BW25" i="8"/>
  <c r="BO25" i="8"/>
  <c r="BG25" i="8"/>
  <c r="CJ25" i="8" s="1"/>
  <c r="BG25" i="8" a="1"/>
  <c r="BF25" i="8" a="1"/>
  <c r="BF25" i="8" s="1"/>
  <c r="BE25" i="8" a="1"/>
  <c r="BE25" i="8" s="1"/>
  <c r="EN26" i="8" s="1" a="1"/>
  <c r="EN26" i="8" s="1"/>
  <c r="BD25" i="8"/>
  <c r="CG25" i="8" s="1"/>
  <c r="BD25" i="8" a="1"/>
  <c r="BC25" i="8"/>
  <c r="CF25" i="8" s="1"/>
  <c r="BC25" i="8" a="1"/>
  <c r="BB25" i="8" a="1"/>
  <c r="BB25" i="8" s="1"/>
  <c r="BA25" i="8" a="1"/>
  <c r="BA25" i="8" s="1"/>
  <c r="AZ25" i="8"/>
  <c r="AZ25" i="8" a="1"/>
  <c r="AY25" i="8"/>
  <c r="AY25" i="8" a="1"/>
  <c r="AX25" i="8" a="1"/>
  <c r="AX25" i="8" s="1"/>
  <c r="AW25" i="8" a="1"/>
  <c r="AW25" i="8" s="1"/>
  <c r="AV25" i="8"/>
  <c r="BY25" i="8" s="1"/>
  <c r="AV25" i="8" a="1"/>
  <c r="AU25" i="8"/>
  <c r="EF26" i="8" s="1" a="1"/>
  <c r="EF26" i="8" s="1"/>
  <c r="AU25" i="8" a="1"/>
  <c r="AT25" i="8" a="1"/>
  <c r="AT25" i="8" s="1"/>
  <c r="EE55" i="8" s="1" a="1"/>
  <c r="EE55" i="8" s="1"/>
  <c r="AS25" i="8" a="1"/>
  <c r="AS25" i="8" s="1"/>
  <c r="AR25" i="8"/>
  <c r="AR25" i="8" a="1"/>
  <c r="AQ25" i="8"/>
  <c r="AQ25" i="8" a="1"/>
  <c r="AP25" i="8" a="1"/>
  <c r="AP25" i="8" s="1"/>
  <c r="AO25" i="8" a="1"/>
  <c r="AO25" i="8" s="1"/>
  <c r="AN25" i="8"/>
  <c r="BQ25" i="8" s="1"/>
  <c r="AN25" i="8" a="1"/>
  <c r="AM25" i="8"/>
  <c r="BP25" i="8" s="1"/>
  <c r="AM25" i="8" a="1"/>
  <c r="AL25" i="8" a="1"/>
  <c r="AL25" i="8" s="1"/>
  <c r="AK25" i="8" a="1"/>
  <c r="AK25" i="8" s="1"/>
  <c r="AJ25" i="8"/>
  <c r="AJ25" i="8" a="1"/>
  <c r="AI25" i="8"/>
  <c r="AI25" i="8" a="1"/>
  <c r="AH25" i="8" a="1"/>
  <c r="AH25" i="8" s="1"/>
  <c r="CB24" i="8"/>
  <c r="BG24" i="8" a="1"/>
  <c r="BG24" i="8" s="1"/>
  <c r="CJ24" i="8" s="1"/>
  <c r="BF24" i="8" a="1"/>
  <c r="BF24" i="8" s="1"/>
  <c r="BE24" i="8"/>
  <c r="BE24" i="8" a="1"/>
  <c r="BD24" i="8"/>
  <c r="BD24" i="8" a="1"/>
  <c r="BC24" i="8" a="1"/>
  <c r="BC24" i="8" s="1"/>
  <c r="BB24" i="8" a="1"/>
  <c r="BB24" i="8" s="1"/>
  <c r="BA24" i="8"/>
  <c r="BA24" i="8" a="1"/>
  <c r="AZ24" i="8"/>
  <c r="AZ24" i="8" a="1"/>
  <c r="AY24" i="8" a="1"/>
  <c r="AY24" i="8" s="1"/>
  <c r="EJ54" i="8" s="1" a="1"/>
  <c r="EJ54" i="8" s="1"/>
  <c r="AX24" i="8" a="1"/>
  <c r="AX24" i="8" s="1"/>
  <c r="AW24" i="8"/>
  <c r="AW24" i="8" a="1"/>
  <c r="AV24" i="8"/>
  <c r="AV24" i="8" a="1"/>
  <c r="AU24" i="8" a="1"/>
  <c r="AU24" i="8" s="1"/>
  <c r="EF25" i="8" s="1" a="1"/>
  <c r="EF25" i="8" s="1"/>
  <c r="AT24" i="8" a="1"/>
  <c r="AT24" i="8" s="1"/>
  <c r="AS24" i="8"/>
  <c r="AS24" i="8" a="1"/>
  <c r="AR24" i="8"/>
  <c r="AR24" i="8" a="1"/>
  <c r="AQ24" i="8" a="1"/>
  <c r="AQ24" i="8" s="1"/>
  <c r="AP24" i="8" a="1"/>
  <c r="AP24" i="8" s="1"/>
  <c r="AO24" i="8"/>
  <c r="AO24" i="8" a="1"/>
  <c r="AN24" i="8"/>
  <c r="AN24" i="8" a="1"/>
  <c r="AM24" i="8" a="1"/>
  <c r="AM24" i="8" s="1"/>
  <c r="AL24" i="8" a="1"/>
  <c r="AL24" i="8" s="1"/>
  <c r="AK24" i="8"/>
  <c r="AK24" i="8" a="1"/>
  <c r="AJ24" i="8"/>
  <c r="AJ24" i="8" a="1"/>
  <c r="AI24" i="8" a="1"/>
  <c r="AI24" i="8" s="1"/>
  <c r="DT54" i="8" s="1" a="1"/>
  <c r="DT54" i="8" s="1"/>
  <c r="AH24" i="8" a="1"/>
  <c r="AH24" i="8" s="1"/>
  <c r="CB23" i="8"/>
  <c r="BT23" i="8"/>
  <c r="BG23" i="8" a="1"/>
  <c r="BG23" i="8" s="1"/>
  <c r="CJ23" i="8" s="1"/>
  <c r="BF23" i="8" a="1"/>
  <c r="BF23" i="8" s="1"/>
  <c r="BE23" i="8"/>
  <c r="BE23" i="8" a="1"/>
  <c r="BD23" i="8"/>
  <c r="BD23" i="8" a="1"/>
  <c r="BC23" i="8" a="1"/>
  <c r="BC23" i="8" s="1"/>
  <c r="BB23" i="8" a="1"/>
  <c r="BB23" i="8" s="1"/>
  <c r="BA23" i="8"/>
  <c r="BA23" i="8" a="1"/>
  <c r="AZ23" i="8"/>
  <c r="AZ23" i="8" a="1"/>
  <c r="AY23" i="8"/>
  <c r="AY23" i="8" a="1"/>
  <c r="AX23" i="8" a="1"/>
  <c r="AX23" i="8" s="1"/>
  <c r="AW23" i="8"/>
  <c r="AW23" i="8" a="1"/>
  <c r="AV23" i="8"/>
  <c r="AV23" i="8" a="1"/>
  <c r="AU23" i="8"/>
  <c r="AU23" i="8" a="1"/>
  <c r="AT23" i="8" a="1"/>
  <c r="AT23" i="8" s="1"/>
  <c r="AS23" i="8"/>
  <c r="AS23" i="8" a="1"/>
  <c r="AR23" i="8"/>
  <c r="AR23" i="8" a="1"/>
  <c r="AQ23" i="8"/>
  <c r="AQ23" i="8" a="1"/>
  <c r="AP23" i="8" a="1"/>
  <c r="AP23" i="8" s="1"/>
  <c r="AO23" i="8"/>
  <c r="AO23" i="8" a="1"/>
  <c r="AN23" i="8"/>
  <c r="AN23" i="8" a="1"/>
  <c r="AM23" i="8"/>
  <c r="AM23" i="8" a="1"/>
  <c r="AL23" i="8" a="1"/>
  <c r="AL23" i="8" s="1"/>
  <c r="AK23" i="8"/>
  <c r="AK23" i="8" a="1"/>
  <c r="AJ23" i="8"/>
  <c r="AJ23" i="8" a="1"/>
  <c r="AI23" i="8"/>
  <c r="AI23" i="8" a="1"/>
  <c r="AH23" i="8" a="1"/>
  <c r="AH23" i="8" s="1"/>
  <c r="EF22" i="8" a="1"/>
  <c r="EF22" i="8" s="1"/>
  <c r="CE22" i="8"/>
  <c r="BT22" i="8"/>
  <c r="BO22" i="8"/>
  <c r="BG22" i="8" a="1"/>
  <c r="BG22" i="8" s="1"/>
  <c r="CJ22" i="8" s="1"/>
  <c r="BF22" i="8" a="1"/>
  <c r="BF22" i="8" s="1"/>
  <c r="BE22" i="8"/>
  <c r="CH22" i="8" s="1"/>
  <c r="BE22" i="8" a="1"/>
  <c r="BD22" i="8"/>
  <c r="BD22" i="8" a="1"/>
  <c r="BC22" i="8" a="1"/>
  <c r="BC22" i="8" s="1"/>
  <c r="BB22" i="8" a="1"/>
  <c r="BB22" i="8" s="1"/>
  <c r="BA22" i="8"/>
  <c r="BA22" i="8" a="1"/>
  <c r="AZ22" i="8"/>
  <c r="AZ22" i="8" a="1"/>
  <c r="AY22" i="8" a="1"/>
  <c r="AY22" i="8" s="1"/>
  <c r="AX22" i="8" a="1"/>
  <c r="AX22" i="8" s="1"/>
  <c r="AW22" i="8"/>
  <c r="BZ22" i="8" s="1"/>
  <c r="AW22" i="8" a="1"/>
  <c r="AV22" i="8"/>
  <c r="BY22" i="8" s="1"/>
  <c r="AV22" i="8" a="1"/>
  <c r="AU22" i="8" a="1"/>
  <c r="AU22" i="8" s="1"/>
  <c r="AT22" i="8" a="1"/>
  <c r="AT22" i="8" s="1"/>
  <c r="AS22" i="8"/>
  <c r="AS22" i="8" a="1"/>
  <c r="AR22" i="8"/>
  <c r="AR22" i="8" a="1"/>
  <c r="AQ22" i="8" a="1"/>
  <c r="AQ22" i="8" s="1"/>
  <c r="AP22" i="8" a="1"/>
  <c r="AP22" i="8" s="1"/>
  <c r="AO22" i="8"/>
  <c r="BR22" i="8" s="1"/>
  <c r="AO22" i="8" a="1"/>
  <c r="AN22" i="8"/>
  <c r="AN22" i="8" a="1"/>
  <c r="AM22" i="8" a="1"/>
  <c r="AM22" i="8" s="1"/>
  <c r="AL22" i="8" a="1"/>
  <c r="AL22" i="8" s="1"/>
  <c r="AK22" i="8"/>
  <c r="AK22" i="8" a="1"/>
  <c r="AJ22" i="8"/>
  <c r="AJ22" i="8" a="1"/>
  <c r="AI22" i="8" a="1"/>
  <c r="AI22" i="8" s="1"/>
  <c r="AH22" i="8" a="1"/>
  <c r="AH22" i="8" s="1"/>
  <c r="CG21" i="8"/>
  <c r="BQ21" i="8"/>
  <c r="BK21" i="8"/>
  <c r="BG21" i="8" a="1"/>
  <c r="BG21" i="8" s="1"/>
  <c r="CJ21" i="8" s="1"/>
  <c r="BF21" i="8" a="1"/>
  <c r="BF21" i="8" s="1"/>
  <c r="BE21" i="8"/>
  <c r="BE21" i="8" a="1"/>
  <c r="BD21" i="8"/>
  <c r="BD21" i="8" a="1"/>
  <c r="BC21" i="8" a="1"/>
  <c r="BC21" i="8" s="1"/>
  <c r="BB21" i="8" a="1"/>
  <c r="BB21" i="8" s="1"/>
  <c r="BA21" i="8"/>
  <c r="BA21" i="8" a="1"/>
  <c r="AZ21" i="8" a="1"/>
  <c r="AZ21" i="8" s="1"/>
  <c r="AY21" i="8" a="1"/>
  <c r="AY21" i="8" s="1"/>
  <c r="CB21" i="8" s="1"/>
  <c r="AX21" i="8" a="1"/>
  <c r="AX21" i="8" s="1"/>
  <c r="AW21" i="8"/>
  <c r="AW21" i="8" a="1"/>
  <c r="AV21" i="8"/>
  <c r="EG51" i="8" s="1" a="1"/>
  <c r="EG51" i="8" s="1"/>
  <c r="AV21" i="8" a="1"/>
  <c r="AU21" i="8" a="1"/>
  <c r="AU21" i="8" s="1"/>
  <c r="AT21" i="8" a="1"/>
  <c r="AT21" i="8" s="1"/>
  <c r="AS21" i="8"/>
  <c r="BV21" i="8" s="1"/>
  <c r="AS21" i="8" a="1"/>
  <c r="AR21" i="8" a="1"/>
  <c r="AR21" i="8" s="1"/>
  <c r="AQ21" i="8" a="1"/>
  <c r="AQ21" i="8" s="1"/>
  <c r="BT21" i="8" s="1"/>
  <c r="AP21" i="8" a="1"/>
  <c r="AP21" i="8" s="1"/>
  <c r="AO21" i="8"/>
  <c r="AO21" i="8" a="1"/>
  <c r="AN21" i="8"/>
  <c r="AN21" i="8" a="1"/>
  <c r="AM21" i="8" a="1"/>
  <c r="AM21" i="8" s="1"/>
  <c r="DX22" i="8" s="1" a="1"/>
  <c r="DX22" i="8" s="1"/>
  <c r="AL21" i="8" a="1"/>
  <c r="AL21" i="8" s="1"/>
  <c r="AK21" i="8"/>
  <c r="AK21" i="8" a="1"/>
  <c r="AJ21" i="8" a="1"/>
  <c r="AJ21" i="8" s="1"/>
  <c r="DU22" i="8" s="1" a="1"/>
  <c r="DU22" i="8" s="1"/>
  <c r="AI21" i="8" a="1"/>
  <c r="AI21" i="8" s="1"/>
  <c r="BL21" i="8" s="1"/>
  <c r="AH21" i="8" a="1"/>
  <c r="AH21" i="8" s="1"/>
  <c r="EG20" i="8" a="1"/>
  <c r="EG20" i="8" s="1"/>
  <c r="CJ20" i="8"/>
  <c r="CF20" i="8"/>
  <c r="CA20" i="8"/>
  <c r="BY20" i="8"/>
  <c r="BT20" i="8"/>
  <c r="BN20" i="8"/>
  <c r="BG20" i="8" a="1"/>
  <c r="BG20" i="8" s="1"/>
  <c r="BF20" i="8"/>
  <c r="BF20" i="8" a="1"/>
  <c r="BE20" i="8"/>
  <c r="BE20" i="8" a="1"/>
  <c r="BD20" i="8"/>
  <c r="BD20" i="8" a="1"/>
  <c r="BC20" i="8" a="1"/>
  <c r="BC20" i="8" s="1"/>
  <c r="EN21" i="8" s="1" a="1"/>
  <c r="EN21" i="8" s="1"/>
  <c r="BB20" i="8"/>
  <c r="BB20" i="8" a="1"/>
  <c r="BA20" i="8"/>
  <c r="CD20" i="8" s="1"/>
  <c r="BA20" i="8" a="1"/>
  <c r="AZ20" i="8" a="1"/>
  <c r="AZ20" i="8" s="1"/>
  <c r="AY20" i="8" a="1"/>
  <c r="AY20" i="8" s="1"/>
  <c r="AX20" i="8"/>
  <c r="AX20" i="8" a="1"/>
  <c r="AW20" i="8"/>
  <c r="AW20" i="8" a="1"/>
  <c r="AV20" i="8"/>
  <c r="AV20" i="8" a="1"/>
  <c r="AU20" i="8" a="1"/>
  <c r="AU20" i="8" s="1"/>
  <c r="AT20" i="8"/>
  <c r="AT20" i="8" a="1"/>
  <c r="AS20" i="8"/>
  <c r="AS20" i="8" a="1"/>
  <c r="AR20" i="8"/>
  <c r="AR20" i="8" a="1"/>
  <c r="AQ20" i="8" a="1"/>
  <c r="AQ20" i="8" s="1"/>
  <c r="AP20" i="8"/>
  <c r="AP20" i="8" a="1"/>
  <c r="AO20" i="8"/>
  <c r="AO20" i="8" a="1"/>
  <c r="AN20" i="8" a="1"/>
  <c r="AN20" i="8" s="1"/>
  <c r="AM20" i="8" a="1"/>
  <c r="AM20" i="8" s="1"/>
  <c r="BP20" i="8" s="1"/>
  <c r="AL20" i="8"/>
  <c r="AL20" i="8" a="1"/>
  <c r="AK20" i="8"/>
  <c r="AK20" i="8" a="1"/>
  <c r="AJ20" i="8" a="1"/>
  <c r="AJ20" i="8" s="1"/>
  <c r="AI20" i="8" a="1"/>
  <c r="AI20" i="8" s="1"/>
  <c r="AH20" i="8"/>
  <c r="AH20" i="8" a="1"/>
  <c r="CI19" i="8"/>
  <c r="CF19" i="8"/>
  <c r="CB19" i="8"/>
  <c r="CA19" i="8"/>
  <c r="BP19" i="8"/>
  <c r="BN19" i="8"/>
  <c r="BG19" i="8" a="1"/>
  <c r="BG19" i="8" s="1"/>
  <c r="BF19" i="8"/>
  <c r="BF19" i="8" a="1"/>
  <c r="BE19" i="8"/>
  <c r="BE19" i="8" a="1"/>
  <c r="BD19" i="8"/>
  <c r="BD19" i="8" a="1"/>
  <c r="BC19" i="8" a="1"/>
  <c r="BC19" i="8" s="1"/>
  <c r="BB19" i="8"/>
  <c r="BB19" i="8" a="1"/>
  <c r="BA19" i="8"/>
  <c r="CD19" i="8" s="1"/>
  <c r="BA19" i="8" a="1"/>
  <c r="AZ19" i="8" a="1"/>
  <c r="AZ19" i="8" s="1"/>
  <c r="AY19" i="8" a="1"/>
  <c r="AY19" i="8" s="1"/>
  <c r="AX19" i="8"/>
  <c r="AX19" i="8" a="1"/>
  <c r="AW19" i="8"/>
  <c r="EH20" i="8" s="1" a="1"/>
  <c r="EH20" i="8" s="1"/>
  <c r="AW19" i="8" a="1"/>
  <c r="AV19" i="8" a="1"/>
  <c r="AV19" i="8" s="1"/>
  <c r="AU19" i="8" a="1"/>
  <c r="AU19" i="8" s="1"/>
  <c r="AT19" i="8"/>
  <c r="AT19" i="8" a="1"/>
  <c r="AS19" i="8"/>
  <c r="AS19" i="8" a="1"/>
  <c r="AR19" i="8"/>
  <c r="AR19" i="8" a="1"/>
  <c r="AQ19" i="8" a="1"/>
  <c r="AQ19" i="8" s="1"/>
  <c r="AP19" i="8"/>
  <c r="AP19" i="8" a="1"/>
  <c r="AO19" i="8"/>
  <c r="AO19" i="8" a="1"/>
  <c r="AN19" i="8"/>
  <c r="DY20" i="8" s="1" a="1"/>
  <c r="DY20" i="8" s="1"/>
  <c r="AN19" i="8" a="1"/>
  <c r="AM19" i="8" a="1"/>
  <c r="AM19" i="8" s="1"/>
  <c r="AL19" i="8"/>
  <c r="AL19" i="8" a="1"/>
  <c r="AK19" i="8"/>
  <c r="AK19" i="8" a="1"/>
  <c r="AJ19" i="8"/>
  <c r="AJ19" i="8" a="1"/>
  <c r="AI19" i="8" a="1"/>
  <c r="AI19" i="8" s="1"/>
  <c r="BL19" i="8" s="1"/>
  <c r="AH19" i="8"/>
  <c r="BK19" i="8" s="1"/>
  <c r="AH19" i="8" a="1"/>
  <c r="EO18" i="8" a="1"/>
  <c r="EO18" i="8" s="1"/>
  <c r="CI18" i="8"/>
  <c r="CG18" i="8"/>
  <c r="CD18" i="8"/>
  <c r="BX18" i="8"/>
  <c r="BV18" i="8"/>
  <c r="BQ18" i="8"/>
  <c r="BP18" i="8"/>
  <c r="BK18" i="8"/>
  <c r="BG18" i="8" a="1"/>
  <c r="BG18" i="8" s="1"/>
  <c r="CJ18" i="8" s="1"/>
  <c r="BF18" i="8"/>
  <c r="BF18" i="8" a="1"/>
  <c r="BE18" i="8"/>
  <c r="BE18" i="8" a="1"/>
  <c r="BD18" i="8" a="1"/>
  <c r="BD18" i="8" s="1"/>
  <c r="BC18" i="8" a="1"/>
  <c r="BC18" i="8" s="1"/>
  <c r="CF18" i="8" s="1"/>
  <c r="BB18" i="8"/>
  <c r="BB18" i="8" a="1"/>
  <c r="BA18" i="8"/>
  <c r="EL19" i="8" s="1" a="1"/>
  <c r="EL19" i="8" s="1"/>
  <c r="BA18" i="8" a="1"/>
  <c r="AZ18" i="8" a="1"/>
  <c r="AZ18" i="8" s="1"/>
  <c r="EK19" i="8" s="1" a="1"/>
  <c r="EK19" i="8" s="1"/>
  <c r="AY18" i="8" a="1"/>
  <c r="AY18" i="8" s="1"/>
  <c r="AX18" i="8"/>
  <c r="AX18" i="8" a="1"/>
  <c r="AW18" i="8" a="1"/>
  <c r="AW18" i="8" s="1"/>
  <c r="AV18" i="8" a="1"/>
  <c r="AV18" i="8" s="1"/>
  <c r="AU18" i="8" a="1"/>
  <c r="AU18" i="8" s="1"/>
  <c r="AT18" i="8"/>
  <c r="AT18" i="8" a="1"/>
  <c r="AS18" i="8"/>
  <c r="AS18" i="8" a="1"/>
  <c r="AR18" i="8" a="1"/>
  <c r="AR18" i="8" s="1"/>
  <c r="BU18" i="8" s="1"/>
  <c r="AQ18" i="8" a="1"/>
  <c r="AQ18" i="8" s="1"/>
  <c r="AP18" i="8"/>
  <c r="BS18" i="8" s="1"/>
  <c r="AP18" i="8" a="1"/>
  <c r="AO18" i="8"/>
  <c r="AO18" i="8" a="1"/>
  <c r="AN18" i="8" a="1"/>
  <c r="AN18" i="8" s="1"/>
  <c r="AM18" i="8" a="1"/>
  <c r="AM18" i="8" s="1"/>
  <c r="AL18" i="8"/>
  <c r="AL18" i="8" a="1"/>
  <c r="AK18" i="8"/>
  <c r="AK18" i="8" a="1"/>
  <c r="AJ18" i="8" a="1"/>
  <c r="AJ18" i="8" s="1"/>
  <c r="AI18" i="8" a="1"/>
  <c r="AI18" i="8" s="1"/>
  <c r="AH18" i="8"/>
  <c r="AH18" i="8" a="1"/>
  <c r="EH17" i="8" a="1"/>
  <c r="EH17" i="8" s="1"/>
  <c r="CG17" i="8"/>
  <c r="CF17" i="8"/>
  <c r="CC17" i="8"/>
  <c r="BV17" i="8"/>
  <c r="BU17" i="8"/>
  <c r="BP17" i="8"/>
  <c r="BM17" i="8"/>
  <c r="BG17" i="8" a="1"/>
  <c r="BG17" i="8" s="1"/>
  <c r="CJ17" i="8" s="1"/>
  <c r="BF17" i="8"/>
  <c r="BF17" i="8" a="1"/>
  <c r="BE17" i="8" a="1"/>
  <c r="BE17" i="8" s="1"/>
  <c r="BD17" i="8" a="1"/>
  <c r="BD17" i="8" s="1"/>
  <c r="BC17" i="8" a="1"/>
  <c r="BC17" i="8" s="1"/>
  <c r="BB17" i="8"/>
  <c r="BB17" i="8" a="1"/>
  <c r="BA17" i="8"/>
  <c r="BA17" i="8" a="1"/>
  <c r="AZ17" i="8" a="1"/>
  <c r="AZ17" i="8" s="1"/>
  <c r="AY17" i="8" a="1"/>
  <c r="AY17" i="8" s="1"/>
  <c r="AX17" i="8"/>
  <c r="AX17" i="8" a="1"/>
  <c r="AW17" i="8" a="1"/>
  <c r="AW17" i="8" s="1"/>
  <c r="AV17" i="8" a="1"/>
  <c r="AV17" i="8" s="1"/>
  <c r="AU17" i="8" a="1"/>
  <c r="AU17" i="8" s="1"/>
  <c r="AT17" i="8" a="1"/>
  <c r="AT17" i="8" s="1"/>
  <c r="AS17" i="8"/>
  <c r="AS17" i="8" a="1"/>
  <c r="AR17" i="8" a="1"/>
  <c r="AR17" i="8" s="1"/>
  <c r="EC18" i="8" s="1" a="1"/>
  <c r="EC18" i="8" s="1"/>
  <c r="AQ17" i="8" a="1"/>
  <c r="AQ17" i="8" s="1"/>
  <c r="AP17" i="8"/>
  <c r="AP17" i="8" a="1"/>
  <c r="AO17" i="8" a="1"/>
  <c r="AO17" i="8" s="1"/>
  <c r="AN17" i="8" a="1"/>
  <c r="AN17" i="8" s="1"/>
  <c r="AM17" i="8" a="1"/>
  <c r="AM17" i="8" s="1"/>
  <c r="AL17" i="8" a="1"/>
  <c r="AL17" i="8" s="1"/>
  <c r="AK17" i="8"/>
  <c r="AK17" i="8" a="1"/>
  <c r="AJ17" i="8" a="1"/>
  <c r="AJ17" i="8" s="1"/>
  <c r="AI17" i="8" a="1"/>
  <c r="AI17" i="8" s="1"/>
  <c r="AH17" i="8"/>
  <c r="BK17" i="8" s="1"/>
  <c r="AH17" i="8" a="1"/>
  <c r="CG16" i="8"/>
  <c r="CD16" i="8"/>
  <c r="CC16" i="8"/>
  <c r="BY16" i="8"/>
  <c r="BV16" i="8"/>
  <c r="BU16" i="8"/>
  <c r="BQ16" i="8"/>
  <c r="BM16" i="8"/>
  <c r="BG16" i="8" a="1"/>
  <c r="BG16" i="8" s="1"/>
  <c r="CJ16" i="8" s="1"/>
  <c r="BF16" i="8"/>
  <c r="BF16" i="8" a="1"/>
  <c r="BE16" i="8"/>
  <c r="BE16" i="8" a="1"/>
  <c r="BD16" i="8"/>
  <c r="BD16" i="8" a="1"/>
  <c r="BC16" i="8" a="1"/>
  <c r="BC16" i="8" s="1"/>
  <c r="BB16" i="8"/>
  <c r="CE16" i="8" s="1"/>
  <c r="BB16" i="8" a="1"/>
  <c r="BA16" i="8"/>
  <c r="BA16" i="8" a="1"/>
  <c r="AZ16" i="8"/>
  <c r="EK17" i="8" s="1" a="1"/>
  <c r="EK17" i="8" s="1"/>
  <c r="AZ16" i="8" a="1"/>
  <c r="AY16" i="8" a="1"/>
  <c r="AY16" i="8" s="1"/>
  <c r="AX16" i="8"/>
  <c r="AX16" i="8" a="1"/>
  <c r="AW16" i="8"/>
  <c r="AW16" i="8" a="1"/>
  <c r="AV16" i="8"/>
  <c r="AV16" i="8" a="1"/>
  <c r="AU16" i="8" a="1"/>
  <c r="AU16" i="8" s="1"/>
  <c r="ED17" i="8" s="1" a="1"/>
  <c r="ED17" i="8" s="1"/>
  <c r="AT16" i="8"/>
  <c r="BW16" i="8" s="1"/>
  <c r="AT16" i="8" a="1"/>
  <c r="AS16" i="8"/>
  <c r="AS16" i="8" a="1"/>
  <c r="AR16" i="8"/>
  <c r="AR16" i="8" a="1"/>
  <c r="AQ16" i="8" a="1"/>
  <c r="AQ16" i="8" s="1"/>
  <c r="AP16" i="8"/>
  <c r="AP16" i="8" a="1"/>
  <c r="AO16" i="8"/>
  <c r="AO16" i="8" a="1"/>
  <c r="AN16" i="8"/>
  <c r="AN16" i="8" a="1"/>
  <c r="AM16" i="8" a="1"/>
  <c r="AM16" i="8" s="1"/>
  <c r="AL16" i="8"/>
  <c r="AL16" i="8" a="1"/>
  <c r="AK16" i="8"/>
  <c r="DU17" i="8" s="1" a="1"/>
  <c r="DU17" i="8" s="1"/>
  <c r="AK16" i="8" a="1"/>
  <c r="AJ16" i="8"/>
  <c r="AJ16" i="8" a="1"/>
  <c r="AI16" i="8" a="1"/>
  <c r="AI16" i="8" s="1"/>
  <c r="AH16" i="8"/>
  <c r="AH16" i="8" a="1"/>
  <c r="CG15" i="8"/>
  <c r="CC15" i="8"/>
  <c r="BY15" i="8"/>
  <c r="BX15" i="8"/>
  <c r="BU15" i="8"/>
  <c r="BQ15" i="8"/>
  <c r="BM15" i="8"/>
  <c r="BG15" i="8" a="1"/>
  <c r="BG15" i="8" s="1"/>
  <c r="CJ15" i="8" s="1"/>
  <c r="BF15" i="8"/>
  <c r="BF15" i="8" a="1"/>
  <c r="BE15" i="8"/>
  <c r="BE15" i="8" a="1"/>
  <c r="BD15" i="8"/>
  <c r="BD15" i="8" a="1"/>
  <c r="BC15" i="8" a="1"/>
  <c r="BC15" i="8" s="1"/>
  <c r="BB15" i="8"/>
  <c r="BB15" i="8" a="1"/>
  <c r="BA15" i="8" a="1"/>
  <c r="BA15" i="8" s="1"/>
  <c r="AZ15" i="8"/>
  <c r="AZ15" i="8" a="1"/>
  <c r="AY15" i="8" a="1"/>
  <c r="AY15" i="8" s="1"/>
  <c r="AX15" i="8" a="1"/>
  <c r="AX15" i="8" s="1"/>
  <c r="AW15" i="8"/>
  <c r="AW15" i="8" a="1"/>
  <c r="AV15" i="8"/>
  <c r="AV15" i="8" a="1"/>
  <c r="AU15" i="8" a="1"/>
  <c r="AU15" i="8" s="1"/>
  <c r="AT15" i="8" a="1"/>
  <c r="AT15" i="8" s="1"/>
  <c r="AS15" i="8"/>
  <c r="AS15" i="8" a="1"/>
  <c r="AR15" i="8"/>
  <c r="AR15" i="8" a="1"/>
  <c r="AQ15" i="8" a="1"/>
  <c r="AQ15" i="8" s="1"/>
  <c r="AP15" i="8"/>
  <c r="AP15" i="8" a="1"/>
  <c r="AO15" i="8" a="1"/>
  <c r="AO15" i="8" s="1"/>
  <c r="AN15" i="8"/>
  <c r="AN15" i="8" a="1"/>
  <c r="AM15" i="8" a="1"/>
  <c r="AM15" i="8" s="1"/>
  <c r="BP15" i="8" s="1"/>
  <c r="AL15" i="8" a="1"/>
  <c r="AL15" i="8" s="1"/>
  <c r="AK15" i="8" a="1"/>
  <c r="AK15" i="8" s="1"/>
  <c r="AJ15" i="8"/>
  <c r="AJ15" i="8" a="1"/>
  <c r="AI15" i="8" a="1"/>
  <c r="AI15" i="8" s="1"/>
  <c r="AH15" i="8"/>
  <c r="AH15" i="8" a="1"/>
  <c r="CI14" i="8"/>
  <c r="CH14" i="8"/>
  <c r="CF14" i="8"/>
  <c r="BZ14" i="8"/>
  <c r="BX14" i="8"/>
  <c r="BG14" i="8"/>
  <c r="CJ14" i="8" s="1"/>
  <c r="BG14" i="8" a="1"/>
  <c r="BF14" i="8"/>
  <c r="BF14" i="8" a="1"/>
  <c r="BE14" i="8"/>
  <c r="BE14" i="8" a="1"/>
  <c r="BD14" i="8" a="1"/>
  <c r="BD14" i="8" s="1"/>
  <c r="BC14" i="8"/>
  <c r="BC14" i="8" a="1"/>
  <c r="BB14" i="8"/>
  <c r="CE14" i="8" s="1"/>
  <c r="BB14" i="8" a="1"/>
  <c r="BA14" i="8"/>
  <c r="BA14" i="8" a="1"/>
  <c r="AZ14" i="8" a="1"/>
  <c r="AZ14" i="8" s="1"/>
  <c r="AY14" i="8"/>
  <c r="AY14" i="8" a="1"/>
  <c r="AX14" i="8"/>
  <c r="CA14" i="8" s="1"/>
  <c r="AX14" i="8" a="1"/>
  <c r="AW14" i="8"/>
  <c r="AW14" i="8" a="1"/>
  <c r="AV14" i="8" a="1"/>
  <c r="AV14" i="8" s="1"/>
  <c r="AU14" i="8"/>
  <c r="AU14" i="8" a="1"/>
  <c r="AT14" i="8"/>
  <c r="BW14" i="8" s="1"/>
  <c r="AT14" i="8" a="1"/>
  <c r="AS14" i="8" a="1"/>
  <c r="AS14" i="8" s="1"/>
  <c r="AR14" i="8" a="1"/>
  <c r="AR14" i="8" s="1"/>
  <c r="AQ14" i="8"/>
  <c r="AQ14" i="8" a="1"/>
  <c r="AP14" i="8"/>
  <c r="BS14" i="8" s="1"/>
  <c r="AP14" i="8" a="1"/>
  <c r="AO14" i="8" a="1"/>
  <c r="AO14" i="8" s="1"/>
  <c r="AN14" i="8" a="1"/>
  <c r="AN14" i="8" s="1"/>
  <c r="AM14" i="8" a="1"/>
  <c r="AM14" i="8" s="1"/>
  <c r="AL14" i="8"/>
  <c r="BO14" i="8" s="1"/>
  <c r="AL14" i="8" a="1"/>
  <c r="AK14" i="8" a="1"/>
  <c r="AK14" i="8" s="1"/>
  <c r="AJ14" i="8" a="1"/>
  <c r="AJ14" i="8" s="1"/>
  <c r="AI14" i="8" a="1"/>
  <c r="AI14" i="8" s="1"/>
  <c r="AH14" i="8"/>
  <c r="BK14" i="8" s="1"/>
  <c r="AH14" i="8" a="1"/>
  <c r="CI13" i="8"/>
  <c r="BG13" i="8" a="1"/>
  <c r="BG13" i="8" s="1"/>
  <c r="CJ13" i="8" s="1"/>
  <c r="BF13" i="8"/>
  <c r="BF13" i="8" a="1"/>
  <c r="BE13" i="8" a="1"/>
  <c r="BE13" i="8" s="1"/>
  <c r="BD13" i="8" a="1"/>
  <c r="BD13" i="8" s="1"/>
  <c r="BC13" i="8" a="1"/>
  <c r="BC13" i="8" s="1"/>
  <c r="BB13" i="8"/>
  <c r="CE13" i="8" s="1"/>
  <c r="BB13" i="8" a="1"/>
  <c r="BA13" i="8" a="1"/>
  <c r="BA13" i="8" s="1"/>
  <c r="AZ13" i="8" a="1"/>
  <c r="AZ13" i="8" s="1"/>
  <c r="AY13" i="8" a="1"/>
  <c r="AY13" i="8" s="1"/>
  <c r="AX13" i="8"/>
  <c r="CA13" i="8" s="1"/>
  <c r="AX13" i="8" a="1"/>
  <c r="AW13" i="8" a="1"/>
  <c r="AW13" i="8" s="1"/>
  <c r="AV13" i="8" a="1"/>
  <c r="AV13" i="8" s="1"/>
  <c r="AU13" i="8" a="1"/>
  <c r="AU13" i="8" s="1"/>
  <c r="AT13" i="8"/>
  <c r="BW13" i="8" s="1"/>
  <c r="AT13" i="8" a="1"/>
  <c r="AS13" i="8" a="1"/>
  <c r="AS13" i="8" s="1"/>
  <c r="AR13" i="8" a="1"/>
  <c r="AR13" i="8" s="1"/>
  <c r="AQ13" i="8" a="1"/>
  <c r="AQ13" i="8" s="1"/>
  <c r="AP13" i="8"/>
  <c r="AP13" i="8" a="1"/>
  <c r="AO13" i="8" a="1"/>
  <c r="AO13" i="8" s="1"/>
  <c r="AN13" i="8" a="1"/>
  <c r="AN13" i="8" s="1"/>
  <c r="AM13" i="8" a="1"/>
  <c r="AM13" i="8" s="1"/>
  <c r="AL13" i="8"/>
  <c r="AL13" i="8" a="1"/>
  <c r="AK13" i="8" a="1"/>
  <c r="AK13" i="8" s="1"/>
  <c r="AJ13" i="8" a="1"/>
  <c r="AJ13" i="8" s="1"/>
  <c r="AI13" i="8" a="1"/>
  <c r="AI13" i="8" s="1"/>
  <c r="AH13" i="8"/>
  <c r="AH13" i="8" a="1"/>
  <c r="CF12" i="8"/>
  <c r="CC12" i="8"/>
  <c r="BX12" i="8"/>
  <c r="BU12" i="8"/>
  <c r="BP12" i="8"/>
  <c r="BM12" i="8"/>
  <c r="BG12" i="8"/>
  <c r="CJ12" i="8" s="1"/>
  <c r="BG12" i="8" a="1"/>
  <c r="BF12" i="8"/>
  <c r="BF12" i="8" a="1"/>
  <c r="BE12" i="8" a="1"/>
  <c r="BE12" i="8" s="1"/>
  <c r="BD12" i="8"/>
  <c r="CG12" i="8" s="1"/>
  <c r="BD12" i="8" a="1"/>
  <c r="BC12" i="8"/>
  <c r="BC12" i="8" a="1"/>
  <c r="BB12" i="8"/>
  <c r="BB12" i="8" a="1"/>
  <c r="BA12" i="8" a="1"/>
  <c r="BA12" i="8" s="1"/>
  <c r="AZ12" i="8"/>
  <c r="AZ12" i="8" a="1"/>
  <c r="AY12" i="8"/>
  <c r="AY12" i="8" a="1"/>
  <c r="AX12" i="8"/>
  <c r="AX12" i="8" a="1"/>
  <c r="AW12" i="8" a="1"/>
  <c r="AW12" i="8" s="1"/>
  <c r="AV12" i="8"/>
  <c r="BY12" i="8" s="1"/>
  <c r="AV12" i="8" a="1"/>
  <c r="AU12" i="8"/>
  <c r="AU12" i="8" a="1"/>
  <c r="AT12" i="8"/>
  <c r="AT12" i="8" a="1"/>
  <c r="AS12" i="8" a="1"/>
  <c r="AS12" i="8" s="1"/>
  <c r="AR12" i="8"/>
  <c r="AR12" i="8" a="1"/>
  <c r="AQ12" i="8"/>
  <c r="AQ12" i="8" a="1"/>
  <c r="AP12" i="8"/>
  <c r="AP12" i="8" a="1"/>
  <c r="AO12" i="8" a="1"/>
  <c r="AO12" i="8" s="1"/>
  <c r="AN12" i="8"/>
  <c r="BQ12" i="8" s="1"/>
  <c r="AN12" i="8" a="1"/>
  <c r="AM12" i="8"/>
  <c r="AM12" i="8" a="1"/>
  <c r="AL12" i="8"/>
  <c r="AL12" i="8" a="1"/>
  <c r="AK12" i="8" a="1"/>
  <c r="AK12" i="8" s="1"/>
  <c r="AJ12" i="8"/>
  <c r="AJ12" i="8" a="1"/>
  <c r="AI12" i="8"/>
  <c r="AI12" i="8" a="1"/>
  <c r="AH12" i="8"/>
  <c r="AH12" i="8" a="1"/>
  <c r="EA11" i="8" a="1"/>
  <c r="EA11" i="8" s="1"/>
  <c r="CG11" i="8"/>
  <c r="CC11" i="8"/>
  <c r="BY11" i="8"/>
  <c r="BU11" i="8"/>
  <c r="BQ11" i="8"/>
  <c r="BM11" i="8"/>
  <c r="BG11" i="8" a="1"/>
  <c r="BG11" i="8" s="1"/>
  <c r="CJ11" i="8" s="1"/>
  <c r="BF11" i="8"/>
  <c r="BF11" i="8" a="1"/>
  <c r="BE11" i="8" a="1"/>
  <c r="BE11" i="8" s="1"/>
  <c r="BD11" i="8"/>
  <c r="BD11" i="8" a="1"/>
  <c r="BC11" i="8" a="1"/>
  <c r="BC11" i="8" s="1"/>
  <c r="CF11" i="8" s="1"/>
  <c r="BB11" i="8"/>
  <c r="BB11" i="8" a="1"/>
  <c r="BA11" i="8" a="1"/>
  <c r="BA11" i="8" s="1"/>
  <c r="AZ11" i="8"/>
  <c r="EK12" i="8" s="1" a="1"/>
  <c r="EK12" i="8" s="1"/>
  <c r="AZ11" i="8" a="1"/>
  <c r="AY11" i="8" a="1"/>
  <c r="AY11" i="8" s="1"/>
  <c r="AX11" i="8"/>
  <c r="EI11" i="8" s="1" a="1"/>
  <c r="EI11" i="8" s="1"/>
  <c r="AX11" i="8" a="1"/>
  <c r="AW11" i="8" a="1"/>
  <c r="AW11" i="8" s="1"/>
  <c r="AV11" i="8"/>
  <c r="AV11" i="8" a="1"/>
  <c r="AU11" i="8" a="1"/>
  <c r="AU11" i="8" s="1"/>
  <c r="AT11" i="8"/>
  <c r="AT11" i="8" a="1"/>
  <c r="AS11" i="8" a="1"/>
  <c r="AS11" i="8" s="1"/>
  <c r="AR11" i="8"/>
  <c r="AR11" i="8" a="1"/>
  <c r="AQ11" i="8" a="1"/>
  <c r="AQ11" i="8" s="1"/>
  <c r="AP11" i="8"/>
  <c r="AP11" i="8" a="1"/>
  <c r="AO11" i="8" a="1"/>
  <c r="AO11" i="8" s="1"/>
  <c r="AN11" i="8"/>
  <c r="AN11" i="8" a="1"/>
  <c r="AM11" i="8" a="1"/>
  <c r="AM11" i="8" s="1"/>
  <c r="AL11" i="8"/>
  <c r="AL11" i="8" a="1"/>
  <c r="AK11" i="8" a="1"/>
  <c r="AK11" i="8" s="1"/>
  <c r="AJ11" i="8"/>
  <c r="DU12" i="8" s="1" a="1"/>
  <c r="DU12" i="8" s="1"/>
  <c r="AJ11" i="8" a="1"/>
  <c r="AI11" i="8" a="1"/>
  <c r="AI11" i="8" s="1"/>
  <c r="AH11" i="8"/>
  <c r="DS11" i="8" s="1" a="1"/>
  <c r="DS11" i="8" s="1"/>
  <c r="AH11" i="8" a="1"/>
  <c r="EA10" i="8" a="1"/>
  <c r="EA10" i="8" s="1"/>
  <c r="CC10" i="8"/>
  <c r="BZ10" i="8"/>
  <c r="BU10" i="8"/>
  <c r="BM10" i="8"/>
  <c r="BG10" i="8"/>
  <c r="CJ10" i="8" s="1"/>
  <c r="BG10" i="8" a="1"/>
  <c r="BF10" i="8" a="1"/>
  <c r="BF10" i="8" s="1"/>
  <c r="BE10" i="8" a="1"/>
  <c r="BE10" i="8" s="1"/>
  <c r="BD10" i="8"/>
  <c r="BD10" i="8" a="1"/>
  <c r="BC10" i="8"/>
  <c r="BC10" i="8" a="1"/>
  <c r="BB10" i="8" a="1"/>
  <c r="BB10" i="8" s="1"/>
  <c r="BA10" i="8" a="1"/>
  <c r="BA10" i="8" s="1"/>
  <c r="AZ10" i="8"/>
  <c r="AZ10" i="8" a="1"/>
  <c r="AY10" i="8"/>
  <c r="AY10" i="8" a="1"/>
  <c r="AX10" i="8" a="1"/>
  <c r="AX10" i="8" s="1"/>
  <c r="AW10" i="8" a="1"/>
  <c r="AW10" i="8" s="1"/>
  <c r="AV10" i="8"/>
  <c r="AV10" i="8" a="1"/>
  <c r="AU10" i="8"/>
  <c r="AU10" i="8" a="1"/>
  <c r="AT10" i="8" a="1"/>
  <c r="AT10" i="8" s="1"/>
  <c r="AS10" i="8" a="1"/>
  <c r="AS10" i="8" s="1"/>
  <c r="AR10" i="8"/>
  <c r="AR10" i="8" a="1"/>
  <c r="AQ10" i="8"/>
  <c r="AQ10" i="8" a="1"/>
  <c r="AP10" i="8" a="1"/>
  <c r="AP10" i="8" s="1"/>
  <c r="AO10" i="8" a="1"/>
  <c r="AO10" i="8" s="1"/>
  <c r="AN10" i="8"/>
  <c r="AN10" i="8" a="1"/>
  <c r="AM10" i="8"/>
  <c r="AM10" i="8" a="1"/>
  <c r="AL10" i="8" a="1"/>
  <c r="AL10" i="8" s="1"/>
  <c r="AK10" i="8" a="1"/>
  <c r="AK10" i="8" s="1"/>
  <c r="AJ10" i="8"/>
  <c r="AJ10" i="8" a="1"/>
  <c r="AI10" i="8"/>
  <c r="AI10" i="8" a="1"/>
  <c r="AH10" i="8" a="1"/>
  <c r="AH10" i="8" s="1"/>
  <c r="CE9" i="8"/>
  <c r="BU9" i="8"/>
  <c r="BG9" i="8"/>
  <c r="CJ9" i="8" s="1"/>
  <c r="BG9" i="8" a="1"/>
  <c r="BF9" i="8" a="1"/>
  <c r="BF9" i="8" s="1"/>
  <c r="BE9" i="8" a="1"/>
  <c r="BE9" i="8" s="1"/>
  <c r="BD9" i="8"/>
  <c r="BD9" i="8" a="1"/>
  <c r="BC9" i="8"/>
  <c r="BC9" i="8" a="1"/>
  <c r="BB9" i="8" a="1"/>
  <c r="BB9" i="8" s="1"/>
  <c r="BA9" i="8" a="1"/>
  <c r="BA9" i="8" s="1"/>
  <c r="AZ9" i="8"/>
  <c r="AZ9" i="8" a="1"/>
  <c r="AY9" i="8" a="1"/>
  <c r="AY9" i="8" s="1"/>
  <c r="AX9" i="8" a="1"/>
  <c r="AX9" i="8" s="1"/>
  <c r="AW9" i="8" a="1"/>
  <c r="AW9" i="8" s="1"/>
  <c r="AV9" i="8"/>
  <c r="AV9" i="8" a="1"/>
  <c r="AU9" i="8"/>
  <c r="AU9" i="8" a="1"/>
  <c r="AT9" i="8" a="1"/>
  <c r="AT9" i="8" s="1"/>
  <c r="AS9" i="8" a="1"/>
  <c r="AS9" i="8" s="1"/>
  <c r="AR9" i="8"/>
  <c r="AR9" i="8" a="1"/>
  <c r="AQ9" i="8"/>
  <c r="AQ9" i="8" a="1"/>
  <c r="AP9" i="8" a="1"/>
  <c r="AP9" i="8" s="1"/>
  <c r="AO9" i="8" a="1"/>
  <c r="AO9" i="8" s="1"/>
  <c r="AN9" i="8"/>
  <c r="AN9" i="8" a="1"/>
  <c r="AM9" i="8"/>
  <c r="AM9" i="8" a="1"/>
  <c r="AL9" i="8" a="1"/>
  <c r="AL9" i="8" s="1"/>
  <c r="AK9" i="8" a="1"/>
  <c r="AK9" i="8" s="1"/>
  <c r="AJ9" i="8"/>
  <c r="AJ9" i="8" a="1"/>
  <c r="AI9" i="8" a="1"/>
  <c r="AI9" i="8" s="1"/>
  <c r="AH9" i="8" a="1"/>
  <c r="AH9" i="8" s="1"/>
  <c r="CG8" i="8"/>
  <c r="BG8" i="8"/>
  <c r="CJ8" i="8" s="1"/>
  <c r="BG8" i="8" a="1"/>
  <c r="BF8" i="8"/>
  <c r="BF8" i="8" a="1"/>
  <c r="BE8" i="8"/>
  <c r="BE8" i="8" a="1"/>
  <c r="BD8" i="8" a="1"/>
  <c r="BD8" i="8" s="1"/>
  <c r="BC8" i="8"/>
  <c r="BC8" i="8" a="1"/>
  <c r="BB8" i="8"/>
  <c r="BB8" i="8" a="1"/>
  <c r="BA8" i="8"/>
  <c r="BA8" i="8" a="1"/>
  <c r="AZ8" i="8" a="1"/>
  <c r="AZ8" i="8" s="1"/>
  <c r="AY8" i="8"/>
  <c r="AY8" i="8" a="1"/>
  <c r="AX8" i="8"/>
  <c r="AX8" i="8" a="1"/>
  <c r="AW8" i="8"/>
  <c r="AW8" i="8" a="1"/>
  <c r="AV8" i="8" a="1"/>
  <c r="AV8" i="8" s="1"/>
  <c r="AU8" i="8"/>
  <c r="AU8" i="8" a="1"/>
  <c r="AT8" i="8"/>
  <c r="AT8" i="8" a="1"/>
  <c r="AS8" i="8"/>
  <c r="AS8" i="8" a="1"/>
  <c r="AR8" i="8" a="1"/>
  <c r="AR8" i="8" s="1"/>
  <c r="AQ8" i="8"/>
  <c r="AQ8" i="8" a="1"/>
  <c r="AP8" i="8"/>
  <c r="AP8" i="8" a="1"/>
  <c r="AO8" i="8"/>
  <c r="AO8" i="8" a="1"/>
  <c r="AN8" i="8" a="1"/>
  <c r="AN8" i="8" s="1"/>
  <c r="AM8" i="8"/>
  <c r="AM8" i="8" a="1"/>
  <c r="AL8" i="8"/>
  <c r="BO8" i="8" s="1"/>
  <c r="AL8" i="8" a="1"/>
  <c r="AK8" i="8"/>
  <c r="AK8" i="8" a="1"/>
  <c r="AJ8" i="8" a="1"/>
  <c r="AJ8" i="8" s="1"/>
  <c r="AI8" i="8"/>
  <c r="AI8" i="8" a="1"/>
  <c r="AH8" i="8"/>
  <c r="AH8" i="8" a="1"/>
  <c r="CG7" i="8"/>
  <c r="CE7" i="8"/>
  <c r="BO7" i="8"/>
  <c r="BG7" i="8"/>
  <c r="CJ7" i="8" s="1"/>
  <c r="BG7" i="8" a="1"/>
  <c r="BF7" i="8" a="1"/>
  <c r="BF7" i="8" s="1"/>
  <c r="BE7" i="8" a="1"/>
  <c r="BE7" i="8" s="1"/>
  <c r="CH7" i="8" s="1"/>
  <c r="BD7" i="8" a="1"/>
  <c r="BD7" i="8" s="1"/>
  <c r="BC7" i="8" a="1"/>
  <c r="BC7" i="8" s="1"/>
  <c r="BB7" i="8" a="1"/>
  <c r="BB7" i="8" s="1"/>
  <c r="BA7" i="8" a="1"/>
  <c r="BA7" i="8" s="1"/>
  <c r="AZ7" i="8" a="1"/>
  <c r="AZ7" i="8" s="1"/>
  <c r="CC7" i="8" s="1"/>
  <c r="AY7" i="8" a="1"/>
  <c r="AY7" i="8" s="1"/>
  <c r="AX7" i="8" a="1"/>
  <c r="AX7" i="8" s="1"/>
  <c r="AW7" i="8" a="1"/>
  <c r="AW7" i="8" s="1"/>
  <c r="BZ7" i="8" s="1"/>
  <c r="AV7" i="8" a="1"/>
  <c r="AV7" i="8" s="1"/>
  <c r="AU7" i="8" a="1"/>
  <c r="AU7" i="8" s="1"/>
  <c r="AT7" i="8" a="1"/>
  <c r="AT7" i="8" s="1"/>
  <c r="BW7" i="8" s="1"/>
  <c r="AS7" i="8" a="1"/>
  <c r="AS7" i="8" s="1"/>
  <c r="AR7" i="8" a="1"/>
  <c r="AR7" i="8" s="1"/>
  <c r="AQ7" i="8" a="1"/>
  <c r="AQ7" i="8" s="1"/>
  <c r="AP7" i="8" a="1"/>
  <c r="AP7" i="8" s="1"/>
  <c r="AO7" i="8" a="1"/>
  <c r="AO7" i="8" s="1"/>
  <c r="AN7" i="8" a="1"/>
  <c r="AN7" i="8" s="1"/>
  <c r="AM7" i="8" a="1"/>
  <c r="AM7" i="8" s="1"/>
  <c r="AL7" i="8" a="1"/>
  <c r="AL7" i="8" s="1"/>
  <c r="AK7" i="8" a="1"/>
  <c r="AK7" i="8" s="1"/>
  <c r="AJ7" i="8" a="1"/>
  <c r="AJ7" i="8" s="1"/>
  <c r="BM7" i="8" s="1"/>
  <c r="AI7" i="8"/>
  <c r="AI7" i="8" a="1"/>
  <c r="AH7" i="8" a="1"/>
  <c r="AH7" i="8" s="1"/>
  <c r="CJ6" i="8"/>
  <c r="CD6" i="8"/>
  <c r="BW6" i="8"/>
  <c r="BT6" i="8"/>
  <c r="BG6" i="8"/>
  <c r="BG6" i="8" a="1"/>
  <c r="BF6" i="8" a="1"/>
  <c r="BF6" i="8" s="1"/>
  <c r="BE6" i="8"/>
  <c r="BE6" i="8" a="1"/>
  <c r="BD6" i="8"/>
  <c r="EO7" i="8" s="1" a="1"/>
  <c r="EO7" i="8" s="1"/>
  <c r="BD6" i="8" a="1"/>
  <c r="BC6" i="8"/>
  <c r="BC6" i="8" a="1"/>
  <c r="BB6" i="8" a="1"/>
  <c r="BB6" i="8" s="1"/>
  <c r="BA6" i="8"/>
  <c r="BA6" i="8" a="1"/>
  <c r="AZ6" i="8"/>
  <c r="AZ6" i="8" a="1"/>
  <c r="AY6" i="8"/>
  <c r="CB6" i="8" s="1"/>
  <c r="AY6" i="8" a="1"/>
  <c r="AX6" i="8" a="1"/>
  <c r="AX6" i="8" s="1"/>
  <c r="AW6" i="8"/>
  <c r="EF7" i="8" s="1" a="1"/>
  <c r="EF7" i="8" s="1"/>
  <c r="AW6" i="8" a="1"/>
  <c r="AV6" i="8"/>
  <c r="AV6" i="8" a="1"/>
  <c r="AU6" i="8"/>
  <c r="AU6" i="8" a="1"/>
  <c r="AT6" i="8" a="1"/>
  <c r="AT6" i="8" s="1"/>
  <c r="EE7" i="8" s="1" a="1"/>
  <c r="EE7" i="8" s="1"/>
  <c r="AS6" i="8"/>
  <c r="BV6" i="8" s="1"/>
  <c r="AS6" i="8" a="1"/>
  <c r="AR6" i="8"/>
  <c r="AR6" i="8" a="1"/>
  <c r="AQ6" i="8"/>
  <c r="EB7" i="8" s="1" a="1"/>
  <c r="EB7" i="8" s="1"/>
  <c r="AQ6" i="8" a="1"/>
  <c r="AP6" i="8" a="1"/>
  <c r="AP6" i="8" s="1"/>
  <c r="AO6" i="8" a="1"/>
  <c r="AO6" i="8" s="1"/>
  <c r="AN6" i="8"/>
  <c r="AN6" i="8" a="1"/>
  <c r="AM6" i="8"/>
  <c r="AM6" i="8" a="1"/>
  <c r="AL6" i="8" a="1"/>
  <c r="AL6" i="8" s="1"/>
  <c r="DW7" i="8" s="1" a="1"/>
  <c r="DW7" i="8" s="1"/>
  <c r="AK6" i="8"/>
  <c r="AK6" i="8" a="1"/>
  <c r="AJ6" i="8" a="1"/>
  <c r="AJ6" i="8" s="1"/>
  <c r="AI6" i="8" a="1"/>
  <c r="AI6" i="8" s="1"/>
  <c r="AH6" i="8" a="1"/>
  <c r="AH6" i="8" s="1"/>
  <c r="CA5" i="8"/>
  <c r="BW5" i="8"/>
  <c r="BG5" i="8" a="1"/>
  <c r="BG5" i="8" s="1"/>
  <c r="CJ5" i="8" s="1"/>
  <c r="BF5" i="8" a="1"/>
  <c r="BF5" i="8" s="1"/>
  <c r="BE5" i="8"/>
  <c r="BE5" i="8" a="1"/>
  <c r="BD5" i="8" a="1"/>
  <c r="BD5" i="8" s="1"/>
  <c r="BC5" i="8" a="1"/>
  <c r="BC5" i="8" s="1"/>
  <c r="BB5" i="8" a="1"/>
  <c r="BB5" i="8" s="1"/>
  <c r="BA5" i="8" a="1"/>
  <c r="BA5" i="8" s="1"/>
  <c r="AZ5" i="8" a="1"/>
  <c r="AZ5" i="8" s="1"/>
  <c r="AY5" i="8"/>
  <c r="CB5" i="8" s="1"/>
  <c r="AY5" i="8" a="1"/>
  <c r="AX5" i="8" a="1"/>
  <c r="AX5" i="8" s="1"/>
  <c r="AW5" i="8"/>
  <c r="BZ5" i="8" s="1"/>
  <c r="AW5" i="8" a="1"/>
  <c r="AV5" i="8"/>
  <c r="AV5" i="8" a="1"/>
  <c r="AU5" i="8" a="1"/>
  <c r="AU5" i="8" s="1"/>
  <c r="AT5" i="8" a="1"/>
  <c r="AT5" i="8" s="1"/>
  <c r="AS5" i="8" a="1"/>
  <c r="AS5" i="8" s="1"/>
  <c r="AR5" i="8" a="1"/>
  <c r="AR5" i="8" s="1"/>
  <c r="AQ5" i="8" a="1"/>
  <c r="AQ5" i="8" s="1"/>
  <c r="AP5" i="8" a="1"/>
  <c r="AP5" i="8" s="1"/>
  <c r="BS5" i="8" s="1"/>
  <c r="AO5" i="8" a="1"/>
  <c r="AO5" i="8" s="1"/>
  <c r="AN5" i="8"/>
  <c r="BQ5" i="8" s="1"/>
  <c r="AN5" i="8" a="1"/>
  <c r="AM5" i="8"/>
  <c r="AM5" i="8" a="1"/>
  <c r="AL5" i="8" a="1"/>
  <c r="AL5" i="8" s="1"/>
  <c r="BO5" i="8" s="1"/>
  <c r="AK5" i="8"/>
  <c r="AK5" i="8" a="1"/>
  <c r="AJ5" i="8" a="1"/>
  <c r="AJ5" i="8" s="1"/>
  <c r="AI5" i="8" a="1"/>
  <c r="AI5" i="8" s="1"/>
  <c r="AH5" i="8" a="1"/>
  <c r="AH5" i="8" s="1"/>
  <c r="BK5" i="8" s="1"/>
  <c r="BG4" i="8"/>
  <c r="CJ4" i="8" s="1"/>
  <c r="BG4" i="8" a="1"/>
  <c r="BF4" i="8"/>
  <c r="BF4" i="8" a="1"/>
  <c r="BE4" i="8" a="1"/>
  <c r="BE4" i="8" s="1"/>
  <c r="BD4" i="8" a="1"/>
  <c r="BD4" i="8" s="1"/>
  <c r="BC4" i="8"/>
  <c r="EN5" i="8" s="1" a="1"/>
  <c r="EN5" i="8" s="1"/>
  <c r="BC4" i="8" a="1"/>
  <c r="BB4" i="8"/>
  <c r="BB4" i="8" a="1"/>
  <c r="BA4" i="8" a="1"/>
  <c r="BA4" i="8" s="1"/>
  <c r="AZ4" i="8" a="1"/>
  <c r="AZ4" i="8" s="1"/>
  <c r="AY4" i="8"/>
  <c r="AY4" i="8" a="1"/>
  <c r="AX4" i="8"/>
  <c r="AX4" i="8" a="1"/>
  <c r="AW4" i="8" a="1"/>
  <c r="AW4" i="8" s="1"/>
  <c r="AV4" i="8" a="1"/>
  <c r="AV4" i="8" s="1"/>
  <c r="AU4" i="8"/>
  <c r="BX4" i="8" s="1"/>
  <c r="AU4" i="8" a="1"/>
  <c r="AT4" i="8"/>
  <c r="AT4" i="8" a="1"/>
  <c r="AS4" i="8" a="1"/>
  <c r="AS4" i="8" s="1"/>
  <c r="AR4" i="8" a="1"/>
  <c r="AR4" i="8" s="1"/>
  <c r="AQ4" i="8"/>
  <c r="AQ4" i="8" a="1"/>
  <c r="AP4" i="8"/>
  <c r="AP4" i="8" a="1"/>
  <c r="AO4" i="8" a="1"/>
  <c r="AO4" i="8" s="1"/>
  <c r="AN4" i="8" a="1"/>
  <c r="AN4" i="8" s="1"/>
  <c r="AM4" i="8"/>
  <c r="DW5" i="8" s="1" a="1"/>
  <c r="DW5" i="8" s="1"/>
  <c r="AM4" i="8" a="1"/>
  <c r="AL4" i="8"/>
  <c r="AL4" i="8" a="1"/>
  <c r="AK4" i="8" a="1"/>
  <c r="AK4" i="8" s="1"/>
  <c r="AJ4" i="8" a="1"/>
  <c r="AJ4" i="8" s="1"/>
  <c r="AI4" i="8"/>
  <c r="BL4" i="8" s="1"/>
  <c r="AI4" i="8" a="1"/>
  <c r="AH4" i="8"/>
  <c r="AH4" i="8" a="1"/>
  <c r="BG3" i="8" a="1"/>
  <c r="BG3" i="8" s="1"/>
  <c r="CJ3" i="8" s="1"/>
  <c r="BF3" i="8"/>
  <c r="BF3" i="8" a="1"/>
  <c r="BE3" i="8"/>
  <c r="BE3" i="8" a="1"/>
  <c r="BD3" i="8" a="1"/>
  <c r="BD3" i="8" s="1"/>
  <c r="BC3" i="8" a="1"/>
  <c r="BC3" i="8" s="1"/>
  <c r="BB3" i="8"/>
  <c r="BB3" i="8" a="1"/>
  <c r="BA3" i="8"/>
  <c r="BA3" i="8" a="1"/>
  <c r="AZ3" i="8" a="1"/>
  <c r="AZ3" i="8" s="1"/>
  <c r="AY3" i="8" a="1"/>
  <c r="AY3" i="8" s="1"/>
  <c r="AX3" i="8"/>
  <c r="AX3" i="8" a="1"/>
  <c r="AW3" i="8"/>
  <c r="AW3" i="8" a="1"/>
  <c r="AV3" i="8" a="1"/>
  <c r="AV3" i="8" s="1"/>
  <c r="AU3" i="8" a="1"/>
  <c r="AU3" i="8" s="1"/>
  <c r="AT3" i="8"/>
  <c r="AT3" i="8" a="1"/>
  <c r="AS3" i="8"/>
  <c r="AS3" i="8" a="1"/>
  <c r="AR3" i="8" a="1"/>
  <c r="AR3" i="8" s="1"/>
  <c r="AQ3" i="8" a="1"/>
  <c r="AQ3" i="8" s="1"/>
  <c r="AP3" i="8"/>
  <c r="BS3" i="8" s="1"/>
  <c r="AP3" i="8" a="1"/>
  <c r="AO3" i="8"/>
  <c r="AO3" i="8" a="1"/>
  <c r="AN3" i="8" a="1"/>
  <c r="AN3" i="8" s="1"/>
  <c r="AM3" i="8" a="1"/>
  <c r="AM3" i="8" s="1"/>
  <c r="AL3" i="8"/>
  <c r="BO3" i="8" s="1"/>
  <c r="AL3" i="8" a="1"/>
  <c r="AK3" i="8"/>
  <c r="AK3" i="8" a="1"/>
  <c r="AJ3" i="8" a="1"/>
  <c r="AJ3" i="8" s="1"/>
  <c r="AI3" i="8" a="1"/>
  <c r="AI3" i="8" s="1"/>
  <c r="AH3" i="8"/>
  <c r="BK3" i="8" s="1"/>
  <c r="AH3" i="8" a="1"/>
  <c r="EL4" i="8" l="1" a="1"/>
  <c r="EL4" i="8" s="1"/>
  <c r="EC33" i="8" a="1"/>
  <c r="EC33" i="8" s="1"/>
  <c r="BU3" i="8"/>
  <c r="EC4" i="8" a="1"/>
  <c r="EC4" i="8" s="1"/>
  <c r="EM4" i="8" a="1"/>
  <c r="EM4" i="8" s="1"/>
  <c r="EC34" i="8" a="1"/>
  <c r="EC34" i="8" s="1"/>
  <c r="BU4" i="8"/>
  <c r="EC5" i="8" a="1"/>
  <c r="EC5" i="8" s="1"/>
  <c r="EF35" i="8" a="1"/>
  <c r="EF35" i="8" s="1"/>
  <c r="BX5" i="8"/>
  <c r="EF6" i="8" a="1"/>
  <c r="EF6" i="8" s="1"/>
  <c r="EK35" i="8" a="1"/>
  <c r="EK35" i="8" s="1"/>
  <c r="EK6" i="8" a="1"/>
  <c r="EK6" i="8" s="1"/>
  <c r="CC5" i="8"/>
  <c r="EJ6" i="8" a="1"/>
  <c r="EJ6" i="8" s="1"/>
  <c r="EL35" i="8" a="1"/>
  <c r="EL35" i="8" s="1"/>
  <c r="EL6" i="8" a="1"/>
  <c r="EL6" i="8" s="1"/>
  <c r="CD5" i="8"/>
  <c r="DY33" i="8" a="1"/>
  <c r="DY33" i="8" s="1"/>
  <c r="BQ3" i="8"/>
  <c r="DY4" i="8" a="1"/>
  <c r="DY4" i="8" s="1"/>
  <c r="EI4" i="8" a="1"/>
  <c r="EI4" i="8" s="1"/>
  <c r="EO33" i="8" a="1"/>
  <c r="EO33" i="8" s="1"/>
  <c r="EO4" i="8" a="1"/>
  <c r="EO4" i="8" s="1"/>
  <c r="CG3" i="8"/>
  <c r="DY34" i="8" a="1"/>
  <c r="DY34" i="8" s="1"/>
  <c r="DY5" i="8" a="1"/>
  <c r="DY5" i="8" s="1"/>
  <c r="BQ4" i="8"/>
  <c r="EO34" i="8" a="1"/>
  <c r="EO34" i="8" s="1"/>
  <c r="EO5" i="8" a="1"/>
  <c r="EO5" i="8" s="1"/>
  <c r="CG4" i="8"/>
  <c r="DU35" i="8" a="1"/>
  <c r="DU35" i="8" s="1"/>
  <c r="DU6" i="8" a="1"/>
  <c r="DU6" i="8" s="1"/>
  <c r="BM5" i="8"/>
  <c r="DZ35" i="8" a="1"/>
  <c r="DZ35" i="8" s="1"/>
  <c r="DZ6" i="8" a="1"/>
  <c r="DZ6" i="8" s="1"/>
  <c r="BR5" i="8"/>
  <c r="ED34" i="8" a="1"/>
  <c r="ED34" i="8" s="1"/>
  <c r="BV4" i="8"/>
  <c r="ED5" i="8" a="1"/>
  <c r="ED5" i="8" s="1"/>
  <c r="DT35" i="8" a="1"/>
  <c r="DT35" i="8" s="1"/>
  <c r="BL5" i="8"/>
  <c r="DT6" i="8" a="1"/>
  <c r="DT6" i="8" s="1"/>
  <c r="EJ33" i="8" a="1"/>
  <c r="EJ33" i="8" s="1"/>
  <c r="CB3" i="8"/>
  <c r="EJ4" i="8" a="1"/>
  <c r="EJ4" i="8" s="1"/>
  <c r="DZ34" i="8" a="1"/>
  <c r="DZ34" i="8" s="1"/>
  <c r="DZ5" i="8" a="1"/>
  <c r="DZ5" i="8" s="1"/>
  <c r="BR4" i="8"/>
  <c r="DS7" i="8" a="1"/>
  <c r="DS7" i="8" s="1"/>
  <c r="EM7" i="8" a="1"/>
  <c r="EM7" i="8" s="1"/>
  <c r="EB37" i="8" a="1"/>
  <c r="EB37" i="8" s="1"/>
  <c r="BT7" i="8"/>
  <c r="EB8" i="8" a="1"/>
  <c r="EB8" i="8" s="1"/>
  <c r="EJ37" i="8" a="1"/>
  <c r="EJ37" i="8" s="1"/>
  <c r="CB7" i="8"/>
  <c r="EJ8" i="8" a="1"/>
  <c r="EJ8" i="8" s="1"/>
  <c r="DU36" i="8" a="1"/>
  <c r="DU36" i="8" s="1"/>
  <c r="BM6" i="8"/>
  <c r="DU7" i="8" a="1"/>
  <c r="DU7" i="8" s="1"/>
  <c r="DX33" i="8" a="1"/>
  <c r="DX33" i="8" s="1"/>
  <c r="DX4" i="8" a="1"/>
  <c r="DX4" i="8" s="1"/>
  <c r="BP3" i="8"/>
  <c r="EN33" i="8" a="1"/>
  <c r="EN33" i="8" s="1"/>
  <c r="EN4" i="8" a="1"/>
  <c r="EN4" i="8" s="1"/>
  <c r="CF3" i="8"/>
  <c r="DT33" i="8" a="1"/>
  <c r="DT33" i="8" s="1"/>
  <c r="DT4" i="8" a="1"/>
  <c r="DT4" i="8" s="1"/>
  <c r="BL3" i="8"/>
  <c r="EJ5" i="8" a="1"/>
  <c r="EJ5" i="8" s="1"/>
  <c r="EP34" i="8" a="1"/>
  <c r="EP34" i="8" s="1"/>
  <c r="EP5" i="8" a="1"/>
  <c r="EP5" i="8" s="1"/>
  <c r="CH4" i="8"/>
  <c r="EN35" i="8" a="1"/>
  <c r="EN35" i="8" s="1"/>
  <c r="CF5" i="8"/>
  <c r="EN6" i="8" a="1"/>
  <c r="EN6" i="8" s="1"/>
  <c r="DU33" i="8" a="1"/>
  <c r="DU33" i="8" s="1"/>
  <c r="BM3" i="8"/>
  <c r="DU4" i="8" a="1"/>
  <c r="DU4" i="8" s="1"/>
  <c r="EK33" i="8" a="1"/>
  <c r="EK33" i="8" s="1"/>
  <c r="CC3" i="8"/>
  <c r="EK4" i="8" a="1"/>
  <c r="EK4" i="8" s="1"/>
  <c r="DU34" i="8" a="1"/>
  <c r="DU34" i="8" s="1"/>
  <c r="DU5" i="8" a="1"/>
  <c r="DU5" i="8" s="1"/>
  <c r="BM4" i="8"/>
  <c r="EK34" i="8" a="1"/>
  <c r="EK34" i="8" s="1"/>
  <c r="CC4" i="8"/>
  <c r="EK5" i="8" a="1"/>
  <c r="EK5" i="8" s="1"/>
  <c r="EB35" i="8" a="1"/>
  <c r="EB35" i="8" s="1"/>
  <c r="BT5" i="8"/>
  <c r="EB6" i="8" a="1"/>
  <c r="EB6" i="8" s="1"/>
  <c r="EO35" i="8" a="1"/>
  <c r="EO35" i="8" s="1"/>
  <c r="EO6" i="8" a="1"/>
  <c r="EO6" i="8" s="1"/>
  <c r="CG5" i="8"/>
  <c r="DT36" i="8" a="1"/>
  <c r="DT36" i="8" s="1"/>
  <c r="DT7" i="8" a="1"/>
  <c r="DT7" i="8" s="1"/>
  <c r="BL6" i="8"/>
  <c r="EF33" i="8" a="1"/>
  <c r="EF33" i="8" s="1"/>
  <c r="EF4" i="8" a="1"/>
  <c r="EF4" i="8" s="1"/>
  <c r="BX3" i="8"/>
  <c r="DV34" i="8" a="1"/>
  <c r="DV34" i="8" s="1"/>
  <c r="BN4" i="8"/>
  <c r="DV5" i="8" a="1"/>
  <c r="DV5" i="8" s="1"/>
  <c r="EL34" i="8" a="1"/>
  <c r="EL34" i="8" s="1"/>
  <c r="EL5" i="8" a="1"/>
  <c r="EL5" i="8" s="1"/>
  <c r="CD4" i="8"/>
  <c r="EC35" i="8" a="1"/>
  <c r="EC35" i="8" s="1"/>
  <c r="EC6" i="8" a="1"/>
  <c r="EC6" i="8" s="1"/>
  <c r="BU5" i="8"/>
  <c r="DZ36" i="8" a="1"/>
  <c r="DZ36" i="8" s="1"/>
  <c r="DZ7" i="8" a="1"/>
  <c r="DZ7" i="8" s="1"/>
  <c r="BR6" i="8"/>
  <c r="EG33" i="8" a="1"/>
  <c r="EG33" i="8" s="1"/>
  <c r="FG33" i="8" s="1"/>
  <c r="EG4" i="8" a="1"/>
  <c r="EG4" i="8" s="1"/>
  <c r="BY3" i="8"/>
  <c r="EG34" i="8" a="1"/>
  <c r="EG34" i="8" s="1"/>
  <c r="EG5" i="8" a="1"/>
  <c r="EG5" i="8" s="1"/>
  <c r="BY4" i="8"/>
  <c r="ED35" i="8" a="1"/>
  <c r="ED35" i="8" s="1"/>
  <c r="ED6" i="8" a="1"/>
  <c r="ED6" i="8" s="1"/>
  <c r="BV5" i="8"/>
  <c r="EB33" i="8" a="1"/>
  <c r="EB33" i="8" s="1"/>
  <c r="EB4" i="8" a="1"/>
  <c r="EB4" i="8" s="1"/>
  <c r="BT3" i="8"/>
  <c r="EH34" i="8" a="1"/>
  <c r="EH34" i="8" s="1"/>
  <c r="EH5" i="8" a="1"/>
  <c r="EH5" i="8" s="1"/>
  <c r="BZ4" i="8"/>
  <c r="DX37" i="8" a="1"/>
  <c r="DX37" i="8" s="1"/>
  <c r="BP7" i="8"/>
  <c r="DX8" i="8" a="1"/>
  <c r="DX8" i="8" s="1"/>
  <c r="EF37" i="8" a="1"/>
  <c r="EF37" i="8" s="1"/>
  <c r="BX7" i="8"/>
  <c r="EF8" i="8" a="1"/>
  <c r="EF8" i="8" s="1"/>
  <c r="EN37" i="8" a="1"/>
  <c r="EN37" i="8" s="1"/>
  <c r="EN8" i="8" a="1"/>
  <c r="EN8" i="8" s="1"/>
  <c r="CF7" i="8"/>
  <c r="EN7" i="8" a="1"/>
  <c r="EN7" i="8" s="1"/>
  <c r="CA3" i="8"/>
  <c r="DZ33" i="8" a="1"/>
  <c r="DZ33" i="8" s="1"/>
  <c r="EH33" i="8" a="1"/>
  <c r="EH33" i="8" s="1"/>
  <c r="EP33" i="8" a="1"/>
  <c r="EP33" i="8" s="1"/>
  <c r="CD3" i="8"/>
  <c r="DW34" i="8" a="1"/>
  <c r="DW34" i="8" s="1"/>
  <c r="EE34" i="8" a="1"/>
  <c r="EE34" i="8" s="1"/>
  <c r="BP4" i="8"/>
  <c r="CF4" i="8"/>
  <c r="DX35" i="8" a="1"/>
  <c r="DX35" i="8" s="1"/>
  <c r="BP5" i="8"/>
  <c r="EG35" i="8" a="1"/>
  <c r="EG35" i="8" s="1"/>
  <c r="EG6" i="8" a="1"/>
  <c r="EG6" i="8" s="1"/>
  <c r="EP35" i="8" a="1"/>
  <c r="EP35" i="8" s="1"/>
  <c r="EP6" i="8" a="1"/>
  <c r="EP6" i="8" s="1"/>
  <c r="BY5" i="8"/>
  <c r="CH5" i="8"/>
  <c r="EE5" i="8" a="1"/>
  <c r="EE5" i="8" s="1"/>
  <c r="DX36" i="8" a="1"/>
  <c r="DX36" i="8" s="1"/>
  <c r="BP6" i="8"/>
  <c r="EG36" i="8" a="1"/>
  <c r="EG36" i="8" s="1"/>
  <c r="BY6" i="8"/>
  <c r="EP36" i="8" a="1"/>
  <c r="EP36" i="8" s="1"/>
  <c r="EP7" i="8" a="1"/>
  <c r="EP7" i="8" s="1"/>
  <c r="DS37" i="8" a="1"/>
  <c r="DS37" i="8" s="1"/>
  <c r="DS8" i="8" a="1"/>
  <c r="DS8" i="8" s="1"/>
  <c r="BK7" i="8"/>
  <c r="DY37" i="8" a="1"/>
  <c r="DY37" i="8" s="1"/>
  <c r="DY8" i="8" a="1"/>
  <c r="DY8" i="8" s="1"/>
  <c r="EY8" i="8" s="1"/>
  <c r="EL37" i="8" a="1"/>
  <c r="EL37" i="8" s="1"/>
  <c r="EL8" i="8" a="1"/>
  <c r="EL8" i="8" s="1"/>
  <c r="CD7" i="8"/>
  <c r="DX38" i="8" a="1"/>
  <c r="DX38" i="8" s="1"/>
  <c r="DX9" i="8" a="1"/>
  <c r="DX9" i="8" s="1"/>
  <c r="BP8" i="8"/>
  <c r="EC38" i="8" a="1"/>
  <c r="EC38" i="8" s="1"/>
  <c r="BU8" i="8"/>
  <c r="EC9" i="8" a="1"/>
  <c r="EC9" i="8" s="1"/>
  <c r="EL38" i="8" a="1"/>
  <c r="EL38" i="8" s="1"/>
  <c r="EL9" i="8" a="1"/>
  <c r="EL9" i="8" s="1"/>
  <c r="CD8" i="8"/>
  <c r="EK8" i="8" a="1"/>
  <c r="EK8" i="8" s="1"/>
  <c r="EE33" i="8" a="1"/>
  <c r="EE33" i="8" s="1"/>
  <c r="CI3" i="8"/>
  <c r="DV33" i="8" a="1"/>
  <c r="DV33" i="8" s="1"/>
  <c r="ED33" i="8" a="1"/>
  <c r="ED33" i="8" s="1"/>
  <c r="EL33" i="8" a="1"/>
  <c r="EL33" i="8" s="1"/>
  <c r="BN3" i="8"/>
  <c r="BV3" i="8"/>
  <c r="DS34" i="8" a="1"/>
  <c r="DS34" i="8" s="1"/>
  <c r="EA34" i="8" a="1"/>
  <c r="EA34" i="8" s="1"/>
  <c r="EI34" i="8" a="1"/>
  <c r="EI34" i="8" s="1"/>
  <c r="EM34" i="8" a="1"/>
  <c r="EM34" i="8" s="1"/>
  <c r="BW3" i="8"/>
  <c r="CE3" i="8"/>
  <c r="EH4" i="8" a="1"/>
  <c r="EH4" i="8" s="1"/>
  <c r="CI5" i="8"/>
  <c r="EA5" i="8" a="1"/>
  <c r="EA5" i="8" s="1"/>
  <c r="EC36" i="8" a="1"/>
  <c r="EC36" i="8" s="1"/>
  <c r="BU6" i="8"/>
  <c r="EL36" i="8" a="1"/>
  <c r="EL36" i="8" s="1"/>
  <c r="EL7" i="8" a="1"/>
  <c r="EL7" i="8" s="1"/>
  <c r="CI6" i="8"/>
  <c r="DZ37" i="8" a="1"/>
  <c r="DZ37" i="8" s="1"/>
  <c r="DZ8" i="8" a="1"/>
  <c r="DZ8" i="8" s="1"/>
  <c r="EM37" i="8" a="1"/>
  <c r="EM37" i="8" s="1"/>
  <c r="EM8" i="8" a="1"/>
  <c r="EM8" i="8" s="1"/>
  <c r="DT38" i="8" a="1"/>
  <c r="DT38" i="8" s="1"/>
  <c r="BL8" i="8"/>
  <c r="DT9" i="8" a="1"/>
  <c r="DT9" i="8" s="1"/>
  <c r="DY38" i="8" a="1"/>
  <c r="DY38" i="8" s="1"/>
  <c r="DY9" i="8" a="1"/>
  <c r="DY9" i="8" s="1"/>
  <c r="BQ8" i="8"/>
  <c r="EH38" i="8" a="1"/>
  <c r="EH38" i="8" s="1"/>
  <c r="EH9" i="8" a="1"/>
  <c r="EH9" i="8" s="1"/>
  <c r="BZ8" i="8"/>
  <c r="DW33" i="8" a="1"/>
  <c r="DW33" i="8" s="1"/>
  <c r="EF34" i="8" a="1"/>
  <c r="EF34" i="8" s="1"/>
  <c r="ED4" i="8" a="1"/>
  <c r="ED4" i="8" s="1"/>
  <c r="EM35" i="8" a="1"/>
  <c r="EM35" i="8" s="1"/>
  <c r="EM6" i="8" a="1"/>
  <c r="EM6" i="8" s="1"/>
  <c r="FM6" i="8" s="1"/>
  <c r="DU38" i="8" a="1"/>
  <c r="DU38" i="8" s="1"/>
  <c r="BM8" i="8"/>
  <c r="DU9" i="8" a="1"/>
  <c r="DU9" i="8" s="1"/>
  <c r="ED38" i="8" a="1"/>
  <c r="ED38" i="8" s="1"/>
  <c r="ED9" i="8" a="1"/>
  <c r="ED9" i="8" s="1"/>
  <c r="BV8" i="8"/>
  <c r="EA33" i="8" a="1"/>
  <c r="EA33" i="8" s="1"/>
  <c r="EB34" i="8" a="1"/>
  <c r="EB34" i="8" s="1"/>
  <c r="EN34" i="8" a="1"/>
  <c r="EN34" i="8" s="1"/>
  <c r="DY35" i="8" a="1"/>
  <c r="DY35" i="8" s="1"/>
  <c r="DY6" i="8" a="1"/>
  <c r="DY6" i="8" s="1"/>
  <c r="DY36" i="8" a="1"/>
  <c r="DY36" i="8" s="1"/>
  <c r="BQ6" i="8"/>
  <c r="EH36" i="8" a="1"/>
  <c r="EH36" i="8" s="1"/>
  <c r="EH7" i="8" a="1"/>
  <c r="EH7" i="8" s="1"/>
  <c r="EA37" i="8" a="1"/>
  <c r="EA37" i="8" s="1"/>
  <c r="EA8" i="8" a="1"/>
  <c r="EA8" i="8" s="1"/>
  <c r="BS7" i="8"/>
  <c r="EG37" i="8" a="1"/>
  <c r="EG37" i="8" s="1"/>
  <c r="EG8" i="8" a="1"/>
  <c r="EG8" i="8" s="1"/>
  <c r="DS9" i="8" a="1"/>
  <c r="DS9" i="8" s="1"/>
  <c r="BK4" i="8"/>
  <c r="CI4" i="8"/>
  <c r="EB5" i="8" a="1"/>
  <c r="EB5" i="8" s="1"/>
  <c r="ED36" i="8" a="1"/>
  <c r="ED36" i="8" s="1"/>
  <c r="ED7" i="8" a="1"/>
  <c r="ED7" i="8" s="1"/>
  <c r="BZ6" i="8"/>
  <c r="DU37" i="8" a="1"/>
  <c r="DU37" i="8" s="1"/>
  <c r="DU8" i="8" a="1"/>
  <c r="DU8" i="8" s="1"/>
  <c r="EH37" i="8" a="1"/>
  <c r="EH37" i="8" s="1"/>
  <c r="EH8" i="8" a="1"/>
  <c r="EH8" i="8" s="1"/>
  <c r="BQ7" i="8"/>
  <c r="DY7" i="8" a="1"/>
  <c r="DY7" i="8" s="1"/>
  <c r="DZ38" i="8" a="1"/>
  <c r="DZ38" i="8" s="1"/>
  <c r="DZ9" i="8" a="1"/>
  <c r="DZ9" i="8" s="1"/>
  <c r="BR8" i="8"/>
  <c r="EI38" i="8" a="1"/>
  <c r="EI38" i="8" s="1"/>
  <c r="CA8" i="8"/>
  <c r="EJ39" i="8" a="1"/>
  <c r="EJ39" i="8" s="1"/>
  <c r="EJ10" i="8" a="1"/>
  <c r="EJ10" i="8" s="1"/>
  <c r="CB9" i="8"/>
  <c r="EA9" i="8" a="1"/>
  <c r="EA9" i="8" s="1"/>
  <c r="EI33" i="8" a="1"/>
  <c r="EI33" i="8" s="1"/>
  <c r="DX34" i="8" a="1"/>
  <c r="DX34" i="8" s="1"/>
  <c r="EJ34" i="8" a="1"/>
  <c r="EJ34" i="8" s="1"/>
  <c r="EH35" i="8" a="1"/>
  <c r="EH35" i="8" s="1"/>
  <c r="EH6" i="8" a="1"/>
  <c r="EH6" i="8" s="1"/>
  <c r="EF5" i="8" a="1"/>
  <c r="EF5" i="8" s="1"/>
  <c r="EM36" i="8" a="1"/>
  <c r="EM36" i="8" s="1"/>
  <c r="DT37" i="8" a="1"/>
  <c r="DT37" i="8" s="1"/>
  <c r="BL7" i="8"/>
  <c r="DT8" i="8" a="1"/>
  <c r="DT8" i="8" s="1"/>
  <c r="DX7" i="8" a="1"/>
  <c r="DX7" i="8" s="1"/>
  <c r="BS4" i="8"/>
  <c r="CA4" i="8"/>
  <c r="DV4" i="8" a="1"/>
  <c r="DV4" i="8" s="1"/>
  <c r="DZ4" i="8" a="1"/>
  <c r="DZ4" i="8" s="1"/>
  <c r="EI35" i="8" a="1"/>
  <c r="EI35" i="8" s="1"/>
  <c r="EI6" i="8" a="1"/>
  <c r="EI6" i="8" s="1"/>
  <c r="DS5" i="8" a="1"/>
  <c r="DS5" i="8" s="1"/>
  <c r="EI36" i="8" a="1"/>
  <c r="EI36" i="8" s="1"/>
  <c r="CA6" i="8"/>
  <c r="EG7" i="8" a="1"/>
  <c r="EG7" i="8" s="1"/>
  <c r="BR3" i="8"/>
  <c r="BZ3" i="8"/>
  <c r="CH3" i="8"/>
  <c r="BT4" i="8"/>
  <c r="CB4" i="8"/>
  <c r="EE4" i="8" a="1"/>
  <c r="EE4" i="8" s="1"/>
  <c r="EE35" i="8" a="1"/>
  <c r="EE35" i="8" s="1"/>
  <c r="EE6" i="8" a="1"/>
  <c r="EE6" i="8" s="1"/>
  <c r="FE6" i="8" s="1"/>
  <c r="DX5" i="8" a="1"/>
  <c r="DX5" i="8" s="1"/>
  <c r="EE36" i="8" a="1"/>
  <c r="EE36" i="8" s="1"/>
  <c r="EN36" i="8" a="1"/>
  <c r="EN36" i="8" s="1"/>
  <c r="CF6" i="8"/>
  <c r="DV37" i="8" a="1"/>
  <c r="DV37" i="8" s="1"/>
  <c r="DV8" i="8" a="1"/>
  <c r="DV8" i="8" s="1"/>
  <c r="BN7" i="8"/>
  <c r="EI37" i="8" a="1"/>
  <c r="EI37" i="8" s="1"/>
  <c r="EI8" i="8" a="1"/>
  <c r="EI8" i="8" s="1"/>
  <c r="CA7" i="8"/>
  <c r="EO37" i="8" a="1"/>
  <c r="EO37" i="8" s="1"/>
  <c r="EO8" i="8" a="1"/>
  <c r="EO8" i="8" s="1"/>
  <c r="BR7" i="8"/>
  <c r="DV38" i="8" a="1"/>
  <c r="DV38" i="8" s="1"/>
  <c r="DV9" i="8" a="1"/>
  <c r="DV9" i="8" s="1"/>
  <c r="BN8" i="8"/>
  <c r="EE38" i="8" a="1"/>
  <c r="EE38" i="8" s="1"/>
  <c r="BW8" i="8"/>
  <c r="EE9" i="8" a="1"/>
  <c r="EE9" i="8" s="1"/>
  <c r="EN38" i="8" a="1"/>
  <c r="EN38" i="8" s="1"/>
  <c r="EN9" i="8" a="1"/>
  <c r="EN9" i="8" s="1"/>
  <c r="CF8" i="8"/>
  <c r="DT39" i="8" a="1"/>
  <c r="DT39" i="8" s="1"/>
  <c r="DT10" i="8" a="1"/>
  <c r="DT10" i="8" s="1"/>
  <c r="BL9" i="8"/>
  <c r="EE10" i="8" a="1"/>
  <c r="EE10" i="8" s="1"/>
  <c r="EI9" i="8" a="1"/>
  <c r="EI9" i="8" s="1"/>
  <c r="DS33" i="8" a="1"/>
  <c r="DS33" i="8" s="1"/>
  <c r="DT34" i="8" a="1"/>
  <c r="DT34" i="8" s="1"/>
  <c r="DS4" i="8" a="1"/>
  <c r="DS4" i="8" s="1"/>
  <c r="DW4" i="8" a="1"/>
  <c r="DW4" i="8" s="1"/>
  <c r="EW4" i="8" s="1"/>
  <c r="EA4" i="8" a="1"/>
  <c r="EA4" i="8" s="1"/>
  <c r="FA4" i="8" s="1"/>
  <c r="DV35" i="8" a="1"/>
  <c r="DV35" i="8" s="1"/>
  <c r="DV6" i="8" a="1"/>
  <c r="DV6" i="8" s="1"/>
  <c r="EA35" i="8" a="1"/>
  <c r="EA35" i="8" s="1"/>
  <c r="EA6" i="8" a="1"/>
  <c r="EA6" i="8" s="1"/>
  <c r="EJ35" i="8" a="1"/>
  <c r="EJ35" i="8" s="1"/>
  <c r="DT5" i="8" a="1"/>
  <c r="DT5" i="8" s="1"/>
  <c r="DV36" i="8" a="1"/>
  <c r="DV36" i="8" s="1"/>
  <c r="DV7" i="8" a="1"/>
  <c r="DV7" i="8" s="1"/>
  <c r="EA36" i="8" a="1"/>
  <c r="EA36" i="8" s="1"/>
  <c r="BS6" i="8"/>
  <c r="EJ36" i="8" a="1"/>
  <c r="EJ36" i="8" s="1"/>
  <c r="BN6" i="8"/>
  <c r="DW37" i="8" a="1"/>
  <c r="DW37" i="8" s="1"/>
  <c r="DW8" i="8" a="1"/>
  <c r="DW8" i="8" s="1"/>
  <c r="EC37" i="8" a="1"/>
  <c r="EC37" i="8" s="1"/>
  <c r="EP37" i="8" a="1"/>
  <c r="EP37" i="8" s="1"/>
  <c r="EP8" i="8" a="1"/>
  <c r="EP8" i="8" s="1"/>
  <c r="BU7" i="8"/>
  <c r="EA7" i="8" a="1"/>
  <c r="EA7" i="8" s="1"/>
  <c r="EI7" i="8" a="1"/>
  <c r="EI7" i="8" s="1"/>
  <c r="EA38" i="8" a="1"/>
  <c r="EA38" i="8" s="1"/>
  <c r="EJ38" i="8" a="1"/>
  <c r="EJ38" i="8" s="1"/>
  <c r="EJ9" i="8" a="1"/>
  <c r="EJ9" i="8" s="1"/>
  <c r="EO38" i="8" a="1"/>
  <c r="EO38" i="8" s="1"/>
  <c r="EO9" i="8" a="1"/>
  <c r="EO9" i="8" s="1"/>
  <c r="BS8" i="8"/>
  <c r="EC8" i="8" a="1"/>
  <c r="EC8" i="8" s="1"/>
  <c r="EK39" i="8" a="1"/>
  <c r="EK39" i="8" s="1"/>
  <c r="EK10" i="8" a="1"/>
  <c r="EK10" i="8" s="1"/>
  <c r="CC9" i="8"/>
  <c r="CI9" i="8"/>
  <c r="EE12" i="8" a="1"/>
  <c r="EE12" i="8" s="1"/>
  <c r="DW35" i="8" a="1"/>
  <c r="DW35" i="8" s="1"/>
  <c r="DW6" i="8" a="1"/>
  <c r="DW6" i="8" s="1"/>
  <c r="CE5" i="8"/>
  <c r="EM5" i="8" a="1"/>
  <c r="EM5" i="8" s="1"/>
  <c r="DW36" i="8" a="1"/>
  <c r="DW36" i="8" s="1"/>
  <c r="EF36" i="8" a="1"/>
  <c r="EF36" i="8" s="1"/>
  <c r="BX6" i="8"/>
  <c r="EO36" i="8" a="1"/>
  <c r="EO36" i="8" s="1"/>
  <c r="CG6" i="8"/>
  <c r="BO6" i="8"/>
  <c r="CE6" i="8"/>
  <c r="DX6" i="8" a="1"/>
  <c r="DX6" i="8" s="1"/>
  <c r="ED37" i="8" a="1"/>
  <c r="ED37" i="8" s="1"/>
  <c r="ED8" i="8" a="1"/>
  <c r="ED8" i="8" s="1"/>
  <c r="BV7" i="8"/>
  <c r="CI7" i="8"/>
  <c r="EJ7" i="8" a="1"/>
  <c r="EJ7" i="8" s="1"/>
  <c r="DW38" i="8" a="1"/>
  <c r="DW38" i="8" s="1"/>
  <c r="DW9" i="8" a="1"/>
  <c r="DW9" i="8" s="1"/>
  <c r="EF38" i="8" a="1"/>
  <c r="EF38" i="8" s="1"/>
  <c r="EF9" i="8" a="1"/>
  <c r="EF9" i="8" s="1"/>
  <c r="EK38" i="8" a="1"/>
  <c r="EK38" i="8" s="1"/>
  <c r="CC8" i="8"/>
  <c r="EK9" i="8" a="1"/>
  <c r="EK9" i="8" s="1"/>
  <c r="BX8" i="8"/>
  <c r="DU39" i="8" a="1"/>
  <c r="DU39" i="8" s="1"/>
  <c r="DU10" i="8" a="1"/>
  <c r="DU10" i="8" s="1"/>
  <c r="BM9" i="8"/>
  <c r="EA39" i="8" a="1"/>
  <c r="EA39" i="8" s="1"/>
  <c r="BS9" i="8"/>
  <c r="EF39" i="8" a="1"/>
  <c r="EF39" i="8" s="1"/>
  <c r="BX9" i="8"/>
  <c r="EF10" i="8" a="1"/>
  <c r="EF10" i="8" s="1"/>
  <c r="ED40" i="8" a="1"/>
  <c r="ED40" i="8" s="1"/>
  <c r="ED11" i="8" a="1"/>
  <c r="ED11" i="8" s="1"/>
  <c r="BV10" i="8"/>
  <c r="EF41" i="8" a="1"/>
  <c r="EF41" i="8" s="1"/>
  <c r="EF12" i="8" a="1"/>
  <c r="EF12" i="8" s="1"/>
  <c r="BX11" i="8"/>
  <c r="EM33" i="8" a="1"/>
  <c r="EM33" i="8" s="1"/>
  <c r="FM33" i="8" s="1"/>
  <c r="BO4" i="8"/>
  <c r="BW4" i="8"/>
  <c r="CE4" i="8"/>
  <c r="EP4" i="8" a="1"/>
  <c r="EP4" i="8" s="1"/>
  <c r="DS35" i="8" a="1"/>
  <c r="DS35" i="8" s="1"/>
  <c r="DS6" i="8" a="1"/>
  <c r="DS6" i="8" s="1"/>
  <c r="ES6" i="8" s="1"/>
  <c r="BN5" i="8"/>
  <c r="EI5" i="8" a="1"/>
  <c r="EI5" i="8" s="1"/>
  <c r="DS36" i="8" a="1"/>
  <c r="DS36" i="8" s="1"/>
  <c r="BK6" i="8"/>
  <c r="EB36" i="8" a="1"/>
  <c r="EB36" i="8" s="1"/>
  <c r="EK36" i="8" a="1"/>
  <c r="EK36" i="8" s="1"/>
  <c r="CC6" i="8"/>
  <c r="CH6" i="8"/>
  <c r="EE37" i="8" a="1"/>
  <c r="EE37" i="8" s="1"/>
  <c r="FE37" i="8" s="1"/>
  <c r="EE8" i="8" a="1"/>
  <c r="EE8" i="8" s="1"/>
  <c r="FE8" i="8" s="1"/>
  <c r="EK37" i="8" a="1"/>
  <c r="EK37" i="8" s="1"/>
  <c r="FK37" i="8" s="1"/>
  <c r="BY7" i="8"/>
  <c r="EC7" i="8" a="1"/>
  <c r="EC7" i="8" s="1"/>
  <c r="EK7" i="8" a="1"/>
  <c r="EK7" i="8" s="1"/>
  <c r="DS38" i="8" a="1"/>
  <c r="DS38" i="8" s="1"/>
  <c r="BK8" i="8"/>
  <c r="EB38" i="8" a="1"/>
  <c r="EB38" i="8" s="1"/>
  <c r="BT8" i="8"/>
  <c r="EB9" i="8" a="1"/>
  <c r="EB9" i="8" s="1"/>
  <c r="EG38" i="8" a="1"/>
  <c r="EG38" i="8" s="1"/>
  <c r="EG9" i="8" a="1"/>
  <c r="EG9" i="8" s="1"/>
  <c r="BY8" i="8"/>
  <c r="EP38" i="8" a="1"/>
  <c r="EP38" i="8" s="1"/>
  <c r="EP9" i="8" a="1"/>
  <c r="EP9" i="8" s="1"/>
  <c r="CH8" i="8"/>
  <c r="CB8" i="8"/>
  <c r="EA42" i="8" a="1"/>
  <c r="EA42" i="8" s="1"/>
  <c r="BS12" i="8"/>
  <c r="EA13" i="8" a="1"/>
  <c r="EA13" i="8" s="1"/>
  <c r="DU43" i="8" a="1"/>
  <c r="DU43" i="8" s="1"/>
  <c r="DU14" i="8" a="1"/>
  <c r="DU14" i="8" s="1"/>
  <c r="BM13" i="8"/>
  <c r="EA43" i="8" a="1"/>
  <c r="EA43" i="8" s="1"/>
  <c r="EA14" i="8" a="1"/>
  <c r="EA14" i="8" s="1"/>
  <c r="BS13" i="8"/>
  <c r="EH43" i="8" a="1"/>
  <c r="EH43" i="8" s="1"/>
  <c r="EH14" i="8" a="1"/>
  <c r="EH14" i="8" s="1"/>
  <c r="BZ13" i="8"/>
  <c r="EN43" i="8" a="1"/>
  <c r="EN43" i="8" s="1"/>
  <c r="EN14" i="8" a="1"/>
  <c r="EN14" i="8" s="1"/>
  <c r="CF13" i="8"/>
  <c r="DZ44" i="8" a="1"/>
  <c r="DZ44" i="8" s="1"/>
  <c r="DZ15" i="8" a="1"/>
  <c r="DZ15" i="8" s="1"/>
  <c r="BR14" i="8"/>
  <c r="DV39" i="8" a="1"/>
  <c r="DV39" i="8" s="1"/>
  <c r="DV10" i="8" a="1"/>
  <c r="DV10" i="8" s="1"/>
  <c r="BN9" i="8"/>
  <c r="EL39" i="8" a="1"/>
  <c r="EL39" i="8" s="1"/>
  <c r="EL10" i="8" a="1"/>
  <c r="EL10" i="8" s="1"/>
  <c r="CD9" i="8"/>
  <c r="BW9" i="8"/>
  <c r="DT40" i="8" a="1"/>
  <c r="DT40" i="8" s="1"/>
  <c r="DT11" i="8" a="1"/>
  <c r="DT11" i="8" s="1"/>
  <c r="BL10" i="8"/>
  <c r="EE40" i="8" a="1"/>
  <c r="EE40" i="8" s="1"/>
  <c r="BW10" i="8"/>
  <c r="EJ40" i="8" a="1"/>
  <c r="EJ40" i="8" s="1"/>
  <c r="EJ11" i="8" a="1"/>
  <c r="EJ11" i="8" s="1"/>
  <c r="CB10" i="8"/>
  <c r="DV41" i="8" a="1"/>
  <c r="DV41" i="8" s="1"/>
  <c r="BN11" i="8"/>
  <c r="DV12" i="8" a="1"/>
  <c r="DV12" i="8" s="1"/>
  <c r="EU12" i="8" s="1"/>
  <c r="EA41" i="8" a="1"/>
  <c r="EA41" i="8" s="1"/>
  <c r="BS11" i="8"/>
  <c r="EL41" i="8" a="1"/>
  <c r="EL41" i="8" s="1"/>
  <c r="CD11" i="8"/>
  <c r="EL12" i="8" a="1"/>
  <c r="EL12" i="8" s="1"/>
  <c r="FK12" i="8" s="1"/>
  <c r="CI11" i="8"/>
  <c r="DW42" i="8" a="1"/>
  <c r="DW42" i="8" s="1"/>
  <c r="DW13" i="8" a="1"/>
  <c r="DW13" i="8" s="1"/>
  <c r="BO12" i="8"/>
  <c r="EA12" i="8" a="1"/>
  <c r="EA12" i="8" s="1"/>
  <c r="DV43" i="8" a="1"/>
  <c r="DV43" i="8" s="1"/>
  <c r="BN13" i="8"/>
  <c r="DV14" i="8" a="1"/>
  <c r="DV14" i="8" s="1"/>
  <c r="EB43" i="8" a="1"/>
  <c r="EB43" i="8" s="1"/>
  <c r="EB14" i="8" a="1"/>
  <c r="EB14" i="8" s="1"/>
  <c r="BT13" i="8"/>
  <c r="EO43" i="8" a="1"/>
  <c r="EO43" i="8" s="1"/>
  <c r="CG13" i="8"/>
  <c r="EO14" i="8" a="1"/>
  <c r="EO14" i="8" s="1"/>
  <c r="DT44" i="8" a="1"/>
  <c r="DT44" i="8" s="1"/>
  <c r="DT15" i="8" a="1"/>
  <c r="DT15" i="8" s="1"/>
  <c r="BL14" i="8"/>
  <c r="EO44" i="8" a="1"/>
  <c r="EO44" i="8" s="1"/>
  <c r="CG14" i="8"/>
  <c r="EO15" i="8" a="1"/>
  <c r="EO15" i="8" s="1"/>
  <c r="EL45" i="8" a="1"/>
  <c r="EL45" i="8" s="1"/>
  <c r="EL16" i="8" a="1"/>
  <c r="EL16" i="8" s="1"/>
  <c r="EJ16" i="8" a="1"/>
  <c r="EJ16" i="8" s="1"/>
  <c r="CD15" i="8"/>
  <c r="EM38" i="8" a="1"/>
  <c r="EM38" i="8" s="1"/>
  <c r="CI8" i="8"/>
  <c r="DW39" i="8" a="1"/>
  <c r="DW39" i="8" s="1"/>
  <c r="EB39" i="8" a="1"/>
  <c r="EB39" i="8" s="1"/>
  <c r="EB10" i="8" a="1"/>
  <c r="EB10" i="8" s="1"/>
  <c r="FA10" i="8" s="1"/>
  <c r="BT9" i="8"/>
  <c r="EG39" i="8" a="1"/>
  <c r="EG39" i="8" s="1"/>
  <c r="EG10" i="8" a="1"/>
  <c r="EG10" i="8" s="1"/>
  <c r="EM39" i="8" a="1"/>
  <c r="EM39" i="8" s="1"/>
  <c r="BY9" i="8"/>
  <c r="DZ40" i="8" a="1"/>
  <c r="DZ40" i="8" s="1"/>
  <c r="DZ11" i="8" a="1"/>
  <c r="DZ11" i="8" s="1"/>
  <c r="EP40" i="8" a="1"/>
  <c r="EP40" i="8" s="1"/>
  <c r="EP11" i="8" a="1"/>
  <c r="EP11" i="8" s="1"/>
  <c r="EB41" i="8" a="1"/>
  <c r="EB41" i="8" s="1"/>
  <c r="BT11" i="8"/>
  <c r="EB12" i="8" a="1"/>
  <c r="EB12" i="8" s="1"/>
  <c r="EG12" i="8" a="1"/>
  <c r="EG12" i="8" s="1"/>
  <c r="EE11" i="8" a="1"/>
  <c r="EE11" i="8" s="1"/>
  <c r="DS42" i="8" a="1"/>
  <c r="DS42" i="8" s="1"/>
  <c r="BK12" i="8"/>
  <c r="DS13" i="8" a="1"/>
  <c r="DS13" i="8" s="1"/>
  <c r="EP42" i="8" a="1"/>
  <c r="EP42" i="8" s="1"/>
  <c r="CH12" i="8"/>
  <c r="EP13" i="8" a="1"/>
  <c r="EP13" i="8" s="1"/>
  <c r="EC43" i="8" a="1"/>
  <c r="EC43" i="8" s="1"/>
  <c r="EC14" i="8" a="1"/>
  <c r="EC14" i="8" s="1"/>
  <c r="BU13" i="8"/>
  <c r="EP43" i="8" a="1"/>
  <c r="EP43" i="8" s="1"/>
  <c r="EP14" i="8" a="1"/>
  <c r="EP14" i="8" s="1"/>
  <c r="CH13" i="8"/>
  <c r="DU44" i="8" a="1"/>
  <c r="DU44" i="8" s="1"/>
  <c r="BM14" i="8"/>
  <c r="DU15" i="8" a="1"/>
  <c r="DU15" i="8" s="1"/>
  <c r="EK44" i="8" a="1"/>
  <c r="EK44" i="8" s="1"/>
  <c r="CC14" i="8"/>
  <c r="EK15" i="8" a="1"/>
  <c r="EK15" i="8" s="1"/>
  <c r="DV45" i="8" a="1"/>
  <c r="DV45" i="8" s="1"/>
  <c r="DV16" i="8" a="1"/>
  <c r="DV16" i="8" s="1"/>
  <c r="DU16" i="8" a="1"/>
  <c r="DU16" i="8" s="1"/>
  <c r="BN15" i="8"/>
  <c r="EH39" i="8" a="1"/>
  <c r="EH39" i="8" s="1"/>
  <c r="EH10" i="8" a="1"/>
  <c r="EH10" i="8" s="1"/>
  <c r="BZ9" i="8"/>
  <c r="EA40" i="8" a="1"/>
  <c r="EA40" i="8" s="1"/>
  <c r="BS10" i="8"/>
  <c r="EF40" i="8" a="1"/>
  <c r="EF40" i="8" s="1"/>
  <c r="BX10" i="8"/>
  <c r="EF11" i="8" a="1"/>
  <c r="EF11" i="8" s="1"/>
  <c r="CI10" i="8"/>
  <c r="CH10" i="8"/>
  <c r="DW41" i="8" a="1"/>
  <c r="DW41" i="8" s="1"/>
  <c r="BO11" i="8"/>
  <c r="EH41" i="8" a="1"/>
  <c r="EH41" i="8" s="1"/>
  <c r="EH12" i="8" a="1"/>
  <c r="EH12" i="8" s="1"/>
  <c r="BZ11" i="8"/>
  <c r="EM41" i="8" a="1"/>
  <c r="EM41" i="8" s="1"/>
  <c r="CE11" i="8"/>
  <c r="EL42" i="8" a="1"/>
  <c r="EL42" i="8" s="1"/>
  <c r="CD12" i="8"/>
  <c r="EL13" i="8" a="1"/>
  <c r="EL13" i="8" s="1"/>
  <c r="DW43" i="8" a="1"/>
  <c r="DW43" i="8" s="1"/>
  <c r="BO13" i="8"/>
  <c r="DW14" i="8" a="1"/>
  <c r="DW14" i="8" s="1"/>
  <c r="ED43" i="8" a="1"/>
  <c r="ED43" i="8" s="1"/>
  <c r="ED14" i="8" a="1"/>
  <c r="ED14" i="8" s="1"/>
  <c r="BV13" i="8"/>
  <c r="EJ43" i="8" a="1"/>
  <c r="EJ43" i="8" s="1"/>
  <c r="EJ14" i="8" a="1"/>
  <c r="EJ14" i="8" s="1"/>
  <c r="CB13" i="8"/>
  <c r="DV44" i="8" a="1"/>
  <c r="DV44" i="8" s="1"/>
  <c r="DV15" i="8" a="1"/>
  <c r="DV15" i="8" s="1"/>
  <c r="BN14" i="8"/>
  <c r="EG44" i="8" a="1"/>
  <c r="EG44" i="8" s="1"/>
  <c r="BY14" i="8"/>
  <c r="EG15" i="8" a="1"/>
  <c r="EG15" i="8" s="1"/>
  <c r="DW45" i="8" a="1"/>
  <c r="DW45" i="8" s="1"/>
  <c r="DW16" i="8" a="1"/>
  <c r="DW16" i="8" s="1"/>
  <c r="BO15" i="8"/>
  <c r="DS39" i="8" a="1"/>
  <c r="DS39" i="8" s="1"/>
  <c r="BK9" i="8"/>
  <c r="DX39" i="8" a="1"/>
  <c r="DX39" i="8" s="1"/>
  <c r="BP9" i="8"/>
  <c r="DX10" i="8" a="1"/>
  <c r="DX10" i="8" s="1"/>
  <c r="EC39" i="8" a="1"/>
  <c r="EC39" i="8" s="1"/>
  <c r="EC10" i="8" a="1"/>
  <c r="EC10" i="8" s="1"/>
  <c r="EI39" i="8" a="1"/>
  <c r="EI39" i="8" s="1"/>
  <c r="CA9" i="8"/>
  <c r="EN39" i="8" a="1"/>
  <c r="EN39" i="8" s="1"/>
  <c r="CF9" i="8"/>
  <c r="EN10" i="8" a="1"/>
  <c r="EN10" i="8" s="1"/>
  <c r="EM9" i="8" a="1"/>
  <c r="EM9" i="8" s="1"/>
  <c r="DV40" i="8" a="1"/>
  <c r="DV40" i="8" s="1"/>
  <c r="DV11" i="8" a="1"/>
  <c r="DV11" i="8" s="1"/>
  <c r="BN10" i="8"/>
  <c r="EL40" i="8" a="1"/>
  <c r="EL40" i="8" s="1"/>
  <c r="EL11" i="8" a="1"/>
  <c r="EL11" i="8" s="1"/>
  <c r="CD10" i="8"/>
  <c r="DS10" i="8" a="1"/>
  <c r="DS10" i="8" s="1"/>
  <c r="ES10" i="8" s="1"/>
  <c r="EI10" i="8" a="1"/>
  <c r="EI10" i="8" s="1"/>
  <c r="FI10" i="8" s="1"/>
  <c r="DX41" i="8" a="1"/>
  <c r="DX41" i="8" s="1"/>
  <c r="DX12" i="8" a="1"/>
  <c r="DX12" i="8" s="1"/>
  <c r="EC12" i="8" a="1"/>
  <c r="EC12" i="8" s="1"/>
  <c r="EN41" i="8" a="1"/>
  <c r="EN41" i="8" s="1"/>
  <c r="EN12" i="8" a="1"/>
  <c r="EN12" i="8" s="1"/>
  <c r="BP11" i="8"/>
  <c r="EH42" i="8" a="1"/>
  <c r="EH42" i="8" s="1"/>
  <c r="BZ12" i="8"/>
  <c r="EH13" i="8" a="1"/>
  <c r="EH13" i="8" s="1"/>
  <c r="CI12" i="8"/>
  <c r="DX43" i="8" a="1"/>
  <c r="DX43" i="8" s="1"/>
  <c r="BP13" i="8"/>
  <c r="DX14" i="8" a="1"/>
  <c r="DX14" i="8" s="1"/>
  <c r="EK43" i="8" a="1"/>
  <c r="EK43" i="8" s="1"/>
  <c r="CC13" i="8"/>
  <c r="EK14" i="8" a="1"/>
  <c r="EK14" i="8" s="1"/>
  <c r="ED39" i="8" a="1"/>
  <c r="ED39" i="8" s="1"/>
  <c r="ED10" i="8" a="1"/>
  <c r="ED10" i="8" s="1"/>
  <c r="BV9" i="8"/>
  <c r="BO9" i="8"/>
  <c r="DW40" i="8" a="1"/>
  <c r="DW40" i="8" s="1"/>
  <c r="BO10" i="8"/>
  <c r="EB40" i="8" a="1"/>
  <c r="EB40" i="8" s="1"/>
  <c r="EB11" i="8" a="1"/>
  <c r="EB11" i="8" s="1"/>
  <c r="BT10" i="8"/>
  <c r="EM40" i="8" a="1"/>
  <c r="EM40" i="8" s="1"/>
  <c r="CE10" i="8"/>
  <c r="DS41" i="8" a="1"/>
  <c r="DS41" i="8" s="1"/>
  <c r="BK11" i="8"/>
  <c r="ED41" i="8" a="1"/>
  <c r="ED41" i="8" s="1"/>
  <c r="BV11" i="8"/>
  <c r="ED12" i="8" a="1"/>
  <c r="ED12" i="8" s="1"/>
  <c r="EI41" i="8" a="1"/>
  <c r="EI41" i="8" s="1"/>
  <c r="CA11" i="8"/>
  <c r="ED42" i="8" a="1"/>
  <c r="ED42" i="8" s="1"/>
  <c r="BV12" i="8"/>
  <c r="ED13" i="8" a="1"/>
  <c r="ED13" i="8" s="1"/>
  <c r="EM42" i="8" a="1"/>
  <c r="EM42" i="8" s="1"/>
  <c r="EM13" i="8" a="1"/>
  <c r="EM13" i="8" s="1"/>
  <c r="CE12" i="8"/>
  <c r="DS12" i="8" a="1"/>
  <c r="DS12" i="8" s="1"/>
  <c r="EI12" i="8" a="1"/>
  <c r="EI12" i="8" s="1"/>
  <c r="DY43" i="8" a="1"/>
  <c r="DY43" i="8" s="1"/>
  <c r="BQ13" i="8"/>
  <c r="DY14" i="8" a="1"/>
  <c r="DY14" i="8" s="1"/>
  <c r="EL43" i="8" a="1"/>
  <c r="EL43" i="8" s="1"/>
  <c r="CD13" i="8"/>
  <c r="EL14" i="8" a="1"/>
  <c r="EL14" i="8" s="1"/>
  <c r="EC44" i="8" a="1"/>
  <c r="EC44" i="8" s="1"/>
  <c r="BU14" i="8"/>
  <c r="EC15" i="8" a="1"/>
  <c r="EC15" i="8" s="1"/>
  <c r="EI45" i="8" a="1"/>
  <c r="EI45" i="8" s="1"/>
  <c r="EI16" i="8" a="1"/>
  <c r="EI16" i="8" s="1"/>
  <c r="CA15" i="8"/>
  <c r="CE8" i="8"/>
  <c r="DY39" i="8" a="1"/>
  <c r="DY39" i="8" s="1"/>
  <c r="DY10" i="8" a="1"/>
  <c r="DY10" i="8" s="1"/>
  <c r="EE39" i="8" a="1"/>
  <c r="EE39" i="8" s="1"/>
  <c r="FE39" i="8" s="1"/>
  <c r="EO39" i="8" a="1"/>
  <c r="EO39" i="8" s="1"/>
  <c r="EO10" i="8" a="1"/>
  <c r="EO10" i="8" s="1"/>
  <c r="BQ9" i="8"/>
  <c r="CG9" i="8"/>
  <c r="EH40" i="8" a="1"/>
  <c r="EH40" i="8" s="1"/>
  <c r="EH11" i="8" a="1"/>
  <c r="EH11" i="8" s="1"/>
  <c r="DW10" i="8" a="1"/>
  <c r="DW10" i="8" s="1"/>
  <c r="EM10" i="8" a="1"/>
  <c r="EM10" i="8" s="1"/>
  <c r="DT41" i="8" a="1"/>
  <c r="DT41" i="8" s="1"/>
  <c r="BL11" i="8"/>
  <c r="DT12" i="8" a="1"/>
  <c r="DT12" i="8" s="1"/>
  <c r="DY12" i="8" a="1"/>
  <c r="DY12" i="8" s="1"/>
  <c r="EJ41" i="8" a="1"/>
  <c r="EJ41" i="8" s="1"/>
  <c r="CB11" i="8"/>
  <c r="EJ12" i="8" a="1"/>
  <c r="EJ12" i="8" s="1"/>
  <c r="EO12" i="8" a="1"/>
  <c r="EO12" i="8" s="1"/>
  <c r="DW11" i="8" a="1"/>
  <c r="DW11" i="8" s="1"/>
  <c r="EM11" i="8" a="1"/>
  <c r="EM11" i="8" s="1"/>
  <c r="DZ42" i="8" a="1"/>
  <c r="DZ42" i="8" s="1"/>
  <c r="BR12" i="8"/>
  <c r="DZ13" i="8" a="1"/>
  <c r="DZ13" i="8" s="1"/>
  <c r="EI42" i="8" a="1"/>
  <c r="EI42" i="8" s="1"/>
  <c r="CA12" i="8"/>
  <c r="EI13" i="8" a="1"/>
  <c r="EI13" i="8" s="1"/>
  <c r="DS43" i="8" a="1"/>
  <c r="DS43" i="8" s="1"/>
  <c r="DS14" i="8" a="1"/>
  <c r="DS14" i="8" s="1"/>
  <c r="BK13" i="8"/>
  <c r="DZ43" i="8" a="1"/>
  <c r="DZ43" i="8" s="1"/>
  <c r="DZ14" i="8" a="1"/>
  <c r="DZ14" i="8" s="1"/>
  <c r="BR13" i="8"/>
  <c r="EF43" i="8" a="1"/>
  <c r="EF43" i="8" s="1"/>
  <c r="EF14" i="8" a="1"/>
  <c r="EF14" i="8" s="1"/>
  <c r="BX13" i="8"/>
  <c r="DX44" i="8" a="1"/>
  <c r="DX44" i="8" s="1"/>
  <c r="DX15" i="8" a="1"/>
  <c r="DX15" i="8" s="1"/>
  <c r="BP14" i="8"/>
  <c r="ED44" i="8" a="1"/>
  <c r="ED44" i="8" s="1"/>
  <c r="ED15" i="8" a="1"/>
  <c r="ED15" i="8" s="1"/>
  <c r="BV14" i="8"/>
  <c r="DZ39" i="8" a="1"/>
  <c r="DZ39" i="8" s="1"/>
  <c r="DZ10" i="8" a="1"/>
  <c r="DZ10" i="8" s="1"/>
  <c r="EP39" i="8" a="1"/>
  <c r="EP39" i="8" s="1"/>
  <c r="EP10" i="8" a="1"/>
  <c r="EP10" i="8" s="1"/>
  <c r="BR9" i="8"/>
  <c r="CH9" i="8"/>
  <c r="DS40" i="8" a="1"/>
  <c r="DS40" i="8" s="1"/>
  <c r="BK10" i="8"/>
  <c r="DX40" i="8" a="1"/>
  <c r="DX40" i="8" s="1"/>
  <c r="BP10" i="8"/>
  <c r="DX11" i="8" a="1"/>
  <c r="DX11" i="8" s="1"/>
  <c r="EI40" i="8" a="1"/>
  <c r="EI40" i="8" s="1"/>
  <c r="CA10" i="8"/>
  <c r="EN40" i="8" a="1"/>
  <c r="EN40" i="8" s="1"/>
  <c r="CF10" i="8"/>
  <c r="EN11" i="8" a="1"/>
  <c r="EN11" i="8" s="1"/>
  <c r="BR10" i="8"/>
  <c r="DZ41" i="8" a="1"/>
  <c r="DZ41" i="8" s="1"/>
  <c r="DZ12" i="8" a="1"/>
  <c r="DZ12" i="8" s="1"/>
  <c r="BR11" i="8"/>
  <c r="EE41" i="8" a="1"/>
  <c r="EE41" i="8" s="1"/>
  <c r="BW11" i="8"/>
  <c r="EP41" i="8" a="1"/>
  <c r="EP41" i="8" s="1"/>
  <c r="EP12" i="8" a="1"/>
  <c r="EP12" i="8" s="1"/>
  <c r="CH11" i="8"/>
  <c r="DV42" i="8" a="1"/>
  <c r="DV42" i="8" s="1"/>
  <c r="BN12" i="8"/>
  <c r="DV13" i="8" a="1"/>
  <c r="DV13" i="8" s="1"/>
  <c r="EE42" i="8" a="1"/>
  <c r="EE42" i="8" s="1"/>
  <c r="EE13" i="8" a="1"/>
  <c r="EE13" i="8" s="1"/>
  <c r="BW12" i="8"/>
  <c r="DW12" i="8" a="1"/>
  <c r="DW12" i="8" s="1"/>
  <c r="EM12" i="8" a="1"/>
  <c r="EM12" i="8" s="1"/>
  <c r="DT43" i="8" a="1"/>
  <c r="DT43" i="8" s="1"/>
  <c r="DT14" i="8" a="1"/>
  <c r="DT14" i="8" s="1"/>
  <c r="BL13" i="8"/>
  <c r="EG43" i="8" a="1"/>
  <c r="EG43" i="8" s="1"/>
  <c r="BY13" i="8"/>
  <c r="EG14" i="8" a="1"/>
  <c r="EG14" i="8" s="1"/>
  <c r="DY44" i="8" a="1"/>
  <c r="DY44" i="8" s="1"/>
  <c r="BQ14" i="8"/>
  <c r="DY15" i="8" a="1"/>
  <c r="DY15" i="8" s="1"/>
  <c r="DZ45" i="8" a="1"/>
  <c r="DZ45" i="8" s="1"/>
  <c r="DZ16" i="8" a="1"/>
  <c r="DZ16" i="8" s="1"/>
  <c r="BR15" i="8"/>
  <c r="DY16" i="8" a="1"/>
  <c r="DY16" i="8" s="1"/>
  <c r="EE45" i="8" a="1"/>
  <c r="EE45" i="8" s="1"/>
  <c r="EE16" i="8" a="1"/>
  <c r="EE16" i="8" s="1"/>
  <c r="BW15" i="8"/>
  <c r="DU40" i="8" a="1"/>
  <c r="DU40" i="8" s="1"/>
  <c r="DY40" i="8" a="1"/>
  <c r="DY40" i="8" s="1"/>
  <c r="EC40" i="8" a="1"/>
  <c r="EC40" i="8" s="1"/>
  <c r="EG40" i="8" a="1"/>
  <c r="EG40" i="8" s="1"/>
  <c r="EK40" i="8" a="1"/>
  <c r="EK40" i="8" s="1"/>
  <c r="EO40" i="8" a="1"/>
  <c r="EO40" i="8" s="1"/>
  <c r="EB44" i="8" a="1"/>
  <c r="EB44" i="8" s="1"/>
  <c r="EB15" i="8" a="1"/>
  <c r="EB15" i="8" s="1"/>
  <c r="EF44" i="8" a="1"/>
  <c r="EF44" i="8" s="1"/>
  <c r="EF15" i="8" a="1"/>
  <c r="EF15" i="8" s="1"/>
  <c r="EJ44" i="8" a="1"/>
  <c r="EJ44" i="8" s="1"/>
  <c r="EJ15" i="8" a="1"/>
  <c r="EJ15" i="8" s="1"/>
  <c r="EN44" i="8" a="1"/>
  <c r="EN44" i="8" s="1"/>
  <c r="EN15" i="8" a="1"/>
  <c r="EN15" i="8" s="1"/>
  <c r="EE14" i="8" a="1"/>
  <c r="EE14" i="8" s="1"/>
  <c r="EH45" i="8" a="1"/>
  <c r="EH45" i="8" s="1"/>
  <c r="EH16" i="8" a="1"/>
  <c r="EH16" i="8" s="1"/>
  <c r="BZ15" i="8"/>
  <c r="CI15" i="8"/>
  <c r="DW46" i="8" a="1"/>
  <c r="DW46" i="8" s="1"/>
  <c r="DW17" i="8" a="1"/>
  <c r="DW17" i="8" s="1"/>
  <c r="BO16" i="8"/>
  <c r="EB46" i="8" a="1"/>
  <c r="EB46" i="8" s="1"/>
  <c r="EB17" i="8" a="1"/>
  <c r="EB17" i="8" s="1"/>
  <c r="BT16" i="8"/>
  <c r="DU48" i="8" a="1"/>
  <c r="DU48" i="8" s="1"/>
  <c r="BM18" i="8"/>
  <c r="DU19" i="8" a="1"/>
  <c r="DU19" i="8" s="1"/>
  <c r="DZ48" i="8" a="1"/>
  <c r="DZ48" i="8" s="1"/>
  <c r="BR18" i="8"/>
  <c r="DZ19" i="8" a="1"/>
  <c r="DZ19" i="8" s="1"/>
  <c r="EE48" i="8" a="1"/>
  <c r="EE48" i="8" s="1"/>
  <c r="EE19" i="8" a="1"/>
  <c r="EE19" i="8" s="1"/>
  <c r="BW18" i="8"/>
  <c r="EK18" i="8" a="1"/>
  <c r="EK18" i="8" s="1"/>
  <c r="DY50" i="8" a="1"/>
  <c r="DY50" i="8" s="1"/>
  <c r="BQ20" i="8"/>
  <c r="ED45" i="8" a="1"/>
  <c r="ED45" i="8" s="1"/>
  <c r="ED16" i="8" a="1"/>
  <c r="ED16" i="8" s="1"/>
  <c r="EM45" i="8" a="1"/>
  <c r="EM45" i="8" s="1"/>
  <c r="EM16" i="8" a="1"/>
  <c r="EM16" i="8" s="1"/>
  <c r="CE15" i="8"/>
  <c r="DS46" i="8" a="1"/>
  <c r="DS46" i="8" s="1"/>
  <c r="DS17" i="8" a="1"/>
  <c r="DS17" i="8" s="1"/>
  <c r="BK16" i="8"/>
  <c r="DX46" i="8" a="1"/>
  <c r="DX46" i="8" s="1"/>
  <c r="DX17" i="8" a="1"/>
  <c r="DX17" i="8" s="1"/>
  <c r="BP16" i="8"/>
  <c r="EP46" i="8" a="1"/>
  <c r="EP46" i="8" s="1"/>
  <c r="CH16" i="8"/>
  <c r="EP17" i="8" a="1"/>
  <c r="EP17" i="8" s="1"/>
  <c r="DV47" i="8" a="1"/>
  <c r="DV47" i="8" s="1"/>
  <c r="DU18" i="8" a="1"/>
  <c r="DU18" i="8" s="1"/>
  <c r="BN17" i="8"/>
  <c r="FO18" i="8"/>
  <c r="DU49" i="8" a="1"/>
  <c r="DU49" i="8" s="1"/>
  <c r="BM19" i="8"/>
  <c r="DU20" i="8" a="1"/>
  <c r="DU20" i="8" s="1"/>
  <c r="ED49" i="8" a="1"/>
  <c r="ED49" i="8" s="1"/>
  <c r="ED20" i="8" a="1"/>
  <c r="ED20" i="8" s="1"/>
  <c r="EC20" i="8" a="1"/>
  <c r="EC20" i="8" s="1"/>
  <c r="DT50" i="8" a="1"/>
  <c r="DT50" i="8" s="1"/>
  <c r="BL20" i="8"/>
  <c r="DT21" i="8" a="1"/>
  <c r="DT21" i="8" s="1"/>
  <c r="EC51" i="8" a="1"/>
  <c r="EC51" i="8" s="1"/>
  <c r="BU21" i="8"/>
  <c r="EC22" i="8" a="1"/>
  <c r="EC22" i="8" s="1"/>
  <c r="DU11" i="8" a="1"/>
  <c r="DU11" i="8" s="1"/>
  <c r="DY11" i="8" a="1"/>
  <c r="DY11" i="8" s="1"/>
  <c r="EC11" i="8" a="1"/>
  <c r="EC11" i="8" s="1"/>
  <c r="EG11" i="8" a="1"/>
  <c r="EG11" i="8" s="1"/>
  <c r="EK11" i="8" a="1"/>
  <c r="EK11" i="8" s="1"/>
  <c r="EO11" i="8" a="1"/>
  <c r="EO11" i="8" s="1"/>
  <c r="BT14" i="8"/>
  <c r="CB14" i="8"/>
  <c r="EN45" i="8" a="1"/>
  <c r="EN45" i="8" s="1"/>
  <c r="EN16" i="8" a="1"/>
  <c r="EN16" i="8" s="1"/>
  <c r="DW15" i="8" a="1"/>
  <c r="DW15" i="8" s="1"/>
  <c r="EE15" i="8" a="1"/>
  <c r="EE15" i="8" s="1"/>
  <c r="EM15" i="8" a="1"/>
  <c r="EM15" i="8" s="1"/>
  <c r="DT46" i="8" a="1"/>
  <c r="DT46" i="8" s="1"/>
  <c r="DT17" i="8" a="1"/>
  <c r="DT17" i="8" s="1"/>
  <c r="BL16" i="8"/>
  <c r="EC17" i="8" a="1"/>
  <c r="EC17" i="8" s="1"/>
  <c r="EL46" i="8" a="1"/>
  <c r="EL46" i="8" s="1"/>
  <c r="EL17" i="8" a="1"/>
  <c r="EL17" i="8" s="1"/>
  <c r="DW47" i="8" a="1"/>
  <c r="DW47" i="8" s="1"/>
  <c r="BO17" i="8"/>
  <c r="DW18" i="8" a="1"/>
  <c r="DW18" i="8" s="1"/>
  <c r="EJ47" i="8" a="1"/>
  <c r="EJ47" i="8" s="1"/>
  <c r="EJ18" i="8" a="1"/>
  <c r="EJ18" i="8" s="1"/>
  <c r="CB17" i="8"/>
  <c r="EP47" i="8" a="1"/>
  <c r="EP47" i="8" s="1"/>
  <c r="CH17" i="8"/>
  <c r="EP18" i="8" a="1"/>
  <c r="EP18" i="8" s="1"/>
  <c r="EO49" i="8" a="1"/>
  <c r="EO49" i="8" s="1"/>
  <c r="CG19" i="8"/>
  <c r="EO20" i="8" a="1"/>
  <c r="EO20" i="8" s="1"/>
  <c r="BV19" i="8"/>
  <c r="DU50" i="8" a="1"/>
  <c r="DU50" i="8" s="1"/>
  <c r="BM20" i="8"/>
  <c r="DU21" i="8" a="1"/>
  <c r="DU21" i="8" s="1"/>
  <c r="DY21" i="8" a="1"/>
  <c r="DY21" i="8" s="1"/>
  <c r="DT53" i="8" a="1"/>
  <c r="DT53" i="8" s="1"/>
  <c r="DT24" i="8" a="1"/>
  <c r="DT24" i="8" s="1"/>
  <c r="BL23" i="8"/>
  <c r="EC53" i="8" a="1"/>
  <c r="EC53" i="8" s="1"/>
  <c r="EC24" i="8" a="1"/>
  <c r="EC24" i="8" s="1"/>
  <c r="BU23" i="8"/>
  <c r="EA55" i="8" a="1"/>
  <c r="EA55" i="8" s="1"/>
  <c r="BS25" i="8"/>
  <c r="EA26" i="8" a="1"/>
  <c r="EA26" i="8" s="1"/>
  <c r="CI25" i="8"/>
  <c r="DT42" i="8" a="1"/>
  <c r="DT42" i="8" s="1"/>
  <c r="DX42" i="8" a="1"/>
  <c r="DX42" i="8" s="1"/>
  <c r="EB42" i="8" a="1"/>
  <c r="EB42" i="8" s="1"/>
  <c r="EF42" i="8" a="1"/>
  <c r="EF42" i="8" s="1"/>
  <c r="EJ42" i="8" a="1"/>
  <c r="EJ42" i="8" s="1"/>
  <c r="EN42" i="8" a="1"/>
  <c r="EN42" i="8" s="1"/>
  <c r="EJ45" i="8" a="1"/>
  <c r="EJ45" i="8" s="1"/>
  <c r="CB15" i="8"/>
  <c r="DY17" i="8" a="1"/>
  <c r="DY17" i="8" s="1"/>
  <c r="EH46" i="8" a="1"/>
  <c r="EH46" i="8" s="1"/>
  <c r="BZ16" i="8"/>
  <c r="EC16" i="8" a="1"/>
  <c r="EC16" i="8" s="1"/>
  <c r="ED18" i="8" a="1"/>
  <c r="ED18" i="8" s="1"/>
  <c r="FC18" i="8" s="1"/>
  <c r="EB48" i="8" a="1"/>
  <c r="EB48" i="8" s="1"/>
  <c r="EB19" i="8" a="1"/>
  <c r="EB19" i="8" s="1"/>
  <c r="BT18" i="8"/>
  <c r="EH48" i="8" a="1"/>
  <c r="EH48" i="8" s="1"/>
  <c r="BZ18" i="8"/>
  <c r="EH19" i="8" a="1"/>
  <c r="EH19" i="8" s="1"/>
  <c r="DV18" i="8" a="1"/>
  <c r="DV18" i="8" s="1"/>
  <c r="EK49" i="8" a="1"/>
  <c r="EK49" i="8" s="1"/>
  <c r="CC19" i="8"/>
  <c r="EK20" i="8" a="1"/>
  <c r="EK20" i="8" s="1"/>
  <c r="EG19" i="8" a="1"/>
  <c r="EG19" i="8" s="1"/>
  <c r="EJ21" i="8" a="1"/>
  <c r="EJ21" i="8" s="1"/>
  <c r="EO50" i="8" a="1"/>
  <c r="EO50" i="8" s="1"/>
  <c r="EO21" i="8" a="1"/>
  <c r="EO21" i="8" s="1"/>
  <c r="CG20" i="8"/>
  <c r="EB54" i="8" a="1"/>
  <c r="EB54" i="8" s="1"/>
  <c r="BT24" i="8"/>
  <c r="EG54" i="8" a="1"/>
  <c r="EG54" i="8" s="1"/>
  <c r="BY24" i="8"/>
  <c r="EG25" i="8" a="1"/>
  <c r="EG25" i="8" s="1"/>
  <c r="EH44" i="8" a="1"/>
  <c r="EH44" i="8" s="1"/>
  <c r="EH15" i="8" a="1"/>
  <c r="EH15" i="8" s="1"/>
  <c r="EL44" i="8" a="1"/>
  <c r="EL44" i="8" s="1"/>
  <c r="EL15" i="8" a="1"/>
  <c r="EL15" i="8" s="1"/>
  <c r="EP44" i="8" a="1"/>
  <c r="EP44" i="8" s="1"/>
  <c r="EP15" i="8" a="1"/>
  <c r="EP15" i="8" s="1"/>
  <c r="CD14" i="8"/>
  <c r="EM14" i="8" a="1"/>
  <c r="EM14" i="8" s="1"/>
  <c r="FM14" i="8" s="1"/>
  <c r="EA45" i="8" a="1"/>
  <c r="EA45" i="8" s="1"/>
  <c r="EA16" i="8" a="1"/>
  <c r="EA16" i="8" s="1"/>
  <c r="BS15" i="8"/>
  <c r="EF45" i="8" a="1"/>
  <c r="EF45" i="8" s="1"/>
  <c r="EF16" i="8" a="1"/>
  <c r="EF16" i="8" s="1"/>
  <c r="CF15" i="8"/>
  <c r="ED46" i="8" a="1"/>
  <c r="ED46" i="8" s="1"/>
  <c r="DY18" i="8" a="1"/>
  <c r="DY18" i="8" s="1"/>
  <c r="EE47" i="8" a="1"/>
  <c r="EE47" i="8" s="1"/>
  <c r="BW17" i="8"/>
  <c r="CI17" i="8"/>
  <c r="EA49" i="8" a="1"/>
  <c r="EA49" i="8" s="1"/>
  <c r="EA20" i="8" a="1"/>
  <c r="EA20" i="8" s="1"/>
  <c r="DZ20" i="8" a="1"/>
  <c r="DZ20" i="8" s="1"/>
  <c r="EY20" i="8" s="1"/>
  <c r="BS19" i="8"/>
  <c r="EF49" i="8" a="1"/>
  <c r="EF49" i="8" s="1"/>
  <c r="EF20" i="8" a="1"/>
  <c r="EF20" i="8" s="1"/>
  <c r="BX19" i="8"/>
  <c r="EA50" i="8" a="1"/>
  <c r="EA50" i="8" s="1"/>
  <c r="EA21" i="8" a="1"/>
  <c r="EA21" i="8" s="1"/>
  <c r="BS20" i="8"/>
  <c r="EF50" i="8" a="1"/>
  <c r="EF50" i="8" s="1"/>
  <c r="EF21" i="8" a="1"/>
  <c r="EF21" i="8" s="1"/>
  <c r="BX20" i="8"/>
  <c r="EK50" i="8" a="1"/>
  <c r="EK50" i="8" s="1"/>
  <c r="CC20" i="8"/>
  <c r="EK21" i="8" a="1"/>
  <c r="EK21" i="8" s="1"/>
  <c r="EE51" i="8" a="1"/>
  <c r="EE51" i="8" s="1"/>
  <c r="EE22" i="8" a="1"/>
  <c r="EE22" i="8" s="1"/>
  <c r="BW21" i="8"/>
  <c r="EK51" i="8" a="1"/>
  <c r="EK51" i="8" s="1"/>
  <c r="CC21" i="8"/>
  <c r="EK22" i="8" a="1"/>
  <c r="EK22" i="8" s="1"/>
  <c r="EJ22" i="8" a="1"/>
  <c r="EJ22" i="8" s="1"/>
  <c r="BQ10" i="8"/>
  <c r="BY10" i="8"/>
  <c r="CG10" i="8"/>
  <c r="DU41" i="8" a="1"/>
  <c r="DU41" i="8" s="1"/>
  <c r="DY41" i="8" a="1"/>
  <c r="DY41" i="8" s="1"/>
  <c r="EY41" i="8" s="1"/>
  <c r="EC41" i="8" a="1"/>
  <c r="EC41" i="8" s="1"/>
  <c r="FC41" i="8" s="1"/>
  <c r="EG41" i="8" a="1"/>
  <c r="EG41" i="8" s="1"/>
  <c r="EK41" i="8" a="1"/>
  <c r="EK41" i="8" s="1"/>
  <c r="EO41" i="8" a="1"/>
  <c r="EO41" i="8" s="1"/>
  <c r="FO41" i="8" s="1"/>
  <c r="DU42" i="8" a="1"/>
  <c r="DU42" i="8" s="1"/>
  <c r="DY42" i="8" a="1"/>
  <c r="DY42" i="8" s="1"/>
  <c r="EC42" i="8" a="1"/>
  <c r="EC42" i="8" s="1"/>
  <c r="EG42" i="8" a="1"/>
  <c r="EG42" i="8" s="1"/>
  <c r="EK42" i="8" a="1"/>
  <c r="EK42" i="8" s="1"/>
  <c r="EO42" i="8" a="1"/>
  <c r="EO42" i="8" s="1"/>
  <c r="BL12" i="8"/>
  <c r="BT12" i="8"/>
  <c r="CB12" i="8"/>
  <c r="DT13" i="8" a="1"/>
  <c r="DT13" i="8" s="1"/>
  <c r="DX13" i="8" a="1"/>
  <c r="DX13" i="8" s="1"/>
  <c r="EB13" i="8" a="1"/>
  <c r="EB13" i="8" s="1"/>
  <c r="EF13" i="8" a="1"/>
  <c r="EF13" i="8" s="1"/>
  <c r="EJ13" i="8" a="1"/>
  <c r="EJ13" i="8" s="1"/>
  <c r="EN13" i="8" a="1"/>
  <c r="EN13" i="8" s="1"/>
  <c r="EB45" i="8" a="1"/>
  <c r="EB45" i="8" s="1"/>
  <c r="BT15" i="8"/>
  <c r="EB16" i="8" a="1"/>
  <c r="EB16" i="8" s="1"/>
  <c r="DZ46" i="8" a="1"/>
  <c r="DZ46" i="8" s="1"/>
  <c r="DZ17" i="8" a="1"/>
  <c r="DZ17" i="8" s="1"/>
  <c r="BR16" i="8"/>
  <c r="EI17" i="8" a="1"/>
  <c r="EI17" i="8" s="1"/>
  <c r="EN46" i="8" a="1"/>
  <c r="EN46" i="8" s="1"/>
  <c r="EN17" i="8" a="1"/>
  <c r="EN17" i="8" s="1"/>
  <c r="CF16" i="8"/>
  <c r="DZ47" i="8" a="1"/>
  <c r="DZ47" i="8" s="1"/>
  <c r="BR17" i="8"/>
  <c r="DZ18" i="8" a="1"/>
  <c r="DZ18" i="8" s="1"/>
  <c r="EL47" i="8" a="1"/>
  <c r="EL47" i="8" s="1"/>
  <c r="EL18" i="8" a="1"/>
  <c r="EL18" i="8" s="1"/>
  <c r="CD17" i="8"/>
  <c r="EO19" i="8" a="1"/>
  <c r="EO19" i="8" s="1"/>
  <c r="EG49" i="8" a="1"/>
  <c r="EG49" i="8" s="1"/>
  <c r="BY19" i="8"/>
  <c r="DT52" i="8" a="1"/>
  <c r="DT52" i="8" s="1"/>
  <c r="DT23" i="8" a="1"/>
  <c r="DT23" i="8" s="1"/>
  <c r="BL22" i="8"/>
  <c r="DY52" i="8" a="1"/>
  <c r="DY52" i="8" s="1"/>
  <c r="DY23" i="8" a="1"/>
  <c r="DY23" i="8" s="1"/>
  <c r="BQ22" i="8"/>
  <c r="DY22" i="8" a="1"/>
  <c r="DY22" i="8" s="1"/>
  <c r="EJ52" i="8" a="1"/>
  <c r="EJ52" i="8" s="1"/>
  <c r="EJ23" i="8" a="1"/>
  <c r="EJ23" i="8" s="1"/>
  <c r="CB22" i="8"/>
  <c r="EO52" i="8" a="1"/>
  <c r="EO52" i="8" s="1"/>
  <c r="EO23" i="8" a="1"/>
  <c r="EO23" i="8" s="1"/>
  <c r="CG22" i="8"/>
  <c r="EA56" i="8" a="1"/>
  <c r="EA56" i="8" s="1"/>
  <c r="EA27" i="8" a="1"/>
  <c r="EA27" i="8" s="1"/>
  <c r="BS26" i="8"/>
  <c r="EE43" i="8" a="1"/>
  <c r="EE43" i="8" s="1"/>
  <c r="EI43" i="8" a="1"/>
  <c r="EI43" i="8" s="1"/>
  <c r="FI43" i="8" s="1"/>
  <c r="EM43" i="8" a="1"/>
  <c r="EM43" i="8" s="1"/>
  <c r="DS44" i="8" a="1"/>
  <c r="DS44" i="8" s="1"/>
  <c r="DW44" i="8" a="1"/>
  <c r="DW44" i="8" s="1"/>
  <c r="EA44" i="8" a="1"/>
  <c r="EA44" i="8" s="1"/>
  <c r="EE44" i="8" a="1"/>
  <c r="EE44" i="8" s="1"/>
  <c r="EI44" i="8" a="1"/>
  <c r="EI44" i="8" s="1"/>
  <c r="EM44" i="8" a="1"/>
  <c r="EM44" i="8" s="1"/>
  <c r="EI14" i="8" a="1"/>
  <c r="EI14" i="8" s="1"/>
  <c r="DS45" i="8" a="1"/>
  <c r="DS45" i="8" s="1"/>
  <c r="DS16" i="8" a="1"/>
  <c r="DS16" i="8" s="1"/>
  <c r="BK15" i="8"/>
  <c r="DX45" i="8" a="1"/>
  <c r="DX45" i="8" s="1"/>
  <c r="DX16" i="8" a="1"/>
  <c r="DX16" i="8" s="1"/>
  <c r="EP45" i="8" a="1"/>
  <c r="EP45" i="8" s="1"/>
  <c r="CH15" i="8"/>
  <c r="EP16" i="8" a="1"/>
  <c r="EP16" i="8" s="1"/>
  <c r="DS15" i="8" a="1"/>
  <c r="DS15" i="8" s="1"/>
  <c r="EA15" i="8" a="1"/>
  <c r="EA15" i="8" s="1"/>
  <c r="EI15" i="8" a="1"/>
  <c r="EI15" i="8" s="1"/>
  <c r="DV46" i="8" a="1"/>
  <c r="DV46" i="8" s="1"/>
  <c r="DV17" i="8" a="1"/>
  <c r="DV17" i="8" s="1"/>
  <c r="EJ46" i="8" a="1"/>
  <c r="EJ46" i="8" s="1"/>
  <c r="EJ17" i="8" a="1"/>
  <c r="EJ17" i="8" s="1"/>
  <c r="CB16" i="8"/>
  <c r="BN16" i="8"/>
  <c r="DT47" i="8" a="1"/>
  <c r="DT47" i="8" s="1"/>
  <c r="DT18" i="8" a="1"/>
  <c r="DT18" i="8" s="1"/>
  <c r="BL17" i="8"/>
  <c r="EG47" i="8" a="1"/>
  <c r="EG47" i="8" s="1"/>
  <c r="EG18" i="8" a="1"/>
  <c r="EG18" i="8" s="1"/>
  <c r="FG18" i="8" s="1"/>
  <c r="BY17" i="8"/>
  <c r="DY19" i="8" a="1"/>
  <c r="DY19" i="8" s="1"/>
  <c r="EE18" i="8" a="1"/>
  <c r="EE18" i="8" s="1"/>
  <c r="DU51" i="8" a="1"/>
  <c r="DU51" i="8" s="1"/>
  <c r="BM21" i="8"/>
  <c r="DU13" i="8" a="1"/>
  <c r="DU13" i="8" s="1"/>
  <c r="DY13" i="8" a="1"/>
  <c r="DY13" i="8" s="1"/>
  <c r="EC13" i="8" a="1"/>
  <c r="EC13" i="8" s="1"/>
  <c r="EG13" i="8" a="1"/>
  <c r="EG13" i="8" s="1"/>
  <c r="EK13" i="8" a="1"/>
  <c r="EK13" i="8" s="1"/>
  <c r="EO13" i="8" a="1"/>
  <c r="EO13" i="8" s="1"/>
  <c r="DT45" i="8" a="1"/>
  <c r="DT45" i="8" s="1"/>
  <c r="BL15" i="8"/>
  <c r="DT16" i="8" a="1"/>
  <c r="DT16" i="8" s="1"/>
  <c r="BV15" i="8"/>
  <c r="EF46" i="8" a="1"/>
  <c r="EF46" i="8" s="1"/>
  <c r="EF17" i="8" a="1"/>
  <c r="EF17" i="8" s="1"/>
  <c r="BX16" i="8"/>
  <c r="EO17" i="8" a="1"/>
  <c r="EO17" i="8" s="1"/>
  <c r="EA47" i="8" a="1"/>
  <c r="EA47" i="8" s="1"/>
  <c r="EA18" i="8" a="1"/>
  <c r="EA18" i="8" s="1"/>
  <c r="BS17" i="8"/>
  <c r="EH47" i="8" a="1"/>
  <c r="EH47" i="8" s="1"/>
  <c r="BZ17" i="8"/>
  <c r="EH18" i="8" a="1"/>
  <c r="EH18" i="8" s="1"/>
  <c r="EK48" i="8" a="1"/>
  <c r="EK48" i="8" s="1"/>
  <c r="CC18" i="8"/>
  <c r="EP48" i="8" a="1"/>
  <c r="EP48" i="8" s="1"/>
  <c r="CH18" i="8"/>
  <c r="EP19" i="8" a="1"/>
  <c r="EP19" i="8" s="1"/>
  <c r="EI18" i="8" a="1"/>
  <c r="EI18" i="8" s="1"/>
  <c r="EM49" i="8" a="1"/>
  <c r="EM49" i="8" s="1"/>
  <c r="FM49" i="8" s="1"/>
  <c r="EM20" i="8" a="1"/>
  <c r="EM20" i="8" s="1"/>
  <c r="CE19" i="8"/>
  <c r="EP20" i="8" a="1"/>
  <c r="EP20" i="8" s="1"/>
  <c r="CJ19" i="8"/>
  <c r="DU47" i="8" a="1"/>
  <c r="DU47" i="8" s="1"/>
  <c r="EK47" i="8" a="1"/>
  <c r="EK47" i="8" s="1"/>
  <c r="BQ17" i="8"/>
  <c r="EF48" i="8" a="1"/>
  <c r="EF48" i="8" s="1"/>
  <c r="EF19" i="8" a="1"/>
  <c r="EF19" i="8" s="1"/>
  <c r="DZ49" i="8" a="1"/>
  <c r="DZ49" i="8" s="1"/>
  <c r="BR19" i="8"/>
  <c r="EI49" i="8" a="1"/>
  <c r="EI49" i="8" s="1"/>
  <c r="EI20" i="8" a="1"/>
  <c r="EI20" i="8" s="1"/>
  <c r="EN49" i="8" a="1"/>
  <c r="EN49" i="8" s="1"/>
  <c r="EN20" i="8" a="1"/>
  <c r="EN20" i="8" s="1"/>
  <c r="DW50" i="8" a="1"/>
  <c r="DW50" i="8" s="1"/>
  <c r="DW21" i="8" a="1"/>
  <c r="DW21" i="8" s="1"/>
  <c r="BO20" i="8"/>
  <c r="EB50" i="8" a="1"/>
  <c r="EB50" i="8" s="1"/>
  <c r="CB20" i="8"/>
  <c r="DZ51" i="8" a="1"/>
  <c r="DZ51" i="8" s="1"/>
  <c r="DZ22" i="8" a="1"/>
  <c r="DZ22" i="8" s="1"/>
  <c r="BR21" i="8"/>
  <c r="EF51" i="8" a="1"/>
  <c r="EF51" i="8" s="1"/>
  <c r="BX21" i="8"/>
  <c r="EP51" i="8" a="1"/>
  <c r="EP51" i="8" s="1"/>
  <c r="EP22" i="8" a="1"/>
  <c r="EP22" i="8" s="1"/>
  <c r="CH21" i="8"/>
  <c r="EE52" i="8" a="1"/>
  <c r="EE52" i="8" s="1"/>
  <c r="EE23" i="8" a="1"/>
  <c r="EE23" i="8" s="1"/>
  <c r="BW22" i="8"/>
  <c r="EG22" i="8" a="1"/>
  <c r="EG22" i="8" s="1"/>
  <c r="FG22" i="8" s="1"/>
  <c r="DY53" i="8" a="1"/>
  <c r="DY53" i="8" s="1"/>
  <c r="DY24" i="8" a="1"/>
  <c r="DY24" i="8" s="1"/>
  <c r="BQ23" i="8"/>
  <c r="EM53" i="8" a="1"/>
  <c r="EM53" i="8" s="1"/>
  <c r="CE23" i="8"/>
  <c r="EM24" i="8" a="1"/>
  <c r="EM24" i="8" s="1"/>
  <c r="DW54" i="8" a="1"/>
  <c r="DW54" i="8" s="1"/>
  <c r="DW25" i="8" a="1"/>
  <c r="DW25" i="8" s="1"/>
  <c r="BO24" i="8"/>
  <c r="EM54" i="8" a="1"/>
  <c r="EM54" i="8" s="1"/>
  <c r="EM25" i="8" a="1"/>
  <c r="EM25" i="8" s="1"/>
  <c r="CE24" i="8"/>
  <c r="BL24" i="8"/>
  <c r="DV55" i="8" a="1"/>
  <c r="DV55" i="8" s="1"/>
  <c r="BN25" i="8"/>
  <c r="EL55" i="8" a="1"/>
  <c r="EL55" i="8" s="1"/>
  <c r="CD25" i="8"/>
  <c r="EL26" i="8" a="1"/>
  <c r="EL26" i="8" s="1"/>
  <c r="DV56" i="8" a="1"/>
  <c r="DV56" i="8" s="1"/>
  <c r="BN26" i="8"/>
  <c r="DV27" i="8" a="1"/>
  <c r="DV27" i="8" s="1"/>
  <c r="EP27" i="8" a="1"/>
  <c r="EP27" i="8" s="1"/>
  <c r="DV26" i="8" a="1"/>
  <c r="DV26" i="8" s="1"/>
  <c r="EA46" i="8" a="1"/>
  <c r="EA46" i="8" s="1"/>
  <c r="EE46" i="8" a="1"/>
  <c r="EE46" i="8" s="1"/>
  <c r="EI46" i="8" a="1"/>
  <c r="EI46" i="8" s="1"/>
  <c r="EM46" i="8" a="1"/>
  <c r="EM46" i="8" s="1"/>
  <c r="EF47" i="8" a="1"/>
  <c r="EF47" i="8" s="1"/>
  <c r="EF18" i="8" a="1"/>
  <c r="EF18" i="8" s="1"/>
  <c r="DV48" i="8" a="1"/>
  <c r="DV48" i="8" s="1"/>
  <c r="EA48" i="8" a="1"/>
  <c r="EA48" i="8" s="1"/>
  <c r="EA19" i="8" a="1"/>
  <c r="EA19" i="8" s="1"/>
  <c r="EG48" i="8" a="1"/>
  <c r="EG48" i="8" s="1"/>
  <c r="EL48" i="8" a="1"/>
  <c r="EL48" i="8" s="1"/>
  <c r="DV49" i="8" a="1"/>
  <c r="DV49" i="8" s="1"/>
  <c r="EE49" i="8" a="1"/>
  <c r="EE49" i="8" s="1"/>
  <c r="EE20" i="8" a="1"/>
  <c r="EE20" i="8" s="1"/>
  <c r="FE20" i="8" s="1"/>
  <c r="BW19" i="8"/>
  <c r="EJ49" i="8" a="1"/>
  <c r="EJ49" i="8" s="1"/>
  <c r="EJ20" i="8" a="1"/>
  <c r="EJ20" i="8" s="1"/>
  <c r="DS50" i="8" a="1"/>
  <c r="DS50" i="8" s="1"/>
  <c r="DS21" i="8" a="1"/>
  <c r="DS21" i="8" s="1"/>
  <c r="DX50" i="8" a="1"/>
  <c r="DX50" i="8" s="1"/>
  <c r="EG50" i="8" a="1"/>
  <c r="EG50" i="8" s="1"/>
  <c r="EP50" i="8" a="1"/>
  <c r="EP50" i="8" s="1"/>
  <c r="CH20" i="8"/>
  <c r="EP21" i="8" a="1"/>
  <c r="EP21" i="8" s="1"/>
  <c r="DV20" i="8" a="1"/>
  <c r="DV20" i="8" s="1"/>
  <c r="EA51" i="8" a="1"/>
  <c r="EA51" i="8" s="1"/>
  <c r="EA22" i="8" a="1"/>
  <c r="EA22" i="8" s="1"/>
  <c r="BS21" i="8"/>
  <c r="CI21" i="8"/>
  <c r="DU52" i="8" a="1"/>
  <c r="DU52" i="8" s="1"/>
  <c r="DU23" i="8" a="1"/>
  <c r="DU23" i="8" s="1"/>
  <c r="BM22" i="8"/>
  <c r="EF52" i="8" a="1"/>
  <c r="EF52" i="8" s="1"/>
  <c r="BX22" i="8"/>
  <c r="EF23" i="8" a="1"/>
  <c r="EF23" i="8" s="1"/>
  <c r="EK52" i="8" a="1"/>
  <c r="EK52" i="8" s="1"/>
  <c r="EK23" i="8" a="1"/>
  <c r="EK23" i="8" s="1"/>
  <c r="CC22" i="8"/>
  <c r="DU53" i="8" a="1"/>
  <c r="DU53" i="8" s="1"/>
  <c r="DU24" i="8" a="1"/>
  <c r="DU24" i="8" s="1"/>
  <c r="BM23" i="8"/>
  <c r="EI53" i="8" a="1"/>
  <c r="EI53" i="8" s="1"/>
  <c r="CA23" i="8"/>
  <c r="EI24" i="8" a="1"/>
  <c r="EI24" i="8" s="1"/>
  <c r="FI24" i="8" s="1"/>
  <c r="EN53" i="8" a="1"/>
  <c r="EN53" i="8" s="1"/>
  <c r="CF23" i="8"/>
  <c r="EN24" i="8" a="1"/>
  <c r="EN24" i="8" s="1"/>
  <c r="DX54" i="8" a="1"/>
  <c r="DX54" i="8" s="1"/>
  <c r="BP24" i="8"/>
  <c r="EC54" i="8" a="1"/>
  <c r="EC54" i="8" s="1"/>
  <c r="EC25" i="8" a="1"/>
  <c r="EC25" i="8" s="1"/>
  <c r="BU24" i="8"/>
  <c r="EN54" i="8" a="1"/>
  <c r="EN54" i="8" s="1"/>
  <c r="CF24" i="8"/>
  <c r="DW55" i="8" a="1"/>
  <c r="DW55" i="8" s="1"/>
  <c r="DW26" i="8" a="1"/>
  <c r="DW26" i="8" s="1"/>
  <c r="EM55" i="8" a="1"/>
  <c r="EM55" i="8" s="1"/>
  <c r="EM26" i="8" a="1"/>
  <c r="EM26" i="8" s="1"/>
  <c r="EJ25" i="8" a="1"/>
  <c r="EJ25" i="8" s="1"/>
  <c r="DW56" i="8" a="1"/>
  <c r="DW56" i="8" s="1"/>
  <c r="DW27" i="8" a="1"/>
  <c r="DW27" i="8" s="1"/>
  <c r="EL27" i="8" a="1"/>
  <c r="EL27" i="8" s="1"/>
  <c r="CI26" i="8"/>
  <c r="EC50" i="8" a="1"/>
  <c r="EC50" i="8" s="1"/>
  <c r="BU20" i="8"/>
  <c r="EL50" i="8" a="1"/>
  <c r="EL50" i="8" s="1"/>
  <c r="EL21" i="8" a="1"/>
  <c r="EL21" i="8" s="1"/>
  <c r="DV51" i="8" a="1"/>
  <c r="DV51" i="8" s="1"/>
  <c r="DV22" i="8" a="1"/>
  <c r="DV22" i="8" s="1"/>
  <c r="EU22" i="8" s="1"/>
  <c r="EB51" i="8" a="1"/>
  <c r="EB51" i="8" s="1"/>
  <c r="EL51" i="8" a="1"/>
  <c r="EL51" i="8" s="1"/>
  <c r="EL22" i="8" a="1"/>
  <c r="EL22" i="8" s="1"/>
  <c r="EB21" i="8" a="1"/>
  <c r="EB21" i="8" s="1"/>
  <c r="EA52" i="8" a="1"/>
  <c r="EA52" i="8" s="1"/>
  <c r="BS22" i="8"/>
  <c r="EA23" i="8" a="1"/>
  <c r="EA23" i="8" s="1"/>
  <c r="CI22" i="8"/>
  <c r="EE53" i="8" a="1"/>
  <c r="EE53" i="8" s="1"/>
  <c r="BW23" i="8"/>
  <c r="EE24" i="8" a="1"/>
  <c r="EE24" i="8" s="1"/>
  <c r="DS54" i="8" a="1"/>
  <c r="DS54" i="8" s="1"/>
  <c r="BK24" i="8"/>
  <c r="DS25" i="8" a="1"/>
  <c r="DS25" i="8" s="1"/>
  <c r="EI54" i="8" a="1"/>
  <c r="EI54" i="8" s="1"/>
  <c r="CA24" i="8"/>
  <c r="EI25" i="8" a="1"/>
  <c r="EI25" i="8" s="1"/>
  <c r="EH55" i="8" a="1"/>
  <c r="EH55" i="8" s="1"/>
  <c r="EH26" i="8" a="1"/>
  <c r="EH26" i="8" s="1"/>
  <c r="BZ25" i="8"/>
  <c r="EH56" i="8" a="1"/>
  <c r="EH56" i="8" s="1"/>
  <c r="EH27" i="8" a="1"/>
  <c r="EH27" i="8" s="1"/>
  <c r="BZ26" i="8"/>
  <c r="EM56" i="8" a="1"/>
  <c r="EM56" i="8" s="1"/>
  <c r="CE26" i="8"/>
  <c r="EM27" i="8" a="1"/>
  <c r="EM27" i="8" s="1"/>
  <c r="EE26" i="8" a="1"/>
  <c r="EE26" i="8" s="1"/>
  <c r="EB47" i="8" a="1"/>
  <c r="EB47" i="8" s="1"/>
  <c r="EB18" i="8" a="1"/>
  <c r="EB18" i="8" s="1"/>
  <c r="BT17" i="8"/>
  <c r="EE17" i="8" a="1"/>
  <c r="EE17" i="8" s="1"/>
  <c r="DW48" i="8" a="1"/>
  <c r="DW48" i="8" s="1"/>
  <c r="DW19" i="8" a="1"/>
  <c r="DW19" i="8" s="1"/>
  <c r="BO18" i="8"/>
  <c r="EC48" i="8" a="1"/>
  <c r="EC48" i="8" s="1"/>
  <c r="EM48" i="8" a="1"/>
  <c r="EM48" i="8" s="1"/>
  <c r="EM19" i="8" a="1"/>
  <c r="EM19" i="8" s="1"/>
  <c r="CE18" i="8"/>
  <c r="DS18" i="8" a="1"/>
  <c r="DS18" i="8" s="1"/>
  <c r="DW49" i="8" a="1"/>
  <c r="DW49" i="8" s="1"/>
  <c r="DW20" i="8" a="1"/>
  <c r="DW20" i="8" s="1"/>
  <c r="BO19" i="8"/>
  <c r="EB49" i="8" a="1"/>
  <c r="EB49" i="8" s="1"/>
  <c r="EB20" i="8" a="1"/>
  <c r="EB20" i="8" s="1"/>
  <c r="EH50" i="8" a="1"/>
  <c r="EH50" i="8" s="1"/>
  <c r="BZ20" i="8"/>
  <c r="EH21" i="8" a="1"/>
  <c r="EH21" i="8" s="1"/>
  <c r="DW51" i="8" a="1"/>
  <c r="DW51" i="8" s="1"/>
  <c r="DW22" i="8" a="1"/>
  <c r="DW22" i="8" s="1"/>
  <c r="EM51" i="8" a="1"/>
  <c r="EM51" i="8" s="1"/>
  <c r="EM22" i="8" a="1"/>
  <c r="EM22" i="8" s="1"/>
  <c r="BY21" i="8"/>
  <c r="EC21" i="8" a="1"/>
  <c r="EC21" i="8" s="1"/>
  <c r="EB52" i="8" a="1"/>
  <c r="EB52" i="8" s="1"/>
  <c r="EB23" i="8" a="1"/>
  <c r="EB23" i="8" s="1"/>
  <c r="EG52" i="8" a="1"/>
  <c r="EG52" i="8" s="1"/>
  <c r="EG23" i="8" a="1"/>
  <c r="EG23" i="8" s="1"/>
  <c r="EA53" i="8" a="1"/>
  <c r="EA53" i="8" s="1"/>
  <c r="BS23" i="8"/>
  <c r="EA24" i="8" a="1"/>
  <c r="EA24" i="8" s="1"/>
  <c r="EJ53" i="8" a="1"/>
  <c r="EJ53" i="8" s="1"/>
  <c r="EJ24" i="8" a="1"/>
  <c r="EJ24" i="8" s="1"/>
  <c r="EO53" i="8" a="1"/>
  <c r="EO53" i="8" s="1"/>
  <c r="EO24" i="8" a="1"/>
  <c r="EO24" i="8" s="1"/>
  <c r="CG23" i="8"/>
  <c r="DY54" i="8" a="1"/>
  <c r="DY54" i="8" s="1"/>
  <c r="BQ24" i="8"/>
  <c r="DY25" i="8" a="1"/>
  <c r="DY25" i="8" s="1"/>
  <c r="EO54" i="8" a="1"/>
  <c r="EO54" i="8" s="1"/>
  <c r="CG24" i="8"/>
  <c r="EO25" i="8" a="1"/>
  <c r="EO25" i="8" s="1"/>
  <c r="DS55" i="8" a="1"/>
  <c r="DS55" i="8" s="1"/>
  <c r="ES55" i="8" s="1"/>
  <c r="BK25" i="8"/>
  <c r="DS26" i="8" a="1"/>
  <c r="DS26" i="8" s="1"/>
  <c r="EI55" i="8" a="1"/>
  <c r="EI55" i="8" s="1"/>
  <c r="EI26" i="8" a="1"/>
  <c r="EI26" i="8" s="1"/>
  <c r="CA25" i="8"/>
  <c r="DS56" i="8" a="1"/>
  <c r="DS56" i="8" s="1"/>
  <c r="DS27" i="8" a="1"/>
  <c r="DS27" i="8" s="1"/>
  <c r="BK26" i="8"/>
  <c r="EI56" i="8" a="1"/>
  <c r="EI56" i="8" s="1"/>
  <c r="EI27" i="8" a="1"/>
  <c r="EI27" i="8" s="1"/>
  <c r="CA26" i="8"/>
  <c r="ED27" i="8" a="1"/>
  <c r="ED27" i="8" s="1"/>
  <c r="BS16" i="8"/>
  <c r="CA16" i="8"/>
  <c r="CI16" i="8"/>
  <c r="EC47" i="8" a="1"/>
  <c r="EC47" i="8" s="1"/>
  <c r="FC47" i="8" s="1"/>
  <c r="EM47" i="8" a="1"/>
  <c r="EM47" i="8" s="1"/>
  <c r="CE17" i="8"/>
  <c r="BX17" i="8"/>
  <c r="DX48" i="8" a="1"/>
  <c r="DX48" i="8" s="1"/>
  <c r="DX19" i="8" a="1"/>
  <c r="DX19" i="8" s="1"/>
  <c r="EN48" i="8" a="1"/>
  <c r="EN48" i="8" s="1"/>
  <c r="EN19" i="8" a="1"/>
  <c r="EN19" i="8" s="1"/>
  <c r="BY18" i="8"/>
  <c r="EM18" i="8" a="1"/>
  <c r="EM18" i="8" s="1"/>
  <c r="FM18" i="8" s="1"/>
  <c r="DS49" i="8" a="1"/>
  <c r="DS49" i="8" s="1"/>
  <c r="DS20" i="8" a="1"/>
  <c r="DS20" i="8" s="1"/>
  <c r="DX49" i="8" a="1"/>
  <c r="DX49" i="8" s="1"/>
  <c r="DX20" i="8" a="1"/>
  <c r="DX20" i="8" s="1"/>
  <c r="EP49" i="8" a="1"/>
  <c r="EP49" i="8" s="1"/>
  <c r="CH19" i="8"/>
  <c r="BQ19" i="8"/>
  <c r="DV19" i="8" a="1"/>
  <c r="DV19" i="8" s="1"/>
  <c r="ED50" i="8" a="1"/>
  <c r="ED50" i="8" s="1"/>
  <c r="ED21" i="8" a="1"/>
  <c r="ED21" i="8" s="1"/>
  <c r="EM50" i="8" a="1"/>
  <c r="EM50" i="8" s="1"/>
  <c r="EM21" i="8" a="1"/>
  <c r="EM21" i="8" s="1"/>
  <c r="CE20" i="8"/>
  <c r="BV20" i="8"/>
  <c r="CI20" i="8"/>
  <c r="DX51" i="8" a="1"/>
  <c r="DX51" i="8" s="1"/>
  <c r="BP21" i="8"/>
  <c r="EH51" i="8" a="1"/>
  <c r="EH51" i="8" s="1"/>
  <c r="FG51" i="8" s="1"/>
  <c r="EH22" i="8" a="1"/>
  <c r="EH22" i="8" s="1"/>
  <c r="BZ21" i="8"/>
  <c r="EN51" i="8" a="1"/>
  <c r="EN51" i="8" s="1"/>
  <c r="CF21" i="8"/>
  <c r="DW52" i="8" a="1"/>
  <c r="DW52" i="8" s="1"/>
  <c r="DW23" i="8" a="1"/>
  <c r="DW23" i="8" s="1"/>
  <c r="EM52" i="8" a="1"/>
  <c r="EM52" i="8" s="1"/>
  <c r="EM23" i="8" a="1"/>
  <c r="EM23" i="8" s="1"/>
  <c r="EB22" i="8" a="1"/>
  <c r="EB22" i="8" s="1"/>
  <c r="DW53" i="8" a="1"/>
  <c r="DW53" i="8" s="1"/>
  <c r="BO23" i="8"/>
  <c r="DW24" i="8" a="1"/>
  <c r="DW24" i="8" s="1"/>
  <c r="EF53" i="8" a="1"/>
  <c r="EF53" i="8" s="1"/>
  <c r="BX23" i="8"/>
  <c r="EF24" i="8" a="1"/>
  <c r="EF24" i="8" s="1"/>
  <c r="EE54" i="8" a="1"/>
  <c r="EE54" i="8" s="1"/>
  <c r="EE25" i="8" a="1"/>
  <c r="EE25" i="8" s="1"/>
  <c r="BW24" i="8"/>
  <c r="ED55" i="8" a="1"/>
  <c r="ED55" i="8" s="1"/>
  <c r="BV25" i="8"/>
  <c r="ED26" i="8" a="1"/>
  <c r="ED26" i="8" s="1"/>
  <c r="CE25" i="8"/>
  <c r="ED56" i="8" a="1"/>
  <c r="ED56" i="8" s="1"/>
  <c r="BV26" i="8"/>
  <c r="BO26" i="8"/>
  <c r="DU45" i="8" a="1"/>
  <c r="DU45" i="8" s="1"/>
  <c r="DY45" i="8" a="1"/>
  <c r="DY45" i="8" s="1"/>
  <c r="EY45" i="8" s="1"/>
  <c r="EC45" i="8" a="1"/>
  <c r="EC45" i="8" s="1"/>
  <c r="EG45" i="8" a="1"/>
  <c r="EG45" i="8" s="1"/>
  <c r="FG45" i="8" s="1"/>
  <c r="EG16" i="8" a="1"/>
  <c r="EG16" i="8" s="1"/>
  <c r="EK45" i="8" a="1"/>
  <c r="EK45" i="8" s="1"/>
  <c r="EK16" i="8" a="1"/>
  <c r="EK16" i="8" s="1"/>
  <c r="EO45" i="8" a="1"/>
  <c r="EO45" i="8" s="1"/>
  <c r="EO16" i="8" a="1"/>
  <c r="EO16" i="8" s="1"/>
  <c r="FO16" i="8" s="1"/>
  <c r="DU46" i="8" a="1"/>
  <c r="DU46" i="8" s="1"/>
  <c r="DY46" i="8" a="1"/>
  <c r="DY46" i="8" s="1"/>
  <c r="EC46" i="8" a="1"/>
  <c r="EC46" i="8" s="1"/>
  <c r="EG46" i="8" a="1"/>
  <c r="EG46" i="8" s="1"/>
  <c r="EK46" i="8" a="1"/>
  <c r="EK46" i="8" s="1"/>
  <c r="EO46" i="8" a="1"/>
  <c r="EO46" i="8" s="1"/>
  <c r="DX47" i="8" a="1"/>
  <c r="DX47" i="8" s="1"/>
  <c r="DX18" i="8" a="1"/>
  <c r="DX18" i="8" s="1"/>
  <c r="EN47" i="8" a="1"/>
  <c r="EN47" i="8" s="1"/>
  <c r="EN18" i="8" a="1"/>
  <c r="EN18" i="8" s="1"/>
  <c r="EM17" i="8" a="1"/>
  <c r="EM17" i="8" s="1"/>
  <c r="DS48" i="8" a="1"/>
  <c r="DS48" i="8" s="1"/>
  <c r="DS19" i="8" a="1"/>
  <c r="DS19" i="8" s="1"/>
  <c r="DY48" i="8" a="1"/>
  <c r="DY48" i="8" s="1"/>
  <c r="ED48" i="8" a="1"/>
  <c r="ED48" i="8" s="1"/>
  <c r="EI48" i="8" a="1"/>
  <c r="EI48" i="8" s="1"/>
  <c r="EI19" i="8" a="1"/>
  <c r="EI19" i="8" s="1"/>
  <c r="EO48" i="8" a="1"/>
  <c r="EO48" i="8" s="1"/>
  <c r="BN18" i="8"/>
  <c r="CA18" i="8"/>
  <c r="DT49" i="8" a="1"/>
  <c r="DT49" i="8" s="1"/>
  <c r="DT20" i="8" a="1"/>
  <c r="DT20" i="8" s="1"/>
  <c r="EC49" i="8" a="1"/>
  <c r="EC49" i="8" s="1"/>
  <c r="FC49" i="8" s="1"/>
  <c r="BU19" i="8"/>
  <c r="EL49" i="8" a="1"/>
  <c r="EL49" i="8" s="1"/>
  <c r="EC19" i="8" a="1"/>
  <c r="EC19" i="8" s="1"/>
  <c r="DZ50" i="8" a="1"/>
  <c r="DZ50" i="8" s="1"/>
  <c r="BR20" i="8"/>
  <c r="DZ21" i="8" a="1"/>
  <c r="DZ21" i="8" s="1"/>
  <c r="EI50" i="8" a="1"/>
  <c r="EI50" i="8" s="1"/>
  <c r="EI21" i="8" a="1"/>
  <c r="EI21" i="8" s="1"/>
  <c r="EN50" i="8" a="1"/>
  <c r="EN50" i="8" s="1"/>
  <c r="BK20" i="8"/>
  <c r="EL20" i="8" a="1"/>
  <c r="EL20" i="8" s="1"/>
  <c r="DS51" i="8" a="1"/>
  <c r="DS51" i="8" s="1"/>
  <c r="ES51" i="8" s="1"/>
  <c r="DS22" i="8" a="1"/>
  <c r="DS22" i="8" s="1"/>
  <c r="EI51" i="8" a="1"/>
  <c r="EI51" i="8" s="1"/>
  <c r="EI22" i="8" a="1"/>
  <c r="EI22" i="8" s="1"/>
  <c r="CA21" i="8"/>
  <c r="BN21" i="8"/>
  <c r="CD21" i="8"/>
  <c r="DX52" i="8" a="1"/>
  <c r="DX52" i="8" s="1"/>
  <c r="BP22" i="8"/>
  <c r="DX23" i="8" a="1"/>
  <c r="DX23" i="8" s="1"/>
  <c r="EC52" i="8" a="1"/>
  <c r="EC52" i="8" s="1"/>
  <c r="EC23" i="8" a="1"/>
  <c r="EC23" i="8" s="1"/>
  <c r="BU22" i="8"/>
  <c r="EN52" i="8" a="1"/>
  <c r="EN52" i="8" s="1"/>
  <c r="CF22" i="8"/>
  <c r="EN23" i="8" a="1"/>
  <c r="EN23" i="8" s="1"/>
  <c r="EN22" i="8" a="1"/>
  <c r="EN22" i="8" s="1"/>
  <c r="DS53" i="8" a="1"/>
  <c r="DS53" i="8" s="1"/>
  <c r="ES53" i="8" s="1"/>
  <c r="BK23" i="8"/>
  <c r="DS24" i="8" a="1"/>
  <c r="DS24" i="8" s="1"/>
  <c r="EB53" i="8" a="1"/>
  <c r="EB53" i="8" s="1"/>
  <c r="EB24" i="8" a="1"/>
  <c r="EB24" i="8" s="1"/>
  <c r="EK53" i="8" a="1"/>
  <c r="EK53" i="8" s="1"/>
  <c r="EK24" i="8" a="1"/>
  <c r="EK24" i="8" s="1"/>
  <c r="CC23" i="8"/>
  <c r="DU54" i="8" a="1"/>
  <c r="DU54" i="8" s="1"/>
  <c r="DU25" i="8" a="1"/>
  <c r="DU25" i="8" s="1"/>
  <c r="BM24" i="8"/>
  <c r="EF54" i="8" a="1"/>
  <c r="EF54" i="8" s="1"/>
  <c r="BX24" i="8"/>
  <c r="EK54" i="8" a="1"/>
  <c r="EK54" i="8" s="1"/>
  <c r="EK25" i="8" a="1"/>
  <c r="EK25" i="8" s="1"/>
  <c r="CC24" i="8"/>
  <c r="FE55" i="8"/>
  <c r="EJ26" i="8" a="1"/>
  <c r="EJ26" i="8" s="1"/>
  <c r="DT25" i="8" a="1"/>
  <c r="DT25" i="8" s="1"/>
  <c r="DT27" i="8" a="1"/>
  <c r="DT27" i="8" s="1"/>
  <c r="DY27" i="8" a="1"/>
  <c r="DY27" i="8" s="1"/>
  <c r="EE56" i="8" a="1"/>
  <c r="EE56" i="8" s="1"/>
  <c r="BW26" i="8"/>
  <c r="EE27" i="8" a="1"/>
  <c r="EE27" i="8" s="1"/>
  <c r="EJ27" i="8" a="1"/>
  <c r="EJ27" i="8" s="1"/>
  <c r="DS47" i="8" a="1"/>
  <c r="DS47" i="8" s="1"/>
  <c r="DY47" i="8" a="1"/>
  <c r="DY47" i="8" s="1"/>
  <c r="EY47" i="8" s="1"/>
  <c r="ED47" i="8" a="1"/>
  <c r="ED47" i="8" s="1"/>
  <c r="EI47" i="8" a="1"/>
  <c r="EI47" i="8" s="1"/>
  <c r="EO47" i="8" a="1"/>
  <c r="EO47" i="8" s="1"/>
  <c r="FO47" i="8" s="1"/>
  <c r="CA17" i="8"/>
  <c r="EA17" i="8" a="1"/>
  <c r="EA17" i="8" s="1"/>
  <c r="EG17" i="8" a="1"/>
  <c r="EG17" i="8" s="1"/>
  <c r="DT48" i="8" a="1"/>
  <c r="DT48" i="8" s="1"/>
  <c r="DT19" i="8" a="1"/>
  <c r="DT19" i="8" s="1"/>
  <c r="BL18" i="8"/>
  <c r="EJ48" i="8" a="1"/>
  <c r="EJ48" i="8" s="1"/>
  <c r="EJ19" i="8" a="1"/>
  <c r="EJ19" i="8" s="1"/>
  <c r="CB18" i="8"/>
  <c r="DY49" i="8" a="1"/>
  <c r="DY49" i="8" s="1"/>
  <c r="EY49" i="8" s="1"/>
  <c r="EH49" i="8" a="1"/>
  <c r="EH49" i="8" s="1"/>
  <c r="BZ19" i="8"/>
  <c r="BT19" i="8"/>
  <c r="ED19" i="8" a="1"/>
  <c r="ED19" i="8" s="1"/>
  <c r="DV50" i="8" a="1"/>
  <c r="DV50" i="8" s="1"/>
  <c r="DV21" i="8" a="1"/>
  <c r="DV21" i="8" s="1"/>
  <c r="EE50" i="8" a="1"/>
  <c r="EE50" i="8" s="1"/>
  <c r="EE21" i="8" a="1"/>
  <c r="EE21" i="8" s="1"/>
  <c r="BW20" i="8"/>
  <c r="EJ50" i="8" a="1"/>
  <c r="EJ50" i="8" s="1"/>
  <c r="DT51" i="8" a="1"/>
  <c r="DT51" i="8" s="1"/>
  <c r="DY51" i="8" a="1"/>
  <c r="DY51" i="8" s="1"/>
  <c r="ED51" i="8" a="1"/>
  <c r="ED51" i="8" s="1"/>
  <c r="ED22" i="8" a="1"/>
  <c r="ED22" i="8" s="1"/>
  <c r="EJ51" i="8" a="1"/>
  <c r="EJ51" i="8" s="1"/>
  <c r="EO51" i="8" a="1"/>
  <c r="EO51" i="8" s="1"/>
  <c r="BO21" i="8"/>
  <c r="CE21" i="8"/>
  <c r="DX21" i="8" a="1"/>
  <c r="DX21" i="8" s="1"/>
  <c r="EG21" i="8" a="1"/>
  <c r="EG21" i="8" s="1"/>
  <c r="FG20" i="8" s="1"/>
  <c r="DS52" i="8" a="1"/>
  <c r="DS52" i="8" s="1"/>
  <c r="BK22" i="8"/>
  <c r="DS23" i="8" a="1"/>
  <c r="DS23" i="8" s="1"/>
  <c r="EI52" i="8" a="1"/>
  <c r="EI52" i="8" s="1"/>
  <c r="CA22" i="8"/>
  <c r="EI23" i="8" a="1"/>
  <c r="EI23" i="8" s="1"/>
  <c r="DT22" i="8" a="1"/>
  <c r="DT22" i="8" s="1"/>
  <c r="EO22" i="8" a="1"/>
  <c r="EO22" i="8" s="1"/>
  <c r="DX53" i="8" a="1"/>
  <c r="DX53" i="8" s="1"/>
  <c r="BP23" i="8"/>
  <c r="DX24" i="8" a="1"/>
  <c r="DX24" i="8" s="1"/>
  <c r="EG53" i="8" a="1"/>
  <c r="EG53" i="8" s="1"/>
  <c r="EG24" i="8" a="1"/>
  <c r="EG24" i="8" s="1"/>
  <c r="BY23" i="8"/>
  <c r="CI23" i="8"/>
  <c r="EA54" i="8" a="1"/>
  <c r="EA54" i="8" s="1"/>
  <c r="BS24" i="8"/>
  <c r="EA25" i="8" a="1"/>
  <c r="EA25" i="8" s="1"/>
  <c r="CI24" i="8"/>
  <c r="DZ55" i="8" a="1"/>
  <c r="DZ55" i="8" s="1"/>
  <c r="DZ26" i="8" a="1"/>
  <c r="DZ26" i="8" s="1"/>
  <c r="BR25" i="8"/>
  <c r="EP55" i="8" a="1"/>
  <c r="EP55" i="8" s="1"/>
  <c r="EP26" i="8" a="1"/>
  <c r="EP26" i="8" s="1"/>
  <c r="CH25" i="8"/>
  <c r="DX25" i="8" a="1"/>
  <c r="DX25" i="8" s="1"/>
  <c r="DZ56" i="8" a="1"/>
  <c r="DZ56" i="8" s="1"/>
  <c r="DZ27" i="8" a="1"/>
  <c r="DZ27" i="8" s="1"/>
  <c r="BR26" i="8"/>
  <c r="EO27" i="8" a="1"/>
  <c r="EO27" i="8" s="1"/>
  <c r="BX25" i="8"/>
  <c r="DV53" i="8" a="1"/>
  <c r="DV53" i="8" s="1"/>
  <c r="DZ53" i="8" a="1"/>
  <c r="DZ53" i="8" s="1"/>
  <c r="ED53" i="8" a="1"/>
  <c r="ED53" i="8" s="1"/>
  <c r="EH53" i="8" a="1"/>
  <c r="EH53" i="8" s="1"/>
  <c r="EL53" i="8" a="1"/>
  <c r="EL53" i="8" s="1"/>
  <c r="EP53" i="8" a="1"/>
  <c r="EP53" i="8" s="1"/>
  <c r="BN23" i="8"/>
  <c r="BV23" i="8"/>
  <c r="CD23" i="8"/>
  <c r="DV54" i="8" a="1"/>
  <c r="DV54" i="8" s="1"/>
  <c r="DZ54" i="8" a="1"/>
  <c r="DZ54" i="8" s="1"/>
  <c r="ED54" i="8" a="1"/>
  <c r="ED54" i="8" s="1"/>
  <c r="EH54" i="8" a="1"/>
  <c r="EH54" i="8" s="1"/>
  <c r="EL54" i="8" a="1"/>
  <c r="EL54" i="8" s="1"/>
  <c r="EP54" i="8" a="1"/>
  <c r="EP54" i="8" s="1"/>
  <c r="BN24" i="8"/>
  <c r="BV24" i="8"/>
  <c r="CD24" i="8"/>
  <c r="DT55" i="8" a="1"/>
  <c r="DT55" i="8" s="1"/>
  <c r="DX55" i="8" a="1"/>
  <c r="DX55" i="8" s="1"/>
  <c r="EB55" i="8" a="1"/>
  <c r="EB55" i="8" s="1"/>
  <c r="EF55" i="8" a="1"/>
  <c r="EF55" i="8" s="1"/>
  <c r="EJ55" i="8" a="1"/>
  <c r="EJ55" i="8" s="1"/>
  <c r="EN55" i="8" a="1"/>
  <c r="EN55" i="8" s="1"/>
  <c r="DT56" i="8" a="1"/>
  <c r="DT56" i="8" s="1"/>
  <c r="DX56" i="8" a="1"/>
  <c r="DX56" i="8" s="1"/>
  <c r="EB56" i="8" a="1"/>
  <c r="EB56" i="8" s="1"/>
  <c r="EF56" i="8" a="1"/>
  <c r="EF56" i="8" s="1"/>
  <c r="EJ56" i="8" a="1"/>
  <c r="EJ56" i="8" s="1"/>
  <c r="EN56" i="8" a="1"/>
  <c r="EN56" i="8" s="1"/>
  <c r="CB26" i="8"/>
  <c r="EB26" i="8" a="1"/>
  <c r="EB26" i="8" s="1"/>
  <c r="EF27" i="8" a="1"/>
  <c r="EF27" i="8" s="1"/>
  <c r="EK27" i="8" a="1"/>
  <c r="EK27" i="8" s="1"/>
  <c r="DV25" i="8" a="1"/>
  <c r="DV25" i="8" s="1"/>
  <c r="DZ25" i="8" a="1"/>
  <c r="DZ25" i="8" s="1"/>
  <c r="ED25" i="8" a="1"/>
  <c r="ED25" i="8" s="1"/>
  <c r="EH25" i="8" a="1"/>
  <c r="EH25" i="8" s="1"/>
  <c r="EL25" i="8" a="1"/>
  <c r="EL25" i="8" s="1"/>
  <c r="EP25" i="8" a="1"/>
  <c r="EP25" i="8" s="1"/>
  <c r="BT26" i="8"/>
  <c r="DX26" i="8" a="1"/>
  <c r="DX26" i="8" s="1"/>
  <c r="DV52" i="8" a="1"/>
  <c r="DV52" i="8" s="1"/>
  <c r="DZ52" i="8" a="1"/>
  <c r="DZ52" i="8" s="1"/>
  <c r="ED52" i="8" a="1"/>
  <c r="ED52" i="8" s="1"/>
  <c r="EH52" i="8" a="1"/>
  <c r="EH52" i="8" s="1"/>
  <c r="EL52" i="8" a="1"/>
  <c r="EL52" i="8" s="1"/>
  <c r="EP52" i="8" a="1"/>
  <c r="EP52" i="8" s="1"/>
  <c r="BN22" i="8"/>
  <c r="BV22" i="8"/>
  <c r="CD22" i="8"/>
  <c r="DU55" i="8" a="1"/>
  <c r="DU55" i="8" s="1"/>
  <c r="DU26" i="8" a="1"/>
  <c r="DU26" i="8" s="1"/>
  <c r="EU26" i="8" s="1"/>
  <c r="DY55" i="8" a="1"/>
  <c r="DY55" i="8" s="1"/>
  <c r="DY26" i="8" a="1"/>
  <c r="DY26" i="8" s="1"/>
  <c r="EY26" i="8" s="1"/>
  <c r="EC55" i="8" a="1"/>
  <c r="EC55" i="8" s="1"/>
  <c r="FC55" i="8" s="1"/>
  <c r="EC26" i="8" a="1"/>
  <c r="EC26" i="8" s="1"/>
  <c r="EG55" i="8" a="1"/>
  <c r="EG55" i="8" s="1"/>
  <c r="EG26" i="8" a="1"/>
  <c r="EG26" i="8" s="1"/>
  <c r="EK55" i="8" a="1"/>
  <c r="EK55" i="8" s="1"/>
  <c r="EK26" i="8" a="1"/>
  <c r="EK26" i="8" s="1"/>
  <c r="FK26" i="8" s="1"/>
  <c r="EO55" i="8" a="1"/>
  <c r="EO55" i="8" s="1"/>
  <c r="EO26" i="8" a="1"/>
  <c r="EO26" i="8" s="1"/>
  <c r="FO26" i="8" s="1"/>
  <c r="BL25" i="8"/>
  <c r="BT25" i="8"/>
  <c r="CB25" i="8"/>
  <c r="DU56" i="8" a="1"/>
  <c r="DU56" i="8" s="1"/>
  <c r="DY56" i="8" a="1"/>
  <c r="DY56" i="8" s="1"/>
  <c r="BQ26" i="8"/>
  <c r="EC56" i="8" a="1"/>
  <c r="EC56" i="8" s="1"/>
  <c r="EG56" i="8" a="1"/>
  <c r="EG56" i="8" s="1"/>
  <c r="BY26" i="8"/>
  <c r="EK56" i="8" a="1"/>
  <c r="EK56" i="8" s="1"/>
  <c r="EO56" i="8" a="1"/>
  <c r="EO56" i="8" s="1"/>
  <c r="CG26" i="8"/>
  <c r="BL26" i="8"/>
  <c r="BU26" i="8"/>
  <c r="DT26" i="8" a="1"/>
  <c r="DT26" i="8" s="1"/>
  <c r="EB27" i="8" a="1"/>
  <c r="EB27" i="8" s="1"/>
  <c r="EG27" i="8" a="1"/>
  <c r="EG27" i="8" s="1"/>
  <c r="BR23" i="8"/>
  <c r="BZ23" i="8"/>
  <c r="CH23" i="8"/>
  <c r="BR24" i="8"/>
  <c r="BZ24" i="8"/>
  <c r="CH24" i="8"/>
  <c r="BM25" i="8"/>
  <c r="BU25" i="8"/>
  <c r="CC25" i="8"/>
  <c r="BM26" i="8"/>
  <c r="DV23" i="8" a="1"/>
  <c r="DV23" i="8" s="1"/>
  <c r="DZ23" i="8" a="1"/>
  <c r="DZ23" i="8" s="1"/>
  <c r="ED23" i="8" a="1"/>
  <c r="ED23" i="8" s="1"/>
  <c r="EH23" i="8" a="1"/>
  <c r="EH23" i="8" s="1"/>
  <c r="EL23" i="8" a="1"/>
  <c r="EL23" i="8" s="1"/>
  <c r="EP23" i="8" a="1"/>
  <c r="EP23" i="8" s="1"/>
  <c r="DV24" i="8" a="1"/>
  <c r="DV24" i="8" s="1"/>
  <c r="DZ24" i="8" a="1"/>
  <c r="DZ24" i="8" s="1"/>
  <c r="ED24" i="8" a="1"/>
  <c r="ED24" i="8" s="1"/>
  <c r="EH24" i="8" a="1"/>
  <c r="EH24" i="8" s="1"/>
  <c r="EL24" i="8" a="1"/>
  <c r="EL24" i="8" s="1"/>
  <c r="EP24" i="8" a="1"/>
  <c r="EP24" i="8" s="1"/>
  <c r="EL56" i="8" a="1"/>
  <c r="EL56" i="8" s="1"/>
  <c r="EP56" i="8" a="1"/>
  <c r="EP56" i="8" s="1"/>
  <c r="CF26" i="8"/>
  <c r="DX27" i="8" a="1"/>
  <c r="DX27" i="8" s="1"/>
  <c r="EC27" i="8" a="1"/>
  <c r="EC27" i="8" s="1"/>
  <c r="EN27" i="8" a="1"/>
  <c r="EN27" i="8" s="1"/>
  <c r="AN6" i="3"/>
  <c r="AM6" i="3"/>
  <c r="AL6" i="3"/>
  <c r="B3" i="3"/>
  <c r="AK6" i="3"/>
  <c r="AJ7" i="3"/>
  <c r="FO22" i="8" l="1"/>
  <c r="EY51" i="8"/>
  <c r="FK53" i="8"/>
  <c r="EW49" i="8"/>
  <c r="FM26" i="8"/>
  <c r="FI53" i="8"/>
  <c r="FM24" i="8"/>
  <c r="FK47" i="8"/>
  <c r="FE22" i="8"/>
  <c r="FA20" i="8"/>
  <c r="EY18" i="8"/>
  <c r="FC24" i="8"/>
  <c r="FC20" i="8"/>
  <c r="ES43" i="8"/>
  <c r="FO10" i="8"/>
  <c r="FI16" i="8"/>
  <c r="EY14" i="8"/>
  <c r="FK43" i="8"/>
  <c r="EW41" i="8"/>
  <c r="FO14" i="8"/>
  <c r="EU10" i="8"/>
  <c r="EW8" i="8"/>
  <c r="FE35" i="8"/>
  <c r="FG6" i="8"/>
  <c r="FK33" i="8"/>
  <c r="EU35" i="8"/>
  <c r="FO4" i="8"/>
  <c r="EW51" i="8"/>
  <c r="FK55" i="8"/>
  <c r="EU55" i="8"/>
  <c r="FI47" i="8"/>
  <c r="EU45" i="8"/>
  <c r="EW53" i="8"/>
  <c r="ES18" i="8"/>
  <c r="FM55" i="8"/>
  <c r="FA22" i="8"/>
  <c r="FI20" i="8"/>
  <c r="EU47" i="8"/>
  <c r="FA18" i="8"/>
  <c r="EY22" i="8"/>
  <c r="FG49" i="8"/>
  <c r="FE51" i="8"/>
  <c r="FA49" i="8"/>
  <c r="FC53" i="8"/>
  <c r="FC22" i="8"/>
  <c r="EU18" i="8"/>
  <c r="FM12" i="8"/>
  <c r="FO12" i="8"/>
  <c r="FM10" i="8"/>
  <c r="FO39" i="8"/>
  <c r="FI45" i="8"/>
  <c r="ES41" i="8"/>
  <c r="FA14" i="8"/>
  <c r="EU39" i="8"/>
  <c r="FK10" i="8"/>
  <c r="EW37" i="8"/>
  <c r="ES4" i="8"/>
  <c r="FE4" i="8"/>
  <c r="EU8" i="8"/>
  <c r="FE33" i="8"/>
  <c r="EY37" i="8"/>
  <c r="FG35" i="8"/>
  <c r="EU4" i="8"/>
  <c r="FO33" i="8"/>
  <c r="FG26" i="8"/>
  <c r="FO45" i="8"/>
  <c r="FI26" i="8"/>
  <c r="FA24" i="8"/>
  <c r="EW26" i="8"/>
  <c r="EU24" i="8"/>
  <c r="FA51" i="8"/>
  <c r="FM53" i="8"/>
  <c r="FI49" i="8"/>
  <c r="FA47" i="8"/>
  <c r="EU51" i="8"/>
  <c r="FK20" i="8"/>
  <c r="FO20" i="8"/>
  <c r="FE14" i="8"/>
  <c r="FE16" i="8"/>
  <c r="EW12" i="8"/>
  <c r="EW10" i="8"/>
  <c r="EY43" i="8"/>
  <c r="FC14" i="8"/>
  <c r="EW39" i="8"/>
  <c r="FO43" i="8"/>
  <c r="FA12" i="8"/>
  <c r="FA43" i="8"/>
  <c r="FK39" i="8"/>
  <c r="EU37" i="8"/>
  <c r="FG8" i="8"/>
  <c r="EW33" i="8"/>
  <c r="FI4" i="8"/>
  <c r="FG24" i="8"/>
  <c r="ES24" i="8"/>
  <c r="FI22" i="8"/>
  <c r="FK16" i="8"/>
  <c r="ES20" i="8"/>
  <c r="FI55" i="8"/>
  <c r="FM22" i="8"/>
  <c r="EW55" i="8"/>
  <c r="EU53" i="8"/>
  <c r="FE18" i="8"/>
  <c r="ES16" i="8"/>
  <c r="FK41" i="8"/>
  <c r="EW18" i="8"/>
  <c r="FC51" i="8"/>
  <c r="EU20" i="8"/>
  <c r="FE45" i="8"/>
  <c r="FG14" i="8"/>
  <c r="EY10" i="8"/>
  <c r="FI12" i="8"/>
  <c r="FM41" i="8"/>
  <c r="FC43" i="8"/>
  <c r="FG12" i="8"/>
  <c r="EW6" i="8"/>
  <c r="FC8" i="8"/>
  <c r="FA6" i="8"/>
  <c r="ES33" i="8"/>
  <c r="FO8" i="8"/>
  <c r="FI6" i="8"/>
  <c r="FI33" i="8"/>
  <c r="FG37" i="8"/>
  <c r="EY6" i="8"/>
  <c r="FK8" i="8"/>
  <c r="ES8" i="8"/>
  <c r="FO6" i="8"/>
  <c r="EU33" i="8"/>
  <c r="EY4" i="8"/>
  <c r="FK6" i="8"/>
  <c r="FM4" i="8"/>
  <c r="FG55" i="8"/>
  <c r="FC26" i="8"/>
  <c r="FG53" i="8"/>
  <c r="FO51" i="8"/>
  <c r="ES47" i="8"/>
  <c r="FI51" i="8"/>
  <c r="FK45" i="8"/>
  <c r="ES49" i="8"/>
  <c r="ES26" i="8"/>
  <c r="FA53" i="8"/>
  <c r="FM51" i="8"/>
  <c r="EY24" i="8"/>
  <c r="ES45" i="8"/>
  <c r="FG41" i="8"/>
  <c r="FK22" i="8"/>
  <c r="FK49" i="8"/>
  <c r="FA26" i="8"/>
  <c r="FO49" i="8"/>
  <c r="EY16" i="8"/>
  <c r="EY39" i="8"/>
  <c r="ES12" i="8"/>
  <c r="FI41" i="8"/>
  <c r="ES39" i="8"/>
  <c r="EW14" i="8"/>
  <c r="FM39" i="8"/>
  <c r="FA41" i="8"/>
  <c r="EU14" i="8"/>
  <c r="ES35" i="8"/>
  <c r="EW35" i="8"/>
  <c r="FA35" i="8"/>
  <c r="FO37" i="8"/>
  <c r="FI35" i="8"/>
  <c r="EY35" i="8"/>
  <c r="FM8" i="8"/>
  <c r="ES37" i="8"/>
  <c r="FC6" i="8"/>
  <c r="FO35" i="8"/>
  <c r="FK35" i="8"/>
  <c r="FC4" i="8"/>
  <c r="ES22" i="8"/>
  <c r="FG16" i="8"/>
  <c r="FM47" i="8"/>
  <c r="EW22" i="8"/>
  <c r="FE26" i="8"/>
  <c r="FE24" i="8"/>
  <c r="EY53" i="8"/>
  <c r="FM20" i="8"/>
  <c r="FI14" i="8"/>
  <c r="FM43" i="8"/>
  <c r="FC16" i="8"/>
  <c r="EW47" i="8"/>
  <c r="EU49" i="8"/>
  <c r="FK18" i="8"/>
  <c r="FG43" i="8"/>
  <c r="FE41" i="8"/>
  <c r="EY12" i="8"/>
  <c r="FC12" i="8"/>
  <c r="FI39" i="8"/>
  <c r="EU16" i="8"/>
  <c r="FG10" i="8"/>
  <c r="EU43" i="8"/>
  <c r="FE12" i="8"/>
  <c r="FE10" i="8"/>
  <c r="FA8" i="8"/>
  <c r="FM37" i="8"/>
  <c r="FC35" i="8"/>
  <c r="EY33" i="8"/>
  <c r="FK14" i="8"/>
  <c r="FC10" i="8"/>
  <c r="EW16" i="8"/>
  <c r="EW43" i="8"/>
  <c r="FG39" i="8"/>
  <c r="FA39" i="8"/>
  <c r="FI8" i="8"/>
  <c r="FA37" i="8"/>
  <c r="FG4" i="8"/>
  <c r="FK4" i="8"/>
  <c r="FC33" i="8"/>
  <c r="FO24" i="8"/>
  <c r="FK51" i="8"/>
  <c r="FA16" i="8"/>
  <c r="FA55" i="8"/>
  <c r="FM16" i="8"/>
  <c r="FO55" i="8"/>
  <c r="EY55" i="8"/>
  <c r="FK24" i="8"/>
  <c r="FC45" i="8"/>
  <c r="EW24" i="8"/>
  <c r="FO53" i="8"/>
  <c r="EW20" i="8"/>
  <c r="FE53" i="8"/>
  <c r="FE49" i="8"/>
  <c r="FI18" i="8"/>
  <c r="FG47" i="8"/>
  <c r="FE43" i="8"/>
  <c r="EU41" i="8"/>
  <c r="FE47" i="8"/>
  <c r="FA45" i="8"/>
  <c r="FM45" i="8"/>
  <c r="ES14" i="8"/>
  <c r="FC39" i="8"/>
  <c r="EW45" i="8"/>
  <c r="FC37" i="8"/>
  <c r="FI37" i="8"/>
  <c r="FA33" i="8"/>
  <c r="FM35" i="8"/>
  <c r="EU6" i="8"/>
  <c r="C3" i="3"/>
  <c r="AS5" i="3" s="1"/>
  <c r="AR5" i="3"/>
  <c r="AS4" i="3" s="1"/>
  <c r="AR6" i="3"/>
  <c r="AR7" i="3"/>
  <c r="AR8" i="3"/>
  <c r="AR9" i="3"/>
  <c r="AR10" i="3"/>
  <c r="AN7" i="3"/>
  <c r="AM7" i="3"/>
  <c r="AL7" i="3"/>
  <c r="AK7" i="3"/>
  <c r="AJ8" i="3"/>
  <c r="F3" i="3"/>
  <c r="AS8" i="3" s="1"/>
  <c r="E3" i="3"/>
  <c r="AS7" i="3" s="1"/>
  <c r="D3" i="3"/>
  <c r="AS6" i="3" s="1"/>
  <c r="AO25" i="7"/>
  <c r="AO24" i="7"/>
  <c r="AO23" i="7"/>
  <c r="AO22" i="7"/>
  <c r="AO21" i="7"/>
  <c r="AO20" i="7"/>
  <c r="AO19" i="7"/>
  <c r="AO18" i="7"/>
  <c r="AO17" i="7"/>
  <c r="R12" i="7"/>
  <c r="R11" i="7"/>
  <c r="R10" i="7"/>
  <c r="M19" i="7"/>
  <c r="M18" i="7"/>
  <c r="M17" i="7"/>
  <c r="M6" i="7"/>
  <c r="M7" i="7"/>
  <c r="M5" i="7"/>
  <c r="AL18" i="7"/>
  <c r="AL19" i="7"/>
  <c r="AL20" i="7"/>
  <c r="AL21" i="7"/>
  <c r="AL22" i="7"/>
  <c r="AL23" i="7"/>
  <c r="AL24" i="7"/>
  <c r="AL25" i="7"/>
  <c r="AL17" i="7"/>
  <c r="GT4" i="8" l="1"/>
  <c r="AJ9" i="3"/>
  <c r="AN8" i="3"/>
  <c r="AM8" i="3"/>
  <c r="AL8" i="3"/>
  <c r="AK8" i="3"/>
  <c r="G29" i="7"/>
  <c r="F17" i="7"/>
  <c r="G17" i="7" s="1"/>
  <c r="F16" i="7"/>
  <c r="G16" i="7" s="1"/>
  <c r="F15" i="7"/>
  <c r="G15" i="7" s="1"/>
  <c r="F14" i="7"/>
  <c r="G4" i="7" l="1"/>
  <c r="G14" i="7"/>
  <c r="AJ10" i="3"/>
  <c r="AN9" i="3"/>
  <c r="AM9" i="3"/>
  <c r="AL9" i="3"/>
  <c r="AK9" i="3"/>
  <c r="AJ11" i="3" l="1"/>
  <c r="AN10" i="3"/>
  <c r="AM10" i="3"/>
  <c r="AK10" i="3"/>
  <c r="AL10" i="3"/>
  <c r="AJ12" i="3" l="1"/>
  <c r="AK11" i="3"/>
  <c r="AN11" i="3"/>
  <c r="AL11" i="3"/>
  <c r="AM11" i="3"/>
  <c r="AJ13" i="3" l="1"/>
  <c r="AK12" i="3"/>
  <c r="AM12" i="3"/>
  <c r="AL12" i="3"/>
  <c r="AN12" i="3"/>
  <c r="AJ14" i="3" l="1"/>
  <c r="AL13" i="3"/>
  <c r="AN13" i="3"/>
  <c r="AM13" i="3"/>
  <c r="AK13" i="3"/>
  <c r="AJ15" i="3" l="1"/>
  <c r="AM14" i="3"/>
  <c r="AL14" i="3"/>
  <c r="AN14" i="3"/>
  <c r="AK14" i="3"/>
  <c r="AJ16" i="3" l="1"/>
  <c r="AN15" i="3"/>
  <c r="AM15" i="3"/>
  <c r="AL15" i="3"/>
  <c r="AK15" i="3"/>
  <c r="AJ17" i="3" l="1"/>
  <c r="AN16" i="3"/>
  <c r="AM16" i="3"/>
  <c r="AL16" i="3"/>
  <c r="AK16" i="3"/>
  <c r="AJ18" i="3" l="1"/>
  <c r="AN17" i="3"/>
  <c r="AM17" i="3"/>
  <c r="AL17" i="3"/>
  <c r="AK17" i="3"/>
  <c r="AJ19" i="3" l="1"/>
  <c r="AN18" i="3"/>
  <c r="AM18" i="3"/>
  <c r="AK18" i="3"/>
  <c r="AL18" i="3"/>
  <c r="AJ20" i="3" l="1"/>
  <c r="AK19" i="3"/>
  <c r="AN19" i="3"/>
  <c r="AL19" i="3"/>
  <c r="AM19" i="3"/>
  <c r="AJ21" i="3" l="1"/>
  <c r="AK20" i="3"/>
  <c r="AM20" i="3"/>
  <c r="AL20" i="3"/>
  <c r="AN20" i="3"/>
  <c r="AJ22" i="3" l="1"/>
  <c r="AL21" i="3"/>
  <c r="AN21" i="3"/>
  <c r="AM21" i="3"/>
  <c r="AK21" i="3"/>
  <c r="AJ23" i="3" l="1"/>
  <c r="AM22" i="3"/>
  <c r="AL22" i="3"/>
  <c r="AN22" i="3"/>
  <c r="AK22" i="3"/>
  <c r="AJ24" i="3" l="1"/>
  <c r="AN23" i="3"/>
  <c r="AM23" i="3"/>
  <c r="AL23" i="3"/>
  <c r="AK23" i="3"/>
  <c r="AJ25" i="3" l="1"/>
  <c r="AN24" i="3"/>
  <c r="AM24" i="3"/>
  <c r="AL24" i="3"/>
  <c r="AK24" i="3"/>
  <c r="AJ26" i="3" l="1"/>
  <c r="AN25" i="3"/>
  <c r="AM25" i="3"/>
  <c r="AL25" i="3"/>
  <c r="AK25" i="3"/>
  <c r="AJ27" i="3" l="1"/>
  <c r="AN26" i="3"/>
  <c r="AM26" i="3"/>
  <c r="AK26" i="3"/>
  <c r="AL26" i="3"/>
  <c r="AJ28" i="3" l="1"/>
  <c r="AK27" i="3"/>
  <c r="AN27" i="3"/>
  <c r="AL27" i="3"/>
  <c r="AM27" i="3"/>
  <c r="AJ29" i="3" l="1"/>
  <c r="AK28" i="3"/>
  <c r="AM28" i="3"/>
  <c r="AL28" i="3"/>
  <c r="AN28" i="3"/>
  <c r="AJ30" i="3" l="1"/>
  <c r="AL29" i="3"/>
  <c r="AN29" i="3"/>
  <c r="AM29" i="3"/>
  <c r="AK29" i="3"/>
  <c r="AM30" i="3" l="1"/>
  <c r="AL30" i="3"/>
  <c r="AN30" i="3"/>
  <c r="AJ31" i="3"/>
  <c r="AK30" i="3"/>
  <c r="AN31" i="3" l="1"/>
  <c r="AM31" i="3"/>
  <c r="AL31" i="3"/>
  <c r="AK31" i="3"/>
  <c r="AJ32" i="3"/>
  <c r="AJ33" i="3" l="1"/>
  <c r="AN32" i="3"/>
  <c r="AM32" i="3"/>
  <c r="AL32" i="3"/>
  <c r="AK32" i="3"/>
  <c r="AJ34" i="3" l="1"/>
  <c r="AN33" i="3"/>
  <c r="AM33" i="3"/>
  <c r="AL33" i="3"/>
  <c r="AK33" i="3"/>
  <c r="AJ35" i="3" l="1"/>
  <c r="AN34" i="3"/>
  <c r="AM34" i="3"/>
  <c r="AK34" i="3"/>
  <c r="AL34" i="3"/>
  <c r="AJ36" i="3" l="1"/>
  <c r="AK35" i="3"/>
  <c r="AN35" i="3"/>
  <c r="AL35" i="3"/>
  <c r="AM35" i="3"/>
  <c r="AJ37" i="3" l="1"/>
  <c r="AK36" i="3"/>
  <c r="AM36" i="3"/>
  <c r="AL36" i="3"/>
  <c r="AN36" i="3"/>
  <c r="AJ38" i="3" l="1"/>
  <c r="AL37" i="3"/>
  <c r="AN37" i="3"/>
  <c r="AM37" i="3"/>
  <c r="AK37" i="3"/>
  <c r="AJ39" i="3" l="1"/>
  <c r="AM38" i="3"/>
  <c r="AL38" i="3"/>
  <c r="AN38" i="3"/>
  <c r="AK38" i="3"/>
  <c r="AJ40" i="3" l="1"/>
  <c r="AN39" i="3"/>
  <c r="AM39" i="3"/>
  <c r="AL39" i="3"/>
  <c r="AK39" i="3"/>
  <c r="AJ41" i="3" l="1"/>
  <c r="AN40" i="3"/>
  <c r="AM40" i="3"/>
  <c r="AL40" i="3"/>
  <c r="AK40" i="3"/>
  <c r="AJ42" i="3" l="1"/>
  <c r="AN41" i="3"/>
  <c r="AM41" i="3"/>
  <c r="AL41" i="3"/>
  <c r="AK41" i="3"/>
  <c r="AJ43" i="3" l="1"/>
  <c r="AN42" i="3"/>
  <c r="AM42" i="3"/>
  <c r="AK42" i="3"/>
  <c r="AL42" i="3"/>
  <c r="AJ44" i="3" l="1"/>
  <c r="AK43" i="3"/>
  <c r="AN43" i="3"/>
  <c r="AL43" i="3"/>
  <c r="AM43" i="3"/>
  <c r="AJ45" i="3" l="1"/>
  <c r="AK44" i="3"/>
  <c r="AM44" i="3"/>
  <c r="AL44" i="3"/>
  <c r="AN44" i="3"/>
  <c r="AJ46" i="3" l="1"/>
  <c r="AL45" i="3"/>
  <c r="AN45" i="3"/>
  <c r="AM45" i="3"/>
  <c r="AK45" i="3"/>
  <c r="AJ47" i="3" l="1"/>
  <c r="AM46" i="3"/>
  <c r="AL46" i="3"/>
  <c r="AN46" i="3"/>
  <c r="AK46" i="3"/>
  <c r="AJ48" i="3" l="1"/>
  <c r="AN47" i="3"/>
  <c r="AM47" i="3"/>
  <c r="AL47" i="3"/>
  <c r="AK47" i="3"/>
  <c r="AJ49" i="3" l="1"/>
  <c r="AN48" i="3"/>
  <c r="AM48" i="3"/>
  <c r="AL48" i="3"/>
  <c r="AK48" i="3"/>
  <c r="AJ50" i="3" l="1"/>
  <c r="AN49" i="3"/>
  <c r="AM49" i="3"/>
  <c r="AL49" i="3"/>
  <c r="AK49" i="3"/>
  <c r="AJ51" i="3" l="1"/>
  <c r="AN50" i="3"/>
  <c r="AM50" i="3"/>
  <c r="AK50" i="3"/>
  <c r="AL50" i="3"/>
  <c r="AJ52" i="3" l="1"/>
  <c r="AK51" i="3"/>
  <c r="AN51" i="3"/>
  <c r="AL51" i="3"/>
  <c r="AM51" i="3"/>
  <c r="AJ53" i="3" l="1"/>
  <c r="AK52" i="3"/>
  <c r="AM52" i="3"/>
  <c r="AL52" i="3"/>
  <c r="AN52" i="3"/>
  <c r="AJ54" i="3" l="1"/>
  <c r="AL53" i="3"/>
  <c r="AN53" i="3"/>
  <c r="AM53" i="3"/>
  <c r="AK53" i="3"/>
  <c r="AJ55" i="3" l="1"/>
  <c r="AM54" i="3"/>
  <c r="AL54" i="3"/>
  <c r="AN54" i="3"/>
  <c r="AK54" i="3"/>
  <c r="AJ56" i="3" l="1"/>
  <c r="AN55" i="3"/>
  <c r="AM55" i="3"/>
  <c r="AL55" i="3"/>
  <c r="AK55" i="3"/>
  <c r="AJ57" i="3" l="1"/>
  <c r="AN56" i="3"/>
  <c r="AM56" i="3"/>
  <c r="AL56" i="3"/>
  <c r="AK56" i="3"/>
  <c r="AJ58" i="3" l="1"/>
  <c r="AN57" i="3"/>
  <c r="AM57" i="3"/>
  <c r="AL57" i="3"/>
  <c r="AK57" i="3"/>
  <c r="AJ59" i="3" l="1"/>
  <c r="AN58" i="3"/>
  <c r="AM58" i="3"/>
  <c r="AK58" i="3"/>
  <c r="AL58" i="3"/>
  <c r="AJ60" i="3" l="1"/>
  <c r="AK59" i="3"/>
  <c r="AN59" i="3"/>
  <c r="AL59" i="3"/>
  <c r="AM59" i="3"/>
  <c r="AJ61" i="3" l="1"/>
  <c r="AK60" i="3"/>
  <c r="AM60" i="3"/>
  <c r="AL60" i="3"/>
  <c r="AN60" i="3"/>
  <c r="AJ62" i="3" l="1"/>
  <c r="AL61" i="3"/>
  <c r="AN61" i="3"/>
  <c r="AM61" i="3"/>
  <c r="AK61" i="3"/>
  <c r="AJ63" i="3" l="1"/>
  <c r="AM62" i="3"/>
  <c r="AL62" i="3"/>
  <c r="AN62" i="3"/>
  <c r="AK62" i="3"/>
  <c r="AJ64" i="3" l="1"/>
  <c r="AN63" i="3"/>
  <c r="AM63" i="3"/>
  <c r="AL63" i="3"/>
  <c r="AK63" i="3"/>
  <c r="AJ65" i="3" l="1"/>
  <c r="AN64" i="3"/>
  <c r="AM64" i="3"/>
  <c r="AL64" i="3"/>
  <c r="AK64" i="3"/>
  <c r="AJ66" i="3" l="1"/>
  <c r="AN65" i="3"/>
  <c r="AM65" i="3"/>
  <c r="AL65" i="3"/>
  <c r="AK65" i="3"/>
  <c r="AJ67" i="3" l="1"/>
  <c r="AN66" i="3"/>
  <c r="AM66" i="3"/>
  <c r="AK66" i="3"/>
  <c r="AL66" i="3"/>
  <c r="AJ68" i="3" l="1"/>
  <c r="AK67" i="3"/>
  <c r="AN67" i="3"/>
  <c r="AL67" i="3"/>
  <c r="AM67" i="3"/>
  <c r="AJ69" i="3" l="1"/>
  <c r="AK68" i="3"/>
  <c r="AM68" i="3"/>
  <c r="AL68" i="3"/>
  <c r="AN68" i="3"/>
  <c r="AJ70" i="3" l="1"/>
  <c r="AL69" i="3"/>
  <c r="AN69" i="3"/>
  <c r="AM69" i="3"/>
  <c r="AK69" i="3"/>
  <c r="AJ71" i="3" l="1"/>
  <c r="AM70" i="3"/>
  <c r="AL70" i="3"/>
  <c r="AN70" i="3"/>
  <c r="AK70" i="3"/>
  <c r="AJ72" i="3" l="1"/>
  <c r="AN71" i="3"/>
  <c r="AM71" i="3"/>
  <c r="AL71" i="3"/>
  <c r="AK71" i="3"/>
  <c r="AJ73" i="3" l="1"/>
  <c r="AN72" i="3"/>
  <c r="AM72" i="3"/>
  <c r="AL72" i="3"/>
  <c r="AK72" i="3"/>
  <c r="AJ74" i="3" l="1"/>
  <c r="AN73" i="3"/>
  <c r="AM73" i="3"/>
  <c r="AL73" i="3"/>
  <c r="AK73" i="3"/>
  <c r="AJ75" i="3" l="1"/>
  <c r="AN74" i="3"/>
  <c r="AM74" i="3"/>
  <c r="AK74" i="3"/>
  <c r="AL74" i="3"/>
  <c r="AJ76" i="3" l="1"/>
  <c r="AK75" i="3"/>
  <c r="AN75" i="3"/>
  <c r="AL75" i="3"/>
  <c r="AM75" i="3"/>
  <c r="AJ77" i="3" l="1"/>
  <c r="AK76" i="3"/>
  <c r="AM76" i="3"/>
  <c r="AL76" i="3"/>
  <c r="AN76" i="3"/>
  <c r="AJ78" i="3" l="1"/>
  <c r="AL77" i="3"/>
  <c r="AN77" i="3"/>
  <c r="AM77" i="3"/>
  <c r="AK77" i="3"/>
  <c r="AJ79" i="3" l="1"/>
  <c r="AM78" i="3"/>
  <c r="AL78" i="3"/>
  <c r="AN78" i="3"/>
  <c r="AK78" i="3"/>
  <c r="AJ80" i="3" l="1"/>
  <c r="AN79" i="3"/>
  <c r="AM79" i="3"/>
  <c r="AL79" i="3"/>
  <c r="AK79" i="3"/>
  <c r="AJ81" i="3" l="1"/>
  <c r="AN80" i="3"/>
  <c r="AM80" i="3"/>
  <c r="AL80" i="3"/>
  <c r="AK80" i="3"/>
  <c r="AJ82" i="3" l="1"/>
  <c r="AN81" i="3"/>
  <c r="AM81" i="3"/>
  <c r="AL81" i="3"/>
  <c r="AK81" i="3"/>
  <c r="AJ83" i="3" l="1"/>
  <c r="AN82" i="3"/>
  <c r="AM82" i="3"/>
  <c r="AK82" i="3"/>
  <c r="AL82" i="3"/>
  <c r="AJ84" i="3" l="1"/>
  <c r="AK83" i="3"/>
  <c r="AN83" i="3"/>
  <c r="AL83" i="3"/>
  <c r="AM83" i="3"/>
  <c r="AJ85" i="3" l="1"/>
  <c r="AK84" i="3"/>
  <c r="AM84" i="3"/>
  <c r="AL84" i="3"/>
  <c r="AN84" i="3"/>
  <c r="AJ86" i="3" l="1"/>
  <c r="AL85" i="3"/>
  <c r="AN85" i="3"/>
  <c r="AM85" i="3"/>
  <c r="AK85" i="3"/>
  <c r="AJ87" i="3" l="1"/>
  <c r="AM86" i="3"/>
  <c r="AL86" i="3"/>
  <c r="AN86" i="3"/>
  <c r="AK86" i="3"/>
  <c r="AJ88" i="3" l="1"/>
  <c r="AN87" i="3"/>
  <c r="AM87" i="3"/>
  <c r="AL87" i="3"/>
  <c r="AK87" i="3"/>
  <c r="AJ89" i="3" l="1"/>
  <c r="AN88" i="3"/>
  <c r="AM88" i="3"/>
  <c r="AL88" i="3"/>
  <c r="AK88" i="3"/>
  <c r="AJ90" i="3" l="1"/>
  <c r="AN89" i="3"/>
  <c r="AM89" i="3"/>
  <c r="AL89" i="3"/>
  <c r="AK89" i="3"/>
  <c r="AJ91" i="3" l="1"/>
  <c r="AN90" i="3"/>
  <c r="AM90" i="3"/>
  <c r="AL90" i="3"/>
  <c r="AK90" i="3"/>
  <c r="AJ92" i="3" l="1"/>
  <c r="AN91" i="3"/>
  <c r="AL91" i="3"/>
  <c r="AK91" i="3"/>
  <c r="AM91" i="3"/>
  <c r="AJ93" i="3" l="1"/>
  <c r="AM92" i="3"/>
  <c r="AL92" i="3"/>
  <c r="AN92" i="3"/>
  <c r="AK92" i="3"/>
  <c r="AJ94" i="3" l="1"/>
  <c r="AL93" i="3"/>
  <c r="AN93" i="3"/>
  <c r="AM93" i="3"/>
  <c r="AK93" i="3"/>
  <c r="AJ95" i="3" l="1"/>
  <c r="AM94" i="3"/>
  <c r="AL94" i="3"/>
  <c r="AN94" i="3"/>
  <c r="AK94" i="3"/>
  <c r="AJ96" i="3" l="1"/>
  <c r="AN95" i="3"/>
  <c r="AM95" i="3"/>
  <c r="AL95" i="3"/>
  <c r="AK95" i="3"/>
  <c r="AJ97" i="3" l="1"/>
  <c r="AN96" i="3"/>
  <c r="AM96" i="3"/>
  <c r="AL96" i="3"/>
  <c r="AK96" i="3"/>
  <c r="AJ98" i="3" l="1"/>
  <c r="AN97" i="3"/>
  <c r="AM97" i="3"/>
  <c r="AL97" i="3"/>
  <c r="AK97" i="3"/>
  <c r="AJ99" i="3" l="1"/>
  <c r="AN98" i="3"/>
  <c r="AM98" i="3"/>
  <c r="AL98" i="3"/>
  <c r="AK98" i="3"/>
  <c r="AJ100" i="3" l="1"/>
  <c r="AN99" i="3"/>
  <c r="AL99" i="3"/>
  <c r="AM99" i="3"/>
  <c r="AK99" i="3"/>
  <c r="AJ101" i="3" l="1"/>
  <c r="AM100" i="3"/>
  <c r="AL100" i="3"/>
  <c r="AK100" i="3"/>
  <c r="AN100" i="3"/>
  <c r="AJ102" i="3" l="1"/>
  <c r="AL101" i="3"/>
  <c r="AN101" i="3"/>
  <c r="AM101" i="3"/>
  <c r="AK101" i="3"/>
  <c r="AJ103" i="3" l="1"/>
  <c r="AM102" i="3"/>
  <c r="AL102" i="3"/>
  <c r="AN102" i="3"/>
  <c r="AK102" i="3"/>
  <c r="AJ104" i="3" l="1"/>
  <c r="AN103" i="3"/>
  <c r="AM103" i="3"/>
  <c r="AL103" i="3"/>
  <c r="AK103" i="3"/>
  <c r="AJ105" i="3" l="1"/>
  <c r="AN104" i="3"/>
  <c r="AM104" i="3"/>
  <c r="AL104" i="3"/>
  <c r="AK104" i="3"/>
  <c r="AJ106" i="3" l="1"/>
  <c r="AN105" i="3"/>
  <c r="AM105" i="3"/>
  <c r="AL105" i="3"/>
  <c r="AK105" i="3"/>
  <c r="AJ107" i="3" l="1"/>
  <c r="AN106" i="3"/>
  <c r="AM106" i="3"/>
  <c r="AL106" i="3"/>
  <c r="AK106" i="3"/>
  <c r="AJ108" i="3" l="1"/>
  <c r="AN107" i="3"/>
  <c r="AL107" i="3"/>
  <c r="AK107" i="3"/>
  <c r="AM107" i="3"/>
  <c r="AJ109" i="3" l="1"/>
  <c r="AM108" i="3"/>
  <c r="AL108" i="3"/>
  <c r="AK108" i="3"/>
  <c r="AN108" i="3"/>
  <c r="AJ110" i="3" l="1"/>
  <c r="AL109" i="3"/>
  <c r="AN109" i="3"/>
  <c r="AM109" i="3"/>
  <c r="AK109" i="3"/>
  <c r="AJ111" i="3" l="1"/>
  <c r="AM110" i="3"/>
  <c r="AL110" i="3"/>
  <c r="AN110" i="3"/>
  <c r="AK110" i="3"/>
  <c r="AJ112" i="3" l="1"/>
  <c r="AN111" i="3"/>
  <c r="AM111" i="3"/>
  <c r="AL111" i="3"/>
  <c r="AK111" i="3"/>
  <c r="AJ113" i="3" l="1"/>
  <c r="AN112" i="3"/>
  <c r="AM112" i="3"/>
  <c r="AL112" i="3"/>
  <c r="AK112" i="3"/>
  <c r="AJ114" i="3" l="1"/>
  <c r="AN113" i="3"/>
  <c r="AM113" i="3"/>
  <c r="AL113" i="3"/>
  <c r="AK113" i="3"/>
  <c r="AJ115" i="3" l="1"/>
  <c r="AN114" i="3"/>
  <c r="AM114" i="3"/>
  <c r="AK114" i="3"/>
  <c r="AL114" i="3"/>
  <c r="AJ116" i="3" l="1"/>
  <c r="AN115" i="3"/>
  <c r="AL115" i="3"/>
  <c r="AM115" i="3"/>
  <c r="AK115" i="3"/>
  <c r="AJ117" i="3" l="1"/>
  <c r="AM116" i="3"/>
  <c r="AL116" i="3"/>
  <c r="AN116" i="3"/>
  <c r="AK116" i="3"/>
  <c r="AJ118" i="3" l="1"/>
  <c r="AL117" i="3"/>
  <c r="AN117" i="3"/>
  <c r="AM117" i="3"/>
  <c r="AK117" i="3"/>
  <c r="AJ119" i="3" l="1"/>
  <c r="AM118" i="3"/>
  <c r="AL118" i="3"/>
  <c r="AN118" i="3"/>
  <c r="AK118" i="3"/>
  <c r="AJ120" i="3" l="1"/>
  <c r="AN119" i="3"/>
  <c r="AM119" i="3"/>
  <c r="AL119" i="3"/>
  <c r="AK119" i="3"/>
  <c r="AJ121" i="3" l="1"/>
  <c r="AN120" i="3"/>
  <c r="AM120" i="3"/>
  <c r="AL120" i="3"/>
  <c r="AK120" i="3"/>
  <c r="AJ122" i="3" l="1"/>
  <c r="AN121" i="3"/>
  <c r="AM121" i="3"/>
  <c r="AL121" i="3"/>
  <c r="AK121" i="3"/>
  <c r="AJ123" i="3" l="1"/>
  <c r="AN122" i="3"/>
  <c r="AM122" i="3"/>
  <c r="AK122" i="3"/>
  <c r="AL122" i="3"/>
  <c r="AJ124" i="3" l="1"/>
  <c r="AN123" i="3"/>
  <c r="AL123" i="3"/>
  <c r="AM123" i="3"/>
  <c r="AK123" i="3"/>
  <c r="AJ125" i="3" l="1"/>
  <c r="AM124" i="3"/>
  <c r="AL124" i="3"/>
  <c r="AN124" i="3"/>
  <c r="AK124" i="3"/>
  <c r="AJ126" i="3" l="1"/>
  <c r="AL125" i="3"/>
  <c r="AN125" i="3"/>
  <c r="AM125" i="3"/>
  <c r="AK125" i="3"/>
  <c r="AJ127" i="3" l="1"/>
  <c r="AM126" i="3"/>
  <c r="AL126" i="3"/>
  <c r="AN126" i="3"/>
  <c r="AK126" i="3"/>
  <c r="AJ128" i="3" l="1"/>
  <c r="AN127" i="3"/>
  <c r="AM127" i="3"/>
  <c r="AL127" i="3"/>
  <c r="AK127" i="3"/>
  <c r="AJ129" i="3" l="1"/>
  <c r="AN128" i="3"/>
  <c r="AM128" i="3"/>
  <c r="AL128" i="3"/>
  <c r="AK128" i="3"/>
  <c r="AJ130" i="3" l="1"/>
  <c r="AN129" i="3"/>
  <c r="AM129" i="3"/>
  <c r="AL129" i="3"/>
  <c r="AK129" i="3"/>
  <c r="AJ131" i="3" l="1"/>
  <c r="AN130" i="3"/>
  <c r="AM130" i="3"/>
  <c r="AL130" i="3"/>
  <c r="AK130" i="3"/>
  <c r="AJ132" i="3" l="1"/>
  <c r="AN131" i="3"/>
  <c r="AL131" i="3"/>
  <c r="AM131" i="3"/>
  <c r="AK131" i="3"/>
  <c r="AJ133" i="3" l="1"/>
  <c r="AM132" i="3"/>
  <c r="AL132" i="3"/>
  <c r="AK132" i="3"/>
  <c r="AN132" i="3"/>
  <c r="AJ134" i="3" l="1"/>
  <c r="AL133" i="3"/>
  <c r="AN133" i="3"/>
  <c r="AM133" i="3"/>
  <c r="AK133" i="3"/>
  <c r="AJ135" i="3" l="1"/>
  <c r="AM134" i="3"/>
  <c r="AL134" i="3"/>
  <c r="AN134" i="3"/>
  <c r="AK134" i="3"/>
  <c r="AJ136" i="3" l="1"/>
  <c r="AN135" i="3"/>
  <c r="AM135" i="3"/>
  <c r="AL135" i="3"/>
  <c r="AK135" i="3"/>
  <c r="AJ137" i="3" l="1"/>
  <c r="AN136" i="3"/>
  <c r="AM136" i="3"/>
  <c r="AL136" i="3"/>
  <c r="AK136" i="3"/>
  <c r="AJ138" i="3" l="1"/>
  <c r="AN137" i="3"/>
  <c r="AM137" i="3"/>
  <c r="AL137" i="3"/>
  <c r="AK137" i="3"/>
  <c r="AJ139" i="3" l="1"/>
  <c r="AN138" i="3"/>
  <c r="AM138" i="3"/>
  <c r="AL138" i="3"/>
  <c r="AK138" i="3"/>
  <c r="AJ140" i="3" l="1"/>
  <c r="AN139" i="3"/>
  <c r="AL139" i="3"/>
  <c r="AK139" i="3"/>
  <c r="AM139" i="3"/>
  <c r="AJ141" i="3" l="1"/>
  <c r="AM140" i="3"/>
  <c r="AL140" i="3"/>
  <c r="AK140" i="3"/>
  <c r="AN140" i="3"/>
  <c r="AJ142" i="3" l="1"/>
  <c r="AL141" i="3"/>
  <c r="AN141" i="3"/>
  <c r="AM141" i="3"/>
  <c r="AK141" i="3"/>
  <c r="AJ143" i="3" l="1"/>
  <c r="AM142" i="3"/>
  <c r="AL142" i="3"/>
  <c r="AN142" i="3"/>
  <c r="AK142" i="3"/>
  <c r="AJ144" i="3" l="1"/>
  <c r="AN143" i="3"/>
  <c r="AM143" i="3"/>
  <c r="AL143" i="3"/>
  <c r="AK143" i="3"/>
  <c r="AJ145" i="3" l="1"/>
  <c r="AN144" i="3"/>
  <c r="AM144" i="3"/>
  <c r="AL144" i="3"/>
  <c r="AK144" i="3"/>
  <c r="AJ146" i="3" l="1"/>
  <c r="AN145" i="3"/>
  <c r="AM145" i="3"/>
  <c r="AL145" i="3"/>
  <c r="AK145" i="3"/>
  <c r="AJ147" i="3" l="1"/>
  <c r="AN146" i="3"/>
  <c r="AM146" i="3"/>
  <c r="AL146" i="3"/>
  <c r="AK146" i="3"/>
  <c r="AJ148" i="3" l="1"/>
  <c r="AN147" i="3"/>
  <c r="AL147" i="3"/>
  <c r="AM147" i="3"/>
  <c r="AK147" i="3"/>
  <c r="AJ149" i="3" l="1"/>
  <c r="AM148" i="3"/>
  <c r="AL148" i="3"/>
  <c r="AN148" i="3"/>
  <c r="AK148" i="3"/>
  <c r="AJ150" i="3" l="1"/>
  <c r="AL149" i="3"/>
  <c r="AN149" i="3"/>
  <c r="AM149" i="3"/>
  <c r="AK149" i="3"/>
  <c r="AJ151" i="3" l="1"/>
  <c r="AM150" i="3"/>
  <c r="AL150" i="3"/>
  <c r="AN150" i="3"/>
  <c r="AK150" i="3"/>
  <c r="AJ152" i="3" l="1"/>
  <c r="AN151" i="3"/>
  <c r="AM151" i="3"/>
  <c r="AL151" i="3"/>
  <c r="AK151" i="3"/>
  <c r="AJ153" i="3" l="1"/>
  <c r="AN152" i="3"/>
  <c r="AM152" i="3"/>
  <c r="AL152" i="3"/>
  <c r="AK152" i="3"/>
  <c r="AJ154" i="3" l="1"/>
  <c r="AN153" i="3"/>
  <c r="AM153" i="3"/>
  <c r="AL153" i="3"/>
  <c r="AK153" i="3"/>
  <c r="AJ155" i="3" l="1"/>
  <c r="AN154" i="3"/>
  <c r="AM154" i="3"/>
  <c r="AL154" i="3"/>
  <c r="AK154" i="3"/>
  <c r="AJ156" i="3" l="1"/>
  <c r="AN155" i="3"/>
  <c r="AL155" i="3"/>
  <c r="AK155" i="3"/>
  <c r="AM155" i="3"/>
  <c r="AJ157" i="3" l="1"/>
  <c r="AM156" i="3"/>
  <c r="AL156" i="3"/>
  <c r="AN156" i="3"/>
  <c r="AK156" i="3"/>
  <c r="AJ158" i="3" l="1"/>
  <c r="AL157" i="3"/>
  <c r="AN157" i="3"/>
  <c r="AM157" i="3"/>
  <c r="AK157" i="3"/>
  <c r="AJ159" i="3" l="1"/>
  <c r="AM158" i="3"/>
  <c r="AL158" i="3"/>
  <c r="AN158" i="3"/>
  <c r="AK158" i="3"/>
  <c r="AJ160" i="3" l="1"/>
  <c r="AN159" i="3"/>
  <c r="AM159" i="3"/>
  <c r="AL159" i="3"/>
  <c r="AK159" i="3"/>
  <c r="AJ161" i="3" l="1"/>
  <c r="AN160" i="3"/>
  <c r="AM160" i="3"/>
  <c r="AL160" i="3"/>
  <c r="AK160" i="3"/>
  <c r="AJ162" i="3" l="1"/>
  <c r="AN161" i="3"/>
  <c r="AM161" i="3"/>
  <c r="AL161" i="3"/>
  <c r="AK161" i="3"/>
  <c r="AJ163" i="3" l="1"/>
  <c r="AN162" i="3"/>
  <c r="AM162" i="3"/>
  <c r="AL162" i="3"/>
  <c r="AK162" i="3"/>
  <c r="AJ164" i="3" l="1"/>
  <c r="AN163" i="3"/>
  <c r="AL163" i="3"/>
  <c r="AM163" i="3"/>
  <c r="AK163" i="3"/>
  <c r="AJ165" i="3" l="1"/>
  <c r="AM164" i="3"/>
  <c r="AL164" i="3"/>
  <c r="AN164" i="3"/>
  <c r="AK164" i="3"/>
  <c r="AJ166" i="3" l="1"/>
  <c r="AL165" i="3"/>
  <c r="AN165" i="3"/>
  <c r="AM165" i="3"/>
  <c r="AK165" i="3"/>
  <c r="AJ167" i="3" l="1"/>
  <c r="AM166" i="3"/>
  <c r="AL166" i="3"/>
  <c r="AN166" i="3"/>
  <c r="AK166" i="3"/>
  <c r="AJ168" i="3" l="1"/>
  <c r="AN167" i="3"/>
  <c r="AM167" i="3"/>
  <c r="AL167" i="3"/>
  <c r="AK167" i="3"/>
  <c r="AJ169" i="3" l="1"/>
  <c r="AN168" i="3"/>
  <c r="AM168" i="3"/>
  <c r="AL168" i="3"/>
  <c r="AK168" i="3"/>
  <c r="AJ170" i="3" l="1"/>
  <c r="AN169" i="3"/>
  <c r="AM169" i="3"/>
  <c r="AL169" i="3"/>
  <c r="AK169" i="3"/>
  <c r="AJ171" i="3" l="1"/>
  <c r="AN170" i="3"/>
  <c r="AM170" i="3"/>
  <c r="AL170" i="3"/>
  <c r="AK170" i="3"/>
  <c r="AJ172" i="3" l="1"/>
  <c r="AN171" i="3"/>
  <c r="AL171" i="3"/>
  <c r="AM171" i="3"/>
  <c r="AK171" i="3"/>
  <c r="AJ173" i="3" l="1"/>
  <c r="AM172" i="3"/>
  <c r="AL172" i="3"/>
  <c r="AN172" i="3"/>
  <c r="AK172" i="3"/>
  <c r="AJ174" i="3" l="1"/>
  <c r="AL173" i="3"/>
  <c r="AN173" i="3"/>
  <c r="AM173" i="3"/>
  <c r="AK173" i="3"/>
  <c r="AJ175" i="3" l="1"/>
  <c r="AM174" i="3"/>
  <c r="AL174" i="3"/>
  <c r="AN174" i="3"/>
  <c r="AK174" i="3"/>
  <c r="AJ176" i="3" l="1"/>
  <c r="AN175" i="3"/>
  <c r="AM175" i="3"/>
  <c r="AL175" i="3"/>
  <c r="AK175" i="3"/>
  <c r="AJ177" i="3" l="1"/>
  <c r="AN176" i="3"/>
  <c r="AM176" i="3"/>
  <c r="AL176" i="3"/>
  <c r="AK176" i="3"/>
  <c r="AJ178" i="3" l="1"/>
  <c r="AN177" i="3"/>
  <c r="AM177" i="3"/>
  <c r="AL177" i="3"/>
  <c r="AK177" i="3"/>
  <c r="AJ179" i="3" l="1"/>
  <c r="AN178" i="3"/>
  <c r="AM178" i="3"/>
  <c r="AK178" i="3"/>
  <c r="AL178" i="3"/>
  <c r="AJ180" i="3" l="1"/>
  <c r="AN179" i="3"/>
  <c r="AL179" i="3"/>
  <c r="AK179" i="3"/>
  <c r="AM179" i="3"/>
  <c r="AJ181" i="3" l="1"/>
  <c r="AM180" i="3"/>
  <c r="AL180" i="3"/>
  <c r="AN180" i="3"/>
  <c r="AK180" i="3"/>
  <c r="AJ182" i="3" l="1"/>
  <c r="AL181" i="3"/>
  <c r="AN181" i="3"/>
  <c r="AM181" i="3"/>
  <c r="AK181" i="3"/>
  <c r="AJ183" i="3" l="1"/>
  <c r="AM182" i="3"/>
  <c r="AL182" i="3"/>
  <c r="AN182" i="3"/>
  <c r="AK182" i="3"/>
  <c r="AJ184" i="3" l="1"/>
  <c r="AN183" i="3"/>
  <c r="AM183" i="3"/>
  <c r="AL183" i="3"/>
  <c r="AK183" i="3"/>
  <c r="AJ185" i="3" l="1"/>
  <c r="AN184" i="3"/>
  <c r="AM184" i="3"/>
  <c r="AL184" i="3"/>
  <c r="AK184" i="3"/>
  <c r="AJ186" i="3" l="1"/>
  <c r="AN185" i="3"/>
  <c r="AM185" i="3"/>
  <c r="AL185" i="3"/>
  <c r="AK185" i="3"/>
  <c r="AJ187" i="3" l="1"/>
  <c r="AN186" i="3"/>
  <c r="AM186" i="3"/>
  <c r="AK186" i="3"/>
  <c r="AL186" i="3"/>
  <c r="AJ188" i="3" l="1"/>
  <c r="AN187" i="3"/>
  <c r="AL187" i="3"/>
  <c r="AM187" i="3"/>
  <c r="AK187" i="3"/>
  <c r="AJ189" i="3" l="1"/>
  <c r="AM188" i="3"/>
  <c r="AL188" i="3"/>
  <c r="AK188" i="3"/>
  <c r="AN188" i="3"/>
  <c r="AJ190" i="3" l="1"/>
  <c r="AL189" i="3"/>
  <c r="AN189" i="3"/>
  <c r="AM189" i="3"/>
  <c r="AK189" i="3"/>
  <c r="AJ191" i="3" l="1"/>
  <c r="AM190" i="3"/>
  <c r="AL190" i="3"/>
  <c r="AN190" i="3"/>
  <c r="AK190" i="3"/>
  <c r="AJ192" i="3" l="1"/>
  <c r="AN191" i="3"/>
  <c r="AM191" i="3"/>
  <c r="AL191" i="3"/>
  <c r="AK191" i="3"/>
  <c r="AJ193" i="3" l="1"/>
  <c r="AN192" i="3"/>
  <c r="AM192" i="3"/>
  <c r="AL192" i="3"/>
  <c r="AK192" i="3"/>
  <c r="AJ194" i="3" l="1"/>
  <c r="AN193" i="3"/>
  <c r="AM193" i="3"/>
  <c r="AL193" i="3"/>
  <c r="AK193" i="3"/>
  <c r="AJ195" i="3" l="1"/>
  <c r="AN194" i="3"/>
  <c r="AM194" i="3"/>
  <c r="AL194" i="3"/>
  <c r="AK194" i="3"/>
  <c r="AJ196" i="3" l="1"/>
  <c r="AN195" i="3"/>
  <c r="AL195" i="3"/>
  <c r="AK195" i="3"/>
  <c r="AM195" i="3"/>
  <c r="AJ197" i="3" l="1"/>
  <c r="AM196" i="3"/>
  <c r="AL196" i="3"/>
  <c r="AK196" i="3"/>
  <c r="AN196" i="3"/>
  <c r="AJ198" i="3" l="1"/>
  <c r="AL197" i="3"/>
  <c r="AN197" i="3"/>
  <c r="AM197" i="3"/>
  <c r="AK197" i="3"/>
  <c r="AJ199" i="3" l="1"/>
  <c r="AM198" i="3"/>
  <c r="AL198" i="3"/>
  <c r="AN198" i="3"/>
  <c r="AK198" i="3"/>
  <c r="AJ200" i="3" l="1"/>
  <c r="AN199" i="3"/>
  <c r="AM199" i="3"/>
  <c r="AL199" i="3"/>
  <c r="AK199" i="3"/>
  <c r="AJ201" i="3" l="1"/>
  <c r="AN200" i="3"/>
  <c r="AM200" i="3"/>
  <c r="AL200" i="3"/>
  <c r="AK200" i="3"/>
  <c r="AJ202" i="3" l="1"/>
  <c r="AN201" i="3"/>
  <c r="AM201" i="3"/>
  <c r="AL201" i="3"/>
  <c r="AK201" i="3"/>
  <c r="AJ203" i="3" l="1"/>
  <c r="AN202" i="3"/>
  <c r="AM202" i="3"/>
  <c r="AL202" i="3"/>
  <c r="AK202" i="3"/>
  <c r="AJ204" i="3" l="1"/>
  <c r="AN203" i="3"/>
  <c r="AL203" i="3"/>
  <c r="AK203" i="3"/>
  <c r="AM203" i="3"/>
  <c r="AJ205" i="3" l="1"/>
  <c r="AM204" i="3"/>
  <c r="AL204" i="3"/>
  <c r="AN204" i="3"/>
  <c r="AK204" i="3"/>
  <c r="AJ206" i="3" l="1"/>
  <c r="AL205" i="3"/>
  <c r="AN205" i="3"/>
  <c r="AM205" i="3"/>
  <c r="AK205" i="3"/>
  <c r="AM206" i="3" l="1"/>
  <c r="AL206" i="3"/>
  <c r="AN206" i="3"/>
  <c r="AK206" i="3"/>
  <c r="D13" i="7" l="1"/>
  <c r="J17" i="7" s="1"/>
  <c r="E13" i="7"/>
  <c r="V9" i="7" s="1"/>
  <c r="C13" i="7"/>
  <c r="J14" i="7" s="1"/>
  <c r="N6" i="7" l="1"/>
  <c r="N7" i="7" s="1"/>
  <c r="I15" i="7"/>
  <c r="N18" i="7"/>
  <c r="N19" i="7" s="1"/>
  <c r="S11" i="7" l="1"/>
  <c r="S12" i="7" s="1"/>
  <c r="V10" i="7" l="1"/>
  <c r="V11" i="7" s="1"/>
  <c r="G23" i="7" s="1"/>
  <c r="F23" i="7"/>
</calcChain>
</file>

<file path=xl/comments1.xml><?xml version="1.0" encoding="utf-8"?>
<comments xmlns="http://schemas.openxmlformats.org/spreadsheetml/2006/main">
  <authors>
    <author>Rob Collins</author>
  </authors>
  <commentList>
    <comment ref="BK1" authorId="0">
      <text>
        <r>
          <rPr>
            <b/>
            <sz val="26"/>
            <color indexed="81"/>
            <rFont val="Tahoma"/>
            <family val="2"/>
          </rPr>
          <t>Rob Collins:</t>
        </r>
        <r>
          <rPr>
            <sz val="26"/>
            <color indexed="81"/>
            <rFont val="Tahoma"/>
            <family val="2"/>
          </rPr>
          <t xml:space="preserve">
I added a ReLU to the sheet to make the effect of the convolution more obvious</t>
        </r>
      </text>
    </comment>
  </commentList>
</comments>
</file>

<file path=xl/sharedStrings.xml><?xml version="1.0" encoding="utf-8"?>
<sst xmlns="http://schemas.openxmlformats.org/spreadsheetml/2006/main" count="96" uniqueCount="57">
  <si>
    <t>Activation</t>
  </si>
  <si>
    <t>Prediction</t>
  </si>
  <si>
    <t>Label</t>
  </si>
  <si>
    <t>Y^</t>
  </si>
  <si>
    <t>Y</t>
  </si>
  <si>
    <t>X1</t>
  </si>
  <si>
    <t>X2</t>
  </si>
  <si>
    <t>Input Layer</t>
  </si>
  <si>
    <t>Hidden Layer</t>
  </si>
  <si>
    <t>Neuron 1</t>
  </si>
  <si>
    <t>Neuron 2</t>
  </si>
  <si>
    <t>Weight</t>
  </si>
  <si>
    <t xml:space="preserve">Error = </t>
  </si>
  <si>
    <t xml:space="preserve">Prediction = </t>
  </si>
  <si>
    <t>True Y =</t>
  </si>
  <si>
    <t xml:space="preserve">Current Row = </t>
  </si>
  <si>
    <t>Sq Error</t>
  </si>
  <si>
    <t>Sigmoid Slope</t>
  </si>
  <si>
    <t>Input Data</t>
  </si>
  <si>
    <t>Right or Wrong?</t>
  </si>
  <si>
    <t xml:space="preserve">Total Error = </t>
  </si>
  <si>
    <t>Row</t>
  </si>
  <si>
    <t>Weight Name</t>
  </si>
  <si>
    <t>Neuron 3</t>
  </si>
  <si>
    <t>Weight Controls - Neuron 1</t>
  </si>
  <si>
    <t>Weight Controls Neuron 2</t>
  </si>
  <si>
    <t>Weight Controls Neuron 3</t>
  </si>
  <si>
    <t>Output Layer</t>
  </si>
  <si>
    <t>W1</t>
  </si>
  <si>
    <t>W2</t>
  </si>
  <si>
    <t>W3 (Bias)</t>
  </si>
  <si>
    <t>W4</t>
  </si>
  <si>
    <t>W5</t>
  </si>
  <si>
    <t>W6 (Bias)</t>
  </si>
  <si>
    <t>W7</t>
  </si>
  <si>
    <t>W8</t>
  </si>
  <si>
    <t>W0 (Bias)</t>
  </si>
  <si>
    <t>Slider</t>
  </si>
  <si>
    <t>X</t>
  </si>
  <si>
    <t>Sigmoid</t>
  </si>
  <si>
    <t>tanh(x)</t>
  </si>
  <si>
    <t>ReLU</t>
  </si>
  <si>
    <t>Leaky ReLU</t>
  </si>
  <si>
    <t>x</t>
  </si>
  <si>
    <t>Leaky</t>
  </si>
  <si>
    <t>Input</t>
  </si>
  <si>
    <t>Conv1</t>
  </si>
  <si>
    <t>Conv2</t>
  </si>
  <si>
    <t>Maxpool</t>
  </si>
  <si>
    <t>Dense weights</t>
  </si>
  <si>
    <t>Dense activation</t>
  </si>
  <si>
    <t>NB: For MNIST, there would need to be 10 sets of these weights, since there are 10 classes)</t>
  </si>
  <si>
    <t>NB: MNIST would have 10 activations, and a softmax layer)</t>
  </si>
  <si>
    <t>filter 1/1</t>
  </si>
  <si>
    <t>filter 1/2</t>
  </si>
  <si>
    <t>filter 2/1</t>
  </si>
  <si>
    <t>filter 2/2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</si>
</sst>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00"/>
    <numFmt numFmtId="166" formatCode="0.000000"/>
    <numFmt numFmtId="167" formatCode="0.0000000"/>
    <numFmt numFmtId="168" formatCode="0.0000000000"/>
    <numFmt numFmtId="169" formatCode="0.000"/>
    <numFmt numFmtId="170" formatCode="0.00000000"/>
    <numFmt numFmtId="171" formatCode="0E+00"/>
    <numFmt numFmtId="172" formatCode="#,##0.0"/>
    <numFmt numFmtId="173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Wingdings"/>
      <charset val="2"/>
    </font>
    <font>
      <b/>
      <sz val="20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6"/>
      <color indexed="81"/>
      <name val="Tahoma"/>
      <family val="2"/>
    </font>
    <font>
      <sz val="26"/>
      <color indexed="81"/>
      <name val="Tahoma"/>
      <family val="2"/>
    </font>
    <font>
      <sz val="18"/>
      <color theme="1"/>
      <name val="Calibri"/>
      <family val="2"/>
      <scheme val="minor"/>
    </font>
    <font>
      <sz val="20"/>
      <color theme="1"/>
      <name val="Wingdings"/>
      <charset val="2"/>
    </font>
    <font>
      <sz val="150"/>
      <color theme="1"/>
      <name val="Wingdings"/>
      <charset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0" borderId="1" xfId="0" applyBorder="1" applyAlignment="1">
      <alignment horizontal="center" vertical="center"/>
    </xf>
    <xf numFmtId="0" fontId="1" fillId="0" borderId="0" xfId="0" applyFont="1"/>
    <xf numFmtId="164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5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0" fillId="0" borderId="6" xfId="0" applyNumberFormat="1" applyBorder="1" applyAlignment="1">
      <alignment horizontal="center"/>
    </xf>
    <xf numFmtId="0" fontId="6" fillId="0" borderId="0" xfId="0" applyFont="1" applyAlignment="1">
      <alignment vertical="center"/>
    </xf>
    <xf numFmtId="164" fontId="0" fillId="2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9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3" borderId="1" xfId="0" applyNumberFormat="1" applyFont="1" applyFill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 vertical="center"/>
    </xf>
    <xf numFmtId="169" fontId="0" fillId="7" borderId="9" xfId="0" applyNumberFormat="1" applyFill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2" borderId="2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/>
    </xf>
    <xf numFmtId="0" fontId="1" fillId="0" borderId="2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3" borderId="14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12" fillId="7" borderId="0" xfId="0" applyFont="1" applyFill="1"/>
    <xf numFmtId="0" fontId="12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2" fontId="11" fillId="10" borderId="1" xfId="0" applyNumberFormat="1" applyFont="1" applyFill="1" applyBorder="1" applyAlignment="1">
      <alignment horizontal="center" vertical="center"/>
    </xf>
    <xf numFmtId="0" fontId="0" fillId="11" borderId="0" xfId="0" applyFill="1"/>
    <xf numFmtId="171" fontId="0" fillId="11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/>
    <xf numFmtId="2" fontId="0" fillId="7" borderId="0" xfId="0" applyNumberFormat="1" applyFill="1" applyAlignment="1">
      <alignment horizontal="center"/>
    </xf>
    <xf numFmtId="17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/>
    <xf numFmtId="4" fontId="0" fillId="0" borderId="0" xfId="0" applyNumberFormat="1"/>
    <xf numFmtId="172" fontId="0" fillId="0" borderId="0" xfId="0" applyNumberForma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4" fillId="0" borderId="1" xfId="0" applyNumberFormat="1" applyFont="1" applyBorder="1" applyAlignment="1">
      <alignment horizontal="left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1" fillId="8" borderId="11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0" fontId="8" fillId="4" borderId="19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173" fontId="16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Sigmoid:</a:t>
            </a:r>
            <a:r>
              <a:rPr lang="en-GB" baseline="0"/>
              <a:t> Y = 1/(1+e</a:t>
            </a:r>
            <a:r>
              <a:rPr lang="en-GB" baseline="30000"/>
              <a:t>-x</a:t>
            </a:r>
            <a:r>
              <a:rPr lang="en-GB" baseline="0"/>
              <a:t>)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'Activation Functions'!$AK$5</c:f>
              <c:strCache>
                <c:ptCount val="1"/>
                <c:pt idx="0">
                  <c:v>Sigmoid</c:v>
                </c:pt>
              </c:strCache>
            </c:strRef>
          </c:tx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Functions'!$AK$6:$AK$206</c:f>
              <c:numCache>
                <c:formatCode>0E+00</c:formatCode>
                <c:ptCount val="201"/>
                <c:pt idx="0">
                  <c:v>4.5397868702434395E-5</c:v>
                </c:pt>
                <c:pt idx="1">
                  <c:v>5.0172164683764205E-5</c:v>
                </c:pt>
                <c:pt idx="2">
                  <c:v>5.5448524722794907E-5</c:v>
                </c:pt>
                <c:pt idx="3">
                  <c:v>6.1279739616602373E-5</c:v>
                </c:pt>
                <c:pt idx="4">
                  <c:v>6.7724149619770109E-5</c:v>
                </c:pt>
                <c:pt idx="5">
                  <c:v>7.4846227510611094E-5</c:v>
                </c:pt>
                <c:pt idx="6">
                  <c:v>8.2717222851666239E-5</c:v>
                </c:pt>
                <c:pt idx="7">
                  <c:v>9.1415873852161264E-5</c:v>
                </c:pt>
                <c:pt idx="8">
                  <c:v>1.0102919390777254E-4</c:v>
                </c:pt>
                <c:pt idx="9">
                  <c:v>1.1165334062956235E-4</c:v>
                </c:pt>
                <c:pt idx="10">
                  <c:v>1.2339457598623129E-4</c:v>
                </c:pt>
                <c:pt idx="11">
                  <c:v>1.3637032707949654E-4</c:v>
                </c:pt>
                <c:pt idx="12">
                  <c:v>1.5071035805975686E-4</c:v>
                </c:pt>
                <c:pt idx="13">
                  <c:v>1.6655806477733519E-4</c:v>
                </c:pt>
                <c:pt idx="14">
                  <c:v>1.8407190496342303E-4</c:v>
                </c:pt>
                <c:pt idx="15">
                  <c:v>2.0342697805520542E-4</c:v>
                </c:pt>
                <c:pt idx="16">
                  <c:v>2.2481677023329411E-4</c:v>
                </c:pt>
                <c:pt idx="17">
                  <c:v>2.4845508183933296E-4</c:v>
                </c:pt>
                <c:pt idx="18">
                  <c:v>2.7457815610133096E-4</c:v>
                </c:pt>
                <c:pt idx="19">
                  <c:v>3.0344703002891705E-4</c:v>
                </c:pt>
                <c:pt idx="20">
                  <c:v>3.3535013046647572E-4</c:v>
                </c:pt>
                <c:pt idx="21">
                  <c:v>3.7060614062639388E-4</c:v>
                </c:pt>
                <c:pt idx="22">
                  <c:v>4.0956716498604718E-4</c:v>
                </c:pt>
                <c:pt idx="23">
                  <c:v>4.5262222324053138E-4</c:v>
                </c:pt>
                <c:pt idx="24">
                  <c:v>5.0020110707955988E-4</c:v>
                </c:pt>
                <c:pt idx="25">
                  <c:v>5.5277863692359457E-4</c:v>
                </c:pt>
                <c:pt idx="26">
                  <c:v>6.1087935943439559E-4</c:v>
                </c:pt>
                <c:pt idx="27">
                  <c:v>6.7508273063283161E-4</c:v>
                </c:pt>
                <c:pt idx="28">
                  <c:v>7.4602883383668962E-4</c:v>
                </c:pt>
                <c:pt idx="29">
                  <c:v>8.2442468639828655E-4</c:v>
                </c:pt>
                <c:pt idx="30">
                  <c:v>9.1105119440063563E-4</c:v>
                </c:pt>
                <c:pt idx="31">
                  <c:v>1.0067708200856261E-3</c:v>
                </c:pt>
                <c:pt idx="32">
                  <c:v>1.1125360328603088E-3</c:v>
                </c:pt>
                <c:pt idx="33">
                  <c:v>1.2293986212774061E-3</c:v>
                </c:pt>
                <c:pt idx="34">
                  <c:v>1.3585199504289425E-3</c:v>
                </c:pt>
                <c:pt idx="35">
                  <c:v>1.5011822567369728E-3</c:v>
                </c:pt>
                <c:pt idx="36">
                  <c:v>1.6588010801744009E-3</c:v>
                </c:pt>
                <c:pt idx="37">
                  <c:v>1.8329389424927812E-3</c:v>
                </c:pt>
                <c:pt idx="38">
                  <c:v>2.025320389049855E-3</c:v>
                </c:pt>
                <c:pt idx="39">
                  <c:v>2.2378485212763018E-3</c:v>
                </c:pt>
                <c:pt idx="40">
                  <c:v>2.4726231566347392E-3</c:v>
                </c:pt>
                <c:pt idx="41">
                  <c:v>2.7319607630110201E-3</c:v>
                </c:pt>
                <c:pt idx="42">
                  <c:v>3.018416324708379E-3</c:v>
                </c:pt>
                <c:pt idx="43">
                  <c:v>3.3348073074132944E-3</c:v>
                </c:pt>
                <c:pt idx="44">
                  <c:v>3.6842398994359304E-3</c:v>
                </c:pt>
                <c:pt idx="45">
                  <c:v>4.0701377158960626E-3</c:v>
                </c:pt>
                <c:pt idx="46">
                  <c:v>4.4962731609411071E-3</c:v>
                </c:pt>
                <c:pt idx="47">
                  <c:v>4.966801650056878E-3</c:v>
                </c:pt>
                <c:pt idx="48">
                  <c:v>5.4862988994503125E-3</c:v>
                </c:pt>
                <c:pt idx="49">
                  <c:v>6.0598014915840097E-3</c:v>
                </c:pt>
                <c:pt idx="50">
                  <c:v>6.6928509242847375E-3</c:v>
                </c:pt>
                <c:pt idx="51">
                  <c:v>7.3915413442818406E-3</c:v>
                </c:pt>
                <c:pt idx="52">
                  <c:v>8.1625711531597457E-3</c:v>
                </c:pt>
                <c:pt idx="53">
                  <c:v>9.0132986528476556E-3</c:v>
                </c:pt>
                <c:pt idx="54">
                  <c:v>9.9518018669041315E-3</c:v>
                </c:pt>
                <c:pt idx="55">
                  <c:v>1.0986942630592968E-2</c:v>
                </c:pt>
                <c:pt idx="56">
                  <c:v>1.2128434984274003E-2</c:v>
                </c:pt>
                <c:pt idx="57">
                  <c:v>1.338691782766451E-2</c:v>
                </c:pt>
                <c:pt idx="58">
                  <c:v>1.4774031693272757E-2</c:v>
                </c:pt>
                <c:pt idx="59">
                  <c:v>1.6302499371440602E-2</c:v>
                </c:pt>
                <c:pt idx="60">
                  <c:v>1.7986209962091181E-2</c:v>
                </c:pt>
                <c:pt idx="61">
                  <c:v>1.9840305734077093E-2</c:v>
                </c:pt>
                <c:pt idx="62">
                  <c:v>2.1881270936130022E-2</c:v>
                </c:pt>
                <c:pt idx="63">
                  <c:v>2.4127021417668704E-2</c:v>
                </c:pt>
                <c:pt idx="64">
                  <c:v>2.6596993576865312E-2</c:v>
                </c:pt>
                <c:pt idx="65">
                  <c:v>2.9312230751355722E-2</c:v>
                </c:pt>
                <c:pt idx="66">
                  <c:v>3.2295464698449863E-2</c:v>
                </c:pt>
                <c:pt idx="67">
                  <c:v>3.5571189272635466E-2</c:v>
                </c:pt>
                <c:pt idx="68">
                  <c:v>3.9165722796763586E-2</c:v>
                </c:pt>
                <c:pt idx="69">
                  <c:v>4.3107254941085277E-2</c:v>
                </c:pt>
                <c:pt idx="70">
                  <c:v>4.7425873177565858E-2</c:v>
                </c:pt>
                <c:pt idx="71">
                  <c:v>5.2153563078416731E-2</c:v>
                </c:pt>
                <c:pt idx="72">
                  <c:v>5.7324175898867652E-2</c:v>
                </c:pt>
                <c:pt idx="73">
                  <c:v>6.2973356056995305E-2</c:v>
                </c:pt>
                <c:pt idx="74">
                  <c:v>6.9138420343345525E-2</c:v>
                </c:pt>
                <c:pt idx="75">
                  <c:v>7.5858180021242158E-2</c:v>
                </c:pt>
                <c:pt idx="76">
                  <c:v>8.3172696493920853E-2</c:v>
                </c:pt>
                <c:pt idx="77">
                  <c:v>9.1122961014854495E-2</c:v>
                </c:pt>
                <c:pt idx="78">
                  <c:v>9.9750489119683372E-2</c:v>
                </c:pt>
                <c:pt idx="79">
                  <c:v>0.10909682119561104</c:v>
                </c:pt>
                <c:pt idx="80">
                  <c:v>0.11920292202211551</c:v>
                </c:pt>
                <c:pt idx="81">
                  <c:v>0.13010847436299566</c:v>
                </c:pt>
                <c:pt idx="82">
                  <c:v>0.14185106490048544</c:v>
                </c:pt>
                <c:pt idx="83">
                  <c:v>0.15446526508353217</c:v>
                </c:pt>
                <c:pt idx="84">
                  <c:v>0.16798161486607283</c:v>
                </c:pt>
                <c:pt idx="85">
                  <c:v>0.18242552380635349</c:v>
                </c:pt>
                <c:pt idx="86">
                  <c:v>0.19781611144141523</c:v>
                </c:pt>
                <c:pt idx="87">
                  <c:v>0.2141650169574382</c:v>
                </c:pt>
                <c:pt idx="88">
                  <c:v>0.23147521650097905</c:v>
                </c:pt>
                <c:pt idx="89">
                  <c:v>0.24973989440487893</c:v>
                </c:pt>
                <c:pt idx="90">
                  <c:v>0.2689414213699915</c:v>
                </c:pt>
                <c:pt idx="91">
                  <c:v>0.28905049737499222</c:v>
                </c:pt>
                <c:pt idx="92">
                  <c:v>0.31002551887238355</c:v>
                </c:pt>
                <c:pt idx="93">
                  <c:v>0.33181222783182973</c:v>
                </c:pt>
                <c:pt idx="94">
                  <c:v>0.35434369377420027</c:v>
                </c:pt>
                <c:pt idx="95">
                  <c:v>0.37754066879814102</c:v>
                </c:pt>
                <c:pt idx="96">
                  <c:v>0.4013123398875435</c:v>
                </c:pt>
                <c:pt idx="97">
                  <c:v>0.42555748318833642</c:v>
                </c:pt>
                <c:pt idx="98">
                  <c:v>0.45016600268751744</c:v>
                </c:pt>
                <c:pt idx="99">
                  <c:v>0.47502081252105538</c:v>
                </c:pt>
                <c:pt idx="100">
                  <c:v>0.49999999999999534</c:v>
                </c:pt>
                <c:pt idx="101">
                  <c:v>0.52497918747893524</c:v>
                </c:pt>
                <c:pt idx="102">
                  <c:v>0.54983399731247329</c:v>
                </c:pt>
                <c:pt idx="103">
                  <c:v>0.57444251681165437</c:v>
                </c:pt>
                <c:pt idx="104">
                  <c:v>0.59868766011244745</c:v>
                </c:pt>
                <c:pt idx="105">
                  <c:v>0.62245933120185015</c:v>
                </c:pt>
                <c:pt idx="106">
                  <c:v>0.64565630622579118</c:v>
                </c:pt>
                <c:pt idx="107">
                  <c:v>0.66818777216816194</c:v>
                </c:pt>
                <c:pt idx="108">
                  <c:v>0.6899744811276084</c:v>
                </c:pt>
                <c:pt idx="109">
                  <c:v>0.71094950262500012</c:v>
                </c:pt>
                <c:pt idx="110">
                  <c:v>0.73105857863000123</c:v>
                </c:pt>
                <c:pt idx="111">
                  <c:v>0.75026010559511414</c:v>
                </c:pt>
                <c:pt idx="112">
                  <c:v>0.76852478349901432</c:v>
                </c:pt>
                <c:pt idx="113">
                  <c:v>0.7858349830425555</c:v>
                </c:pt>
                <c:pt idx="114">
                  <c:v>0.80218388855857881</c:v>
                </c:pt>
                <c:pt idx="115">
                  <c:v>0.81757447619364099</c:v>
                </c:pt>
                <c:pt idx="116">
                  <c:v>0.83201838513392201</c:v>
                </c:pt>
                <c:pt idx="117">
                  <c:v>0.84553473491646292</c:v>
                </c:pt>
                <c:pt idx="118">
                  <c:v>0.85814893509950996</c:v>
                </c:pt>
                <c:pt idx="119">
                  <c:v>0.86989152563700012</c:v>
                </c:pt>
                <c:pt idx="120">
                  <c:v>0.88079707797788065</c:v>
                </c:pt>
                <c:pt idx="121">
                  <c:v>0.8909031788043853</c:v>
                </c:pt>
                <c:pt idx="122">
                  <c:v>0.90024951088031324</c:v>
                </c:pt>
                <c:pt idx="123">
                  <c:v>0.90887703898514238</c:v>
                </c:pt>
                <c:pt idx="124">
                  <c:v>0.91682730350607622</c:v>
                </c:pt>
                <c:pt idx="125">
                  <c:v>0.92414181997875522</c:v>
                </c:pt>
                <c:pt idx="126">
                  <c:v>0.93086157965665206</c:v>
                </c:pt>
                <c:pt idx="127">
                  <c:v>0.93702664394300239</c:v>
                </c:pt>
                <c:pt idx="128">
                  <c:v>0.94267582410113027</c:v>
                </c:pt>
                <c:pt idx="129">
                  <c:v>0.94784643692158133</c:v>
                </c:pt>
                <c:pt idx="130">
                  <c:v>0.95257412682243248</c:v>
                </c:pt>
                <c:pt idx="131">
                  <c:v>0.95689274505891331</c:v>
                </c:pt>
                <c:pt idx="132">
                  <c:v>0.96083427720323511</c:v>
                </c:pt>
                <c:pt idx="133">
                  <c:v>0.96442881072736319</c:v>
                </c:pt>
                <c:pt idx="134">
                  <c:v>0.96770453530154898</c:v>
                </c:pt>
                <c:pt idx="135">
                  <c:v>0.9706877692486432</c:v>
                </c:pt>
                <c:pt idx="136">
                  <c:v>0.9734030064231336</c:v>
                </c:pt>
                <c:pt idx="137">
                  <c:v>0.97587297858233035</c:v>
                </c:pt>
                <c:pt idx="138">
                  <c:v>0.97811872906386921</c:v>
                </c:pt>
                <c:pt idx="139">
                  <c:v>0.98015969426592209</c:v>
                </c:pt>
                <c:pt idx="140">
                  <c:v>0.98201379003790823</c:v>
                </c:pt>
                <c:pt idx="141">
                  <c:v>0.98369750062855887</c:v>
                </c:pt>
                <c:pt idx="142">
                  <c:v>0.98522596830672671</c:v>
                </c:pt>
                <c:pt idx="143">
                  <c:v>0.9866130821723349</c:v>
                </c:pt>
                <c:pt idx="144">
                  <c:v>0.98787156501572548</c:v>
                </c:pt>
                <c:pt idx="145">
                  <c:v>0.98901305736940659</c:v>
                </c:pt>
                <c:pt idx="146">
                  <c:v>0.99004819813309553</c:v>
                </c:pt>
                <c:pt idx="147">
                  <c:v>0.99098670134715205</c:v>
                </c:pt>
                <c:pt idx="148">
                  <c:v>0.9918374288468399</c:v>
                </c:pt>
                <c:pt idx="149">
                  <c:v>0.9926084586557179</c:v>
                </c:pt>
                <c:pt idx="150">
                  <c:v>0.99330714907571505</c:v>
                </c:pt>
                <c:pt idx="151">
                  <c:v>0.99394019850841575</c:v>
                </c:pt>
                <c:pt idx="152">
                  <c:v>0.99451370110054949</c:v>
                </c:pt>
                <c:pt idx="153">
                  <c:v>0.99503319834994297</c:v>
                </c:pt>
                <c:pt idx="154">
                  <c:v>0.99550372683905863</c:v>
                </c:pt>
                <c:pt idx="155">
                  <c:v>0.99592986228410374</c:v>
                </c:pt>
                <c:pt idx="156">
                  <c:v>0.99631576010056389</c:v>
                </c:pt>
                <c:pt idx="157">
                  <c:v>0.99666519269258647</c:v>
                </c:pt>
                <c:pt idx="158">
                  <c:v>0.99698158367529144</c:v>
                </c:pt>
                <c:pt idx="159">
                  <c:v>0.99726803923698881</c:v>
                </c:pt>
                <c:pt idx="160">
                  <c:v>0.99752737684336512</c:v>
                </c:pt>
                <c:pt idx="161">
                  <c:v>0.9977621514787236</c:v>
                </c:pt>
                <c:pt idx="162">
                  <c:v>0.9979746796109501</c:v>
                </c:pt>
                <c:pt idx="163">
                  <c:v>0.99816706105750719</c:v>
                </c:pt>
                <c:pt idx="164">
                  <c:v>0.99834119891982553</c:v>
                </c:pt>
                <c:pt idx="165">
                  <c:v>0.99849881774326299</c:v>
                </c:pt>
                <c:pt idx="166">
                  <c:v>0.99864148004957087</c:v>
                </c:pt>
                <c:pt idx="167">
                  <c:v>0.99877060137872264</c:v>
                </c:pt>
                <c:pt idx="168">
                  <c:v>0.99888746396713957</c:v>
                </c:pt>
                <c:pt idx="169">
                  <c:v>0.9989932291799144</c:v>
                </c:pt>
                <c:pt idx="170">
                  <c:v>0.9990889488055994</c:v>
                </c:pt>
                <c:pt idx="171">
                  <c:v>0.99917557531360168</c:v>
                </c:pt>
                <c:pt idx="172">
                  <c:v>0.99925397116616332</c:v>
                </c:pt>
                <c:pt idx="173">
                  <c:v>0.99932491726936723</c:v>
                </c:pt>
                <c:pt idx="174">
                  <c:v>0.99938912064056562</c:v>
                </c:pt>
                <c:pt idx="175">
                  <c:v>0.9994472213630764</c:v>
                </c:pt>
                <c:pt idx="176">
                  <c:v>0.99949979889292051</c:v>
                </c:pt>
                <c:pt idx="177">
                  <c:v>0.9995473777767595</c:v>
                </c:pt>
                <c:pt idx="178">
                  <c:v>0.99959043283501392</c:v>
                </c:pt>
                <c:pt idx="179">
                  <c:v>0.99962939385937355</c:v>
                </c:pt>
                <c:pt idx="180">
                  <c:v>0.99966464986953341</c:v>
                </c:pt>
                <c:pt idx="181">
                  <c:v>0.99969655296997117</c:v>
                </c:pt>
                <c:pt idx="182">
                  <c:v>0.99972542184389857</c:v>
                </c:pt>
                <c:pt idx="183">
                  <c:v>0.99975154491816054</c:v>
                </c:pt>
                <c:pt idx="184">
                  <c:v>0.99977518322976666</c:v>
                </c:pt>
                <c:pt idx="185">
                  <c:v>0.9997965730219448</c:v>
                </c:pt>
                <c:pt idx="186">
                  <c:v>0.99981592809503661</c:v>
                </c:pt>
                <c:pt idx="187">
                  <c:v>0.99983344193522272</c:v>
                </c:pt>
                <c:pt idx="188">
                  <c:v>0.99984928964194031</c:v>
                </c:pt>
                <c:pt idx="189">
                  <c:v>0.99986362967292042</c:v>
                </c:pt>
                <c:pt idx="190">
                  <c:v>0.99987660542401369</c:v>
                </c:pt>
                <c:pt idx="191">
                  <c:v>0.99988834665937043</c:v>
                </c:pt>
                <c:pt idx="192">
                  <c:v>0.99989897080609225</c:v>
                </c:pt>
                <c:pt idx="193">
                  <c:v>0.9999085841261478</c:v>
                </c:pt>
                <c:pt idx="194">
                  <c:v>0.99991728277714842</c:v>
                </c:pt>
                <c:pt idx="195">
                  <c:v>0.99992515377248947</c:v>
                </c:pt>
                <c:pt idx="196">
                  <c:v>0.99993227585038036</c:v>
                </c:pt>
                <c:pt idx="197">
                  <c:v>0.99993872026038333</c:v>
                </c:pt>
                <c:pt idx="198">
                  <c:v>0.99994455147527717</c:v>
                </c:pt>
                <c:pt idx="199">
                  <c:v>0.99994982783531616</c:v>
                </c:pt>
                <c:pt idx="200">
                  <c:v>0.99995460213129761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-1.4</c:v>
                </c:pt>
              </c:numCache>
            </c:numRef>
          </c:xVal>
          <c:yVal>
            <c:numRef>
              <c:f>'Activation Functions'!$C$3</c:f>
              <c:numCache>
                <c:formatCode>0.00</c:formatCode>
                <c:ptCount val="1"/>
                <c:pt idx="0">
                  <c:v>0.19781611144141825</c:v>
                </c:pt>
              </c:numCache>
            </c:numRef>
          </c:yVal>
          <c:smooth val="1"/>
        </c:ser>
        <c:ser>
          <c:idx val="0"/>
          <c:order val="0"/>
          <c:tx>
            <c:strRef>
              <c:f>'Activation Functions'!$AK$5</c:f>
              <c:strCache>
                <c:ptCount val="1"/>
                <c:pt idx="0">
                  <c:v>Sigmoid</c:v>
                </c:pt>
              </c:strCache>
            </c:strRef>
          </c:tx>
          <c:spPr>
            <a:ln w="635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Functions'!$AK$6:$AK$206</c:f>
              <c:numCache>
                <c:formatCode>0E+00</c:formatCode>
                <c:ptCount val="201"/>
                <c:pt idx="0">
                  <c:v>4.5397868702434395E-5</c:v>
                </c:pt>
                <c:pt idx="1">
                  <c:v>5.0172164683764205E-5</c:v>
                </c:pt>
                <c:pt idx="2">
                  <c:v>5.5448524722794907E-5</c:v>
                </c:pt>
                <c:pt idx="3">
                  <c:v>6.1279739616602373E-5</c:v>
                </c:pt>
                <c:pt idx="4">
                  <c:v>6.7724149619770109E-5</c:v>
                </c:pt>
                <c:pt idx="5">
                  <c:v>7.4846227510611094E-5</c:v>
                </c:pt>
                <c:pt idx="6">
                  <c:v>8.2717222851666239E-5</c:v>
                </c:pt>
                <c:pt idx="7">
                  <c:v>9.1415873852161264E-5</c:v>
                </c:pt>
                <c:pt idx="8">
                  <c:v>1.0102919390777254E-4</c:v>
                </c:pt>
                <c:pt idx="9">
                  <c:v>1.1165334062956235E-4</c:v>
                </c:pt>
                <c:pt idx="10">
                  <c:v>1.2339457598623129E-4</c:v>
                </c:pt>
                <c:pt idx="11">
                  <c:v>1.3637032707949654E-4</c:v>
                </c:pt>
                <c:pt idx="12">
                  <c:v>1.5071035805975686E-4</c:v>
                </c:pt>
                <c:pt idx="13">
                  <c:v>1.6655806477733519E-4</c:v>
                </c:pt>
                <c:pt idx="14">
                  <c:v>1.8407190496342303E-4</c:v>
                </c:pt>
                <c:pt idx="15">
                  <c:v>2.0342697805520542E-4</c:v>
                </c:pt>
                <c:pt idx="16">
                  <c:v>2.2481677023329411E-4</c:v>
                </c:pt>
                <c:pt idx="17">
                  <c:v>2.4845508183933296E-4</c:v>
                </c:pt>
                <c:pt idx="18">
                  <c:v>2.7457815610133096E-4</c:v>
                </c:pt>
                <c:pt idx="19">
                  <c:v>3.0344703002891705E-4</c:v>
                </c:pt>
                <c:pt idx="20">
                  <c:v>3.3535013046647572E-4</c:v>
                </c:pt>
                <c:pt idx="21">
                  <c:v>3.7060614062639388E-4</c:v>
                </c:pt>
                <c:pt idx="22">
                  <c:v>4.0956716498604718E-4</c:v>
                </c:pt>
                <c:pt idx="23">
                  <c:v>4.5262222324053138E-4</c:v>
                </c:pt>
                <c:pt idx="24">
                  <c:v>5.0020110707955988E-4</c:v>
                </c:pt>
                <c:pt idx="25">
                  <c:v>5.5277863692359457E-4</c:v>
                </c:pt>
                <c:pt idx="26">
                  <c:v>6.1087935943439559E-4</c:v>
                </c:pt>
                <c:pt idx="27">
                  <c:v>6.7508273063283161E-4</c:v>
                </c:pt>
                <c:pt idx="28">
                  <c:v>7.4602883383668962E-4</c:v>
                </c:pt>
                <c:pt idx="29">
                  <c:v>8.2442468639828655E-4</c:v>
                </c:pt>
                <c:pt idx="30">
                  <c:v>9.1105119440063563E-4</c:v>
                </c:pt>
                <c:pt idx="31">
                  <c:v>1.0067708200856261E-3</c:v>
                </c:pt>
                <c:pt idx="32">
                  <c:v>1.1125360328603088E-3</c:v>
                </c:pt>
                <c:pt idx="33">
                  <c:v>1.2293986212774061E-3</c:v>
                </c:pt>
                <c:pt idx="34">
                  <c:v>1.3585199504289425E-3</c:v>
                </c:pt>
                <c:pt idx="35">
                  <c:v>1.5011822567369728E-3</c:v>
                </c:pt>
                <c:pt idx="36">
                  <c:v>1.6588010801744009E-3</c:v>
                </c:pt>
                <c:pt idx="37">
                  <c:v>1.8329389424927812E-3</c:v>
                </c:pt>
                <c:pt idx="38">
                  <c:v>2.025320389049855E-3</c:v>
                </c:pt>
                <c:pt idx="39">
                  <c:v>2.2378485212763018E-3</c:v>
                </c:pt>
                <c:pt idx="40">
                  <c:v>2.4726231566347392E-3</c:v>
                </c:pt>
                <c:pt idx="41">
                  <c:v>2.7319607630110201E-3</c:v>
                </c:pt>
                <c:pt idx="42">
                  <c:v>3.018416324708379E-3</c:v>
                </c:pt>
                <c:pt idx="43">
                  <c:v>3.3348073074132944E-3</c:v>
                </c:pt>
                <c:pt idx="44">
                  <c:v>3.6842398994359304E-3</c:v>
                </c:pt>
                <c:pt idx="45">
                  <c:v>4.0701377158960626E-3</c:v>
                </c:pt>
                <c:pt idx="46">
                  <c:v>4.4962731609411071E-3</c:v>
                </c:pt>
                <c:pt idx="47">
                  <c:v>4.966801650056878E-3</c:v>
                </c:pt>
                <c:pt idx="48">
                  <c:v>5.4862988994503125E-3</c:v>
                </c:pt>
                <c:pt idx="49">
                  <c:v>6.0598014915840097E-3</c:v>
                </c:pt>
                <c:pt idx="50">
                  <c:v>6.6928509242847375E-3</c:v>
                </c:pt>
                <c:pt idx="51">
                  <c:v>7.3915413442818406E-3</c:v>
                </c:pt>
                <c:pt idx="52">
                  <c:v>8.1625711531597457E-3</c:v>
                </c:pt>
                <c:pt idx="53">
                  <c:v>9.0132986528476556E-3</c:v>
                </c:pt>
                <c:pt idx="54">
                  <c:v>9.9518018669041315E-3</c:v>
                </c:pt>
                <c:pt idx="55">
                  <c:v>1.0986942630592968E-2</c:v>
                </c:pt>
                <c:pt idx="56">
                  <c:v>1.2128434984274003E-2</c:v>
                </c:pt>
                <c:pt idx="57">
                  <c:v>1.338691782766451E-2</c:v>
                </c:pt>
                <c:pt idx="58">
                  <c:v>1.4774031693272757E-2</c:v>
                </c:pt>
                <c:pt idx="59">
                  <c:v>1.6302499371440602E-2</c:v>
                </c:pt>
                <c:pt idx="60">
                  <c:v>1.7986209962091181E-2</c:v>
                </c:pt>
                <c:pt idx="61">
                  <c:v>1.9840305734077093E-2</c:v>
                </c:pt>
                <c:pt idx="62">
                  <c:v>2.1881270936130022E-2</c:v>
                </c:pt>
                <c:pt idx="63">
                  <c:v>2.4127021417668704E-2</c:v>
                </c:pt>
                <c:pt idx="64">
                  <c:v>2.6596993576865312E-2</c:v>
                </c:pt>
                <c:pt idx="65">
                  <c:v>2.9312230751355722E-2</c:v>
                </c:pt>
                <c:pt idx="66">
                  <c:v>3.2295464698449863E-2</c:v>
                </c:pt>
                <c:pt idx="67">
                  <c:v>3.5571189272635466E-2</c:v>
                </c:pt>
                <c:pt idx="68">
                  <c:v>3.9165722796763586E-2</c:v>
                </c:pt>
                <c:pt idx="69">
                  <c:v>4.3107254941085277E-2</c:v>
                </c:pt>
                <c:pt idx="70">
                  <c:v>4.7425873177565858E-2</c:v>
                </c:pt>
                <c:pt idx="71">
                  <c:v>5.2153563078416731E-2</c:v>
                </c:pt>
                <c:pt idx="72">
                  <c:v>5.7324175898867652E-2</c:v>
                </c:pt>
                <c:pt idx="73">
                  <c:v>6.2973356056995305E-2</c:v>
                </c:pt>
                <c:pt idx="74">
                  <c:v>6.9138420343345525E-2</c:v>
                </c:pt>
                <c:pt idx="75">
                  <c:v>7.5858180021242158E-2</c:v>
                </c:pt>
                <c:pt idx="76">
                  <c:v>8.3172696493920853E-2</c:v>
                </c:pt>
                <c:pt idx="77">
                  <c:v>9.1122961014854495E-2</c:v>
                </c:pt>
                <c:pt idx="78">
                  <c:v>9.9750489119683372E-2</c:v>
                </c:pt>
                <c:pt idx="79">
                  <c:v>0.10909682119561104</c:v>
                </c:pt>
                <c:pt idx="80">
                  <c:v>0.11920292202211551</c:v>
                </c:pt>
                <c:pt idx="81">
                  <c:v>0.13010847436299566</c:v>
                </c:pt>
                <c:pt idx="82">
                  <c:v>0.14185106490048544</c:v>
                </c:pt>
                <c:pt idx="83">
                  <c:v>0.15446526508353217</c:v>
                </c:pt>
                <c:pt idx="84">
                  <c:v>0.16798161486607283</c:v>
                </c:pt>
                <c:pt idx="85">
                  <c:v>0.18242552380635349</c:v>
                </c:pt>
                <c:pt idx="86">
                  <c:v>0.19781611144141523</c:v>
                </c:pt>
                <c:pt idx="87">
                  <c:v>0.2141650169574382</c:v>
                </c:pt>
                <c:pt idx="88">
                  <c:v>0.23147521650097905</c:v>
                </c:pt>
                <c:pt idx="89">
                  <c:v>0.24973989440487893</c:v>
                </c:pt>
                <c:pt idx="90">
                  <c:v>0.2689414213699915</c:v>
                </c:pt>
                <c:pt idx="91">
                  <c:v>0.28905049737499222</c:v>
                </c:pt>
                <c:pt idx="92">
                  <c:v>0.31002551887238355</c:v>
                </c:pt>
                <c:pt idx="93">
                  <c:v>0.33181222783182973</c:v>
                </c:pt>
                <c:pt idx="94">
                  <c:v>0.35434369377420027</c:v>
                </c:pt>
                <c:pt idx="95">
                  <c:v>0.37754066879814102</c:v>
                </c:pt>
                <c:pt idx="96">
                  <c:v>0.4013123398875435</c:v>
                </c:pt>
                <c:pt idx="97">
                  <c:v>0.42555748318833642</c:v>
                </c:pt>
                <c:pt idx="98">
                  <c:v>0.45016600268751744</c:v>
                </c:pt>
                <c:pt idx="99">
                  <c:v>0.47502081252105538</c:v>
                </c:pt>
                <c:pt idx="100">
                  <c:v>0.49999999999999534</c:v>
                </c:pt>
                <c:pt idx="101">
                  <c:v>0.52497918747893524</c:v>
                </c:pt>
                <c:pt idx="102">
                  <c:v>0.54983399731247329</c:v>
                </c:pt>
                <c:pt idx="103">
                  <c:v>0.57444251681165437</c:v>
                </c:pt>
                <c:pt idx="104">
                  <c:v>0.59868766011244745</c:v>
                </c:pt>
                <c:pt idx="105">
                  <c:v>0.62245933120185015</c:v>
                </c:pt>
                <c:pt idx="106">
                  <c:v>0.64565630622579118</c:v>
                </c:pt>
                <c:pt idx="107">
                  <c:v>0.66818777216816194</c:v>
                </c:pt>
                <c:pt idx="108">
                  <c:v>0.6899744811276084</c:v>
                </c:pt>
                <c:pt idx="109">
                  <c:v>0.71094950262500012</c:v>
                </c:pt>
                <c:pt idx="110">
                  <c:v>0.73105857863000123</c:v>
                </c:pt>
                <c:pt idx="111">
                  <c:v>0.75026010559511414</c:v>
                </c:pt>
                <c:pt idx="112">
                  <c:v>0.76852478349901432</c:v>
                </c:pt>
                <c:pt idx="113">
                  <c:v>0.7858349830425555</c:v>
                </c:pt>
                <c:pt idx="114">
                  <c:v>0.80218388855857881</c:v>
                </c:pt>
                <c:pt idx="115">
                  <c:v>0.81757447619364099</c:v>
                </c:pt>
                <c:pt idx="116">
                  <c:v>0.83201838513392201</c:v>
                </c:pt>
                <c:pt idx="117">
                  <c:v>0.84553473491646292</c:v>
                </c:pt>
                <c:pt idx="118">
                  <c:v>0.85814893509950996</c:v>
                </c:pt>
                <c:pt idx="119">
                  <c:v>0.86989152563700012</c:v>
                </c:pt>
                <c:pt idx="120">
                  <c:v>0.88079707797788065</c:v>
                </c:pt>
                <c:pt idx="121">
                  <c:v>0.8909031788043853</c:v>
                </c:pt>
                <c:pt idx="122">
                  <c:v>0.90024951088031324</c:v>
                </c:pt>
                <c:pt idx="123">
                  <c:v>0.90887703898514238</c:v>
                </c:pt>
                <c:pt idx="124">
                  <c:v>0.91682730350607622</c:v>
                </c:pt>
                <c:pt idx="125">
                  <c:v>0.92414181997875522</c:v>
                </c:pt>
                <c:pt idx="126">
                  <c:v>0.93086157965665206</c:v>
                </c:pt>
                <c:pt idx="127">
                  <c:v>0.93702664394300239</c:v>
                </c:pt>
                <c:pt idx="128">
                  <c:v>0.94267582410113027</c:v>
                </c:pt>
                <c:pt idx="129">
                  <c:v>0.94784643692158133</c:v>
                </c:pt>
                <c:pt idx="130">
                  <c:v>0.95257412682243248</c:v>
                </c:pt>
                <c:pt idx="131">
                  <c:v>0.95689274505891331</c:v>
                </c:pt>
                <c:pt idx="132">
                  <c:v>0.96083427720323511</c:v>
                </c:pt>
                <c:pt idx="133">
                  <c:v>0.96442881072736319</c:v>
                </c:pt>
                <c:pt idx="134">
                  <c:v>0.96770453530154898</c:v>
                </c:pt>
                <c:pt idx="135">
                  <c:v>0.9706877692486432</c:v>
                </c:pt>
                <c:pt idx="136">
                  <c:v>0.9734030064231336</c:v>
                </c:pt>
                <c:pt idx="137">
                  <c:v>0.97587297858233035</c:v>
                </c:pt>
                <c:pt idx="138">
                  <c:v>0.97811872906386921</c:v>
                </c:pt>
                <c:pt idx="139">
                  <c:v>0.98015969426592209</c:v>
                </c:pt>
                <c:pt idx="140">
                  <c:v>0.98201379003790823</c:v>
                </c:pt>
                <c:pt idx="141">
                  <c:v>0.98369750062855887</c:v>
                </c:pt>
                <c:pt idx="142">
                  <c:v>0.98522596830672671</c:v>
                </c:pt>
                <c:pt idx="143">
                  <c:v>0.9866130821723349</c:v>
                </c:pt>
                <c:pt idx="144">
                  <c:v>0.98787156501572548</c:v>
                </c:pt>
                <c:pt idx="145">
                  <c:v>0.98901305736940659</c:v>
                </c:pt>
                <c:pt idx="146">
                  <c:v>0.99004819813309553</c:v>
                </c:pt>
                <c:pt idx="147">
                  <c:v>0.99098670134715205</c:v>
                </c:pt>
                <c:pt idx="148">
                  <c:v>0.9918374288468399</c:v>
                </c:pt>
                <c:pt idx="149">
                  <c:v>0.9926084586557179</c:v>
                </c:pt>
                <c:pt idx="150">
                  <c:v>0.99330714907571505</c:v>
                </c:pt>
                <c:pt idx="151">
                  <c:v>0.99394019850841575</c:v>
                </c:pt>
                <c:pt idx="152">
                  <c:v>0.99451370110054949</c:v>
                </c:pt>
                <c:pt idx="153">
                  <c:v>0.99503319834994297</c:v>
                </c:pt>
                <c:pt idx="154">
                  <c:v>0.99550372683905863</c:v>
                </c:pt>
                <c:pt idx="155">
                  <c:v>0.99592986228410374</c:v>
                </c:pt>
                <c:pt idx="156">
                  <c:v>0.99631576010056389</c:v>
                </c:pt>
                <c:pt idx="157">
                  <c:v>0.99666519269258647</c:v>
                </c:pt>
                <c:pt idx="158">
                  <c:v>0.99698158367529144</c:v>
                </c:pt>
                <c:pt idx="159">
                  <c:v>0.99726803923698881</c:v>
                </c:pt>
                <c:pt idx="160">
                  <c:v>0.99752737684336512</c:v>
                </c:pt>
                <c:pt idx="161">
                  <c:v>0.9977621514787236</c:v>
                </c:pt>
                <c:pt idx="162">
                  <c:v>0.9979746796109501</c:v>
                </c:pt>
                <c:pt idx="163">
                  <c:v>0.99816706105750719</c:v>
                </c:pt>
                <c:pt idx="164">
                  <c:v>0.99834119891982553</c:v>
                </c:pt>
                <c:pt idx="165">
                  <c:v>0.99849881774326299</c:v>
                </c:pt>
                <c:pt idx="166">
                  <c:v>0.99864148004957087</c:v>
                </c:pt>
                <c:pt idx="167">
                  <c:v>0.99877060137872264</c:v>
                </c:pt>
                <c:pt idx="168">
                  <c:v>0.99888746396713957</c:v>
                </c:pt>
                <c:pt idx="169">
                  <c:v>0.9989932291799144</c:v>
                </c:pt>
                <c:pt idx="170">
                  <c:v>0.9990889488055994</c:v>
                </c:pt>
                <c:pt idx="171">
                  <c:v>0.99917557531360168</c:v>
                </c:pt>
                <c:pt idx="172">
                  <c:v>0.99925397116616332</c:v>
                </c:pt>
                <c:pt idx="173">
                  <c:v>0.99932491726936723</c:v>
                </c:pt>
                <c:pt idx="174">
                  <c:v>0.99938912064056562</c:v>
                </c:pt>
                <c:pt idx="175">
                  <c:v>0.9994472213630764</c:v>
                </c:pt>
                <c:pt idx="176">
                  <c:v>0.99949979889292051</c:v>
                </c:pt>
                <c:pt idx="177">
                  <c:v>0.9995473777767595</c:v>
                </c:pt>
                <c:pt idx="178">
                  <c:v>0.99959043283501392</c:v>
                </c:pt>
                <c:pt idx="179">
                  <c:v>0.99962939385937355</c:v>
                </c:pt>
                <c:pt idx="180">
                  <c:v>0.99966464986953341</c:v>
                </c:pt>
                <c:pt idx="181">
                  <c:v>0.99969655296997117</c:v>
                </c:pt>
                <c:pt idx="182">
                  <c:v>0.99972542184389857</c:v>
                </c:pt>
                <c:pt idx="183">
                  <c:v>0.99975154491816054</c:v>
                </c:pt>
                <c:pt idx="184">
                  <c:v>0.99977518322976666</c:v>
                </c:pt>
                <c:pt idx="185">
                  <c:v>0.9997965730219448</c:v>
                </c:pt>
                <c:pt idx="186">
                  <c:v>0.99981592809503661</c:v>
                </c:pt>
                <c:pt idx="187">
                  <c:v>0.99983344193522272</c:v>
                </c:pt>
                <c:pt idx="188">
                  <c:v>0.99984928964194031</c:v>
                </c:pt>
                <c:pt idx="189">
                  <c:v>0.99986362967292042</c:v>
                </c:pt>
                <c:pt idx="190">
                  <c:v>0.99987660542401369</c:v>
                </c:pt>
                <c:pt idx="191">
                  <c:v>0.99988834665937043</c:v>
                </c:pt>
                <c:pt idx="192">
                  <c:v>0.99989897080609225</c:v>
                </c:pt>
                <c:pt idx="193">
                  <c:v>0.9999085841261478</c:v>
                </c:pt>
                <c:pt idx="194">
                  <c:v>0.99991728277714842</c:v>
                </c:pt>
                <c:pt idx="195">
                  <c:v>0.99992515377248947</c:v>
                </c:pt>
                <c:pt idx="196">
                  <c:v>0.99993227585038036</c:v>
                </c:pt>
                <c:pt idx="197">
                  <c:v>0.99993872026038333</c:v>
                </c:pt>
                <c:pt idx="198">
                  <c:v>0.99994455147527717</c:v>
                </c:pt>
                <c:pt idx="199">
                  <c:v>0.99994982783531616</c:v>
                </c:pt>
                <c:pt idx="200">
                  <c:v>0.99995460213129761</c:v>
                </c:pt>
              </c:numCache>
            </c:numRef>
          </c:yVal>
          <c:smooth val="1"/>
        </c:ser>
        <c:ser>
          <c:idx val="1"/>
          <c:order val="1"/>
          <c:marker>
            <c:symbol val="circle"/>
            <c:size val="13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-1.4</c:v>
                </c:pt>
              </c:numCache>
            </c:numRef>
          </c:xVal>
          <c:yVal>
            <c:numRef>
              <c:f>'Activation Functions'!$C$3</c:f>
              <c:numCache>
                <c:formatCode>0.00</c:formatCode>
                <c:ptCount val="1"/>
                <c:pt idx="0">
                  <c:v>0.19781611144141825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7472"/>
        <c:axId val="44147456"/>
      </c:scatterChart>
      <c:valAx>
        <c:axId val="44137472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out"/>
        <c:minorTickMark val="none"/>
        <c:tickLblPos val="nextTo"/>
        <c:crossAx val="44147456"/>
        <c:crosses val="autoZero"/>
        <c:crossBetween val="midCat"/>
      </c:valAx>
      <c:valAx>
        <c:axId val="44147456"/>
        <c:scaling>
          <c:orientation val="minMax"/>
          <c:max val="1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44137472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tanh: Y</a:t>
            </a:r>
            <a:r>
              <a:rPr lang="en-GB" baseline="0"/>
              <a:t> = 1/(1+e</a:t>
            </a:r>
            <a:r>
              <a:rPr lang="en-GB" baseline="30000"/>
              <a:t>-2.x</a:t>
            </a:r>
            <a:r>
              <a:rPr lang="en-GB" baseline="0"/>
              <a:t>) -1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'Activation Functions'!$AL$5</c:f>
              <c:strCache>
                <c:ptCount val="1"/>
                <c:pt idx="0">
                  <c:v>tanh(x)</c:v>
                </c:pt>
              </c:strCache>
            </c:strRef>
          </c:tx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Functions'!$AL$6:$AL$206</c:f>
              <c:numCache>
                <c:formatCode>0E+00</c:formatCode>
                <c:ptCount val="201"/>
                <c:pt idx="0">
                  <c:v>-0.99999999587769262</c:v>
                </c:pt>
                <c:pt idx="1">
                  <c:v>-0.99999999496500247</c:v>
                </c:pt>
                <c:pt idx="2">
                  <c:v>-0.99999999385024008</c:v>
                </c:pt>
                <c:pt idx="3">
                  <c:v>-0.99999999248866644</c:v>
                </c:pt>
                <c:pt idx="4">
                  <c:v>-0.99999999082563651</c:v>
                </c:pt>
                <c:pt idx="5">
                  <c:v>-0.9999999887944071</c:v>
                </c:pt>
                <c:pt idx="6">
                  <c:v>-0.9999999863134581</c:v>
                </c:pt>
                <c:pt idx="7">
                  <c:v>-0.99999998328321982</c:v>
                </c:pt>
                <c:pt idx="8">
                  <c:v>-0.99999997958207865</c:v>
                </c:pt>
                <c:pt idx="9">
                  <c:v>-0.99999997506149496</c:v>
                </c:pt>
                <c:pt idx="10">
                  <c:v>-0.99999996954004089</c:v>
                </c:pt>
                <c:pt idx="11">
                  <c:v>-0.99999996279612202</c:v>
                </c:pt>
                <c:pt idx="12">
                  <c:v>-0.99999995455908108</c:v>
                </c:pt>
                <c:pt idx="13">
                  <c:v>-0.99999994449833673</c:v>
                </c:pt>
                <c:pt idx="14">
                  <c:v>-0.99999993221011574</c:v>
                </c:pt>
                <c:pt idx="15">
                  <c:v>-0.99999991720124892</c:v>
                </c:pt>
                <c:pt idx="16">
                  <c:v>-0.99999989886937801</c:v>
                </c:pt>
                <c:pt idx="17">
                  <c:v>-0.99999987647878097</c:v>
                </c:pt>
                <c:pt idx="18">
                  <c:v>-0.99999984913084428</c:v>
                </c:pt>
                <c:pt idx="19">
                  <c:v>-0.99999981572800023</c:v>
                </c:pt>
                <c:pt idx="20">
                  <c:v>-0.99999977492967596</c:v>
                </c:pt>
                <c:pt idx="21">
                  <c:v>-0.99999972509849233</c:v>
                </c:pt>
                <c:pt idx="22">
                  <c:v>-0.99999966423455056</c:v>
                </c:pt>
                <c:pt idx="23">
                  <c:v>-0.99999958989516891</c:v>
                </c:pt>
                <c:pt idx="24">
                  <c:v>-0.99999949909685093</c:v>
                </c:pt>
                <c:pt idx="25">
                  <c:v>-0.99999938819554623</c:v>
                </c:pt>
                <c:pt idx="26">
                  <c:v>-0.99999925274040335</c:v>
                </c:pt>
                <c:pt idx="27">
                  <c:v>-0.99999908729514309</c:v>
                </c:pt>
                <c:pt idx="28">
                  <c:v>-0.99999888521988278</c:v>
                </c:pt>
                <c:pt idx="29">
                  <c:v>-0.99999863840465819</c:v>
                </c:pt>
                <c:pt idx="30">
                  <c:v>-0.99999833694394469</c:v>
                </c:pt>
                <c:pt idx="31">
                  <c:v>-0.99999796873912106</c:v>
                </c:pt>
                <c:pt idx="32">
                  <c:v>-0.99999751901291778</c:v>
                </c:pt>
                <c:pt idx="33">
                  <c:v>-0.99999696971636709</c:v>
                </c:pt>
                <c:pt idx="34">
                  <c:v>-0.99999629880445418</c:v>
                </c:pt>
                <c:pt idx="35">
                  <c:v>-0.99999547935140409</c:v>
                </c:pt>
                <c:pt idx="36">
                  <c:v>-0.99999447847009948</c:v>
                </c:pt>
                <c:pt idx="37">
                  <c:v>-0.99999325599227251</c:v>
                </c:pt>
                <c:pt idx="38">
                  <c:v>-0.99999176285651037</c:v>
                </c:pt>
                <c:pt idx="39">
                  <c:v>-0.99998993913939649</c:v>
                </c:pt>
                <c:pt idx="40">
                  <c:v>-0.99998771165079559</c:v>
                </c:pt>
                <c:pt idx="41">
                  <c:v>-0.99998499099680582</c:v>
                </c:pt>
                <c:pt idx="42">
                  <c:v>-0.99998166799256039</c:v>
                </c:pt>
                <c:pt idx="43">
                  <c:v>-0.99997760928098978</c:v>
                </c:pt>
                <c:pt idx="44">
                  <c:v>-0.99997265198183094</c:v>
                </c:pt>
                <c:pt idx="45">
                  <c:v>-0.99996659715630376</c:v>
                </c:pt>
                <c:pt idx="46">
                  <c:v>-0.99995920182544018</c:v>
                </c:pt>
                <c:pt idx="47">
                  <c:v>-0.99995016922212121</c:v>
                </c:pt>
                <c:pt idx="48">
                  <c:v>-0.99993913688619884</c:v>
                </c:pt>
                <c:pt idx="49">
                  <c:v>-0.99992566212579437</c:v>
                </c:pt>
                <c:pt idx="50">
                  <c:v>-0.999909204262595</c:v>
                </c:pt>
                <c:pt idx="51">
                  <c:v>-0.99988910295055433</c:v>
                </c:pt>
                <c:pt idx="52">
                  <c:v>-0.9998645517007605</c:v>
                </c:pt>
                <c:pt idx="53">
                  <c:v>-0.99983456555429673</c:v>
                </c:pt>
                <c:pt idx="54">
                  <c:v>-0.99979794161218449</c:v>
                </c:pt>
                <c:pt idx="55">
                  <c:v>-0.9997532108480276</c:v>
                </c:pt>
                <c:pt idx="56">
                  <c:v>-0.99969857928388062</c:v>
                </c:pt>
                <c:pt idx="57">
                  <c:v>-0.99963185619007322</c:v>
                </c:pt>
                <c:pt idx="58">
                  <c:v>-0.99955036645953332</c:v>
                </c:pt>
                <c:pt idx="59">
                  <c:v>-0.99945084368779735</c:v>
                </c:pt>
                <c:pt idx="60">
                  <c:v>-0.99932929973906692</c:v>
                </c:pt>
                <c:pt idx="61">
                  <c:v>-0.99918086567002806</c:v>
                </c:pt>
                <c:pt idx="62">
                  <c:v>-0.9989995977858408</c:v>
                </c:pt>
                <c:pt idx="63">
                  <c:v>-0.99877824128113124</c:v>
                </c:pt>
                <c:pt idx="64">
                  <c:v>-0.99850794233232665</c:v>
                </c:pt>
                <c:pt idx="65">
                  <c:v>-0.99817789761119868</c:v>
                </c:pt>
                <c:pt idx="66">
                  <c:v>-0.99777492793427947</c:v>
                </c:pt>
                <c:pt idx="67">
                  <c:v>-0.99728296009914219</c:v>
                </c:pt>
                <c:pt idx="68">
                  <c:v>-0.9966823978396514</c:v>
                </c:pt>
                <c:pt idx="69">
                  <c:v>-0.99594935922190042</c:v>
                </c:pt>
                <c:pt idx="70">
                  <c:v>-0.99505475368673069</c:v>
                </c:pt>
                <c:pt idx="71">
                  <c:v>-0.99396316735058343</c:v>
                </c:pt>
                <c:pt idx="72">
                  <c:v>-0.99263152020112855</c:v>
                </c:pt>
                <c:pt idx="73">
                  <c:v>-0.99100745367811793</c:v>
                </c:pt>
                <c:pt idx="74">
                  <c:v>-0.98902740220109953</c:v>
                </c:pt>
                <c:pt idx="75">
                  <c:v>-0.98661429815143098</c:v>
                </c:pt>
                <c:pt idx="76">
                  <c:v>-0.98367485769368068</c:v>
                </c:pt>
                <c:pt idx="77">
                  <c:v>-0.98009639626619205</c:v>
                </c:pt>
                <c:pt idx="78">
                  <c:v>-0.97574313003145241</c:v>
                </c:pt>
                <c:pt idx="79">
                  <c:v>-0.97045193661345508</c:v>
                </c:pt>
                <c:pt idx="80">
                  <c:v>-0.96402758007581835</c:v>
                </c:pt>
                <c:pt idx="81">
                  <c:v>-0.95623745812774086</c:v>
                </c:pt>
                <c:pt idx="82">
                  <c:v>-0.94680601284627031</c:v>
                </c:pt>
                <c:pt idx="83">
                  <c:v>-0.93540907060310141</c:v>
                </c:pt>
                <c:pt idx="84">
                  <c:v>-0.92166855440647433</c:v>
                </c:pt>
                <c:pt idx="85">
                  <c:v>-0.90514825364486995</c:v>
                </c:pt>
                <c:pt idx="86">
                  <c:v>-0.88535164820226664</c:v>
                </c:pt>
                <c:pt idx="87">
                  <c:v>-0.86172315931331134</c:v>
                </c:pt>
                <c:pt idx="88">
                  <c:v>-0.83365460701216099</c:v>
                </c:pt>
                <c:pt idx="89">
                  <c:v>-0.80049902176063648</c:v>
                </c:pt>
                <c:pt idx="90">
                  <c:v>-0.76159415595577284</c:v>
                </c:pt>
                <c:pt idx="91">
                  <c:v>-0.71629787019903346</c:v>
                </c:pt>
                <c:pt idx="92">
                  <c:v>-0.66403677026785946</c:v>
                </c:pt>
                <c:pt idx="93">
                  <c:v>-0.60436777711717526</c:v>
                </c:pt>
                <c:pt idx="94">
                  <c:v>-0.53704956699804862</c:v>
                </c:pt>
                <c:pt idx="95">
                  <c:v>-0.4621171572600245</c:v>
                </c:pt>
                <c:pt idx="96">
                  <c:v>-0.37994896225524094</c:v>
                </c:pt>
                <c:pt idx="97">
                  <c:v>-0.29131261245160806</c:v>
                </c:pt>
                <c:pt idx="98">
                  <c:v>-0.19737532022492207</c:v>
                </c:pt>
                <c:pt idx="99">
                  <c:v>-9.9667994624974429E-2</c:v>
                </c:pt>
                <c:pt idx="100">
                  <c:v>-1.8790524691780774E-14</c:v>
                </c:pt>
                <c:pt idx="101">
                  <c:v>9.9667994624937223E-2</c:v>
                </c:pt>
                <c:pt idx="102">
                  <c:v>0.19737532022488594</c:v>
                </c:pt>
                <c:pt idx="103">
                  <c:v>0.2913126124515738</c:v>
                </c:pt>
                <c:pt idx="104">
                  <c:v>0.3799489622552088</c:v>
                </c:pt>
                <c:pt idx="105">
                  <c:v>0.46211715725999503</c:v>
                </c:pt>
                <c:pt idx="106">
                  <c:v>0.53704956699802187</c:v>
                </c:pt>
                <c:pt idx="107">
                  <c:v>0.60436777711715162</c:v>
                </c:pt>
                <c:pt idx="108">
                  <c:v>0.66403677026783847</c:v>
                </c:pt>
                <c:pt idx="109">
                  <c:v>0.71629787019901525</c:v>
                </c:pt>
                <c:pt idx="110">
                  <c:v>0.76159415595575708</c:v>
                </c:pt>
                <c:pt idx="111">
                  <c:v>0.80049902176062304</c:v>
                </c:pt>
                <c:pt idx="112">
                  <c:v>0.83365460701214944</c:v>
                </c:pt>
                <c:pt idx="113">
                  <c:v>0.86172315931330146</c:v>
                </c:pt>
                <c:pt idx="114">
                  <c:v>0.88535164820225842</c:v>
                </c:pt>
                <c:pt idx="115">
                  <c:v>0.90514825364486295</c:v>
                </c:pt>
                <c:pt idx="116">
                  <c:v>0.92166855440646844</c:v>
                </c:pt>
                <c:pt idx="117">
                  <c:v>0.93540907060309664</c:v>
                </c:pt>
                <c:pt idx="118">
                  <c:v>0.94680601284626642</c:v>
                </c:pt>
                <c:pt idx="119">
                  <c:v>0.95623745812773742</c:v>
                </c:pt>
                <c:pt idx="120">
                  <c:v>0.96402758007581568</c:v>
                </c:pt>
                <c:pt idx="121">
                  <c:v>0.97045193661345264</c:v>
                </c:pt>
                <c:pt idx="122">
                  <c:v>0.97574313003145074</c:v>
                </c:pt>
                <c:pt idx="123">
                  <c:v>0.98009639626619061</c:v>
                </c:pt>
                <c:pt idx="124">
                  <c:v>0.98367485769367979</c:v>
                </c:pt>
                <c:pt idx="125">
                  <c:v>0.98661429815142987</c:v>
                </c:pt>
                <c:pt idx="126">
                  <c:v>0.98902740220109886</c:v>
                </c:pt>
                <c:pt idx="127">
                  <c:v>0.99100745367811738</c:v>
                </c:pt>
                <c:pt idx="128">
                  <c:v>0.99263152020112777</c:v>
                </c:pt>
                <c:pt idx="129">
                  <c:v>0.99396316735058288</c:v>
                </c:pt>
                <c:pt idx="130">
                  <c:v>0.99505475368673013</c:v>
                </c:pt>
                <c:pt idx="131">
                  <c:v>0.99594935922189998</c:v>
                </c:pt>
                <c:pt idx="132">
                  <c:v>0.99668239783965096</c:v>
                </c:pt>
                <c:pt idx="133">
                  <c:v>0.99728296009914208</c:v>
                </c:pt>
                <c:pt idx="134">
                  <c:v>0.99777492793427935</c:v>
                </c:pt>
                <c:pt idx="135">
                  <c:v>0.99817789761119868</c:v>
                </c:pt>
                <c:pt idx="136">
                  <c:v>0.99850794233232665</c:v>
                </c:pt>
                <c:pt idx="137">
                  <c:v>0.99877824128113124</c:v>
                </c:pt>
                <c:pt idx="138">
                  <c:v>0.9989995977858408</c:v>
                </c:pt>
                <c:pt idx="139">
                  <c:v>0.99918086567002773</c:v>
                </c:pt>
                <c:pt idx="140">
                  <c:v>0.99932929973906692</c:v>
                </c:pt>
                <c:pt idx="141">
                  <c:v>0.99945084368779735</c:v>
                </c:pt>
                <c:pt idx="142">
                  <c:v>0.99955036645953332</c:v>
                </c:pt>
                <c:pt idx="143">
                  <c:v>0.99963185619007322</c:v>
                </c:pt>
                <c:pt idx="144">
                  <c:v>0.99969857928388062</c:v>
                </c:pt>
                <c:pt idx="145">
                  <c:v>0.9997532108480276</c:v>
                </c:pt>
                <c:pt idx="146">
                  <c:v>0.99979794161218449</c:v>
                </c:pt>
                <c:pt idx="147">
                  <c:v>0.99983456555429673</c:v>
                </c:pt>
                <c:pt idx="148">
                  <c:v>0.9998645517007605</c:v>
                </c:pt>
                <c:pt idx="149">
                  <c:v>0.99988910295055433</c:v>
                </c:pt>
                <c:pt idx="150">
                  <c:v>0.999909204262595</c:v>
                </c:pt>
                <c:pt idx="151">
                  <c:v>0.99992566212579437</c:v>
                </c:pt>
                <c:pt idx="152">
                  <c:v>0.99993913688619884</c:v>
                </c:pt>
                <c:pt idx="153">
                  <c:v>0.99995016922212121</c:v>
                </c:pt>
                <c:pt idx="154">
                  <c:v>0.99995920182544018</c:v>
                </c:pt>
                <c:pt idx="155">
                  <c:v>0.99996659715630376</c:v>
                </c:pt>
                <c:pt idx="156">
                  <c:v>0.99997265198183094</c:v>
                </c:pt>
                <c:pt idx="157">
                  <c:v>0.99997760928098978</c:v>
                </c:pt>
                <c:pt idx="158">
                  <c:v>0.99998166799256039</c:v>
                </c:pt>
                <c:pt idx="159">
                  <c:v>0.99998499099680582</c:v>
                </c:pt>
                <c:pt idx="160">
                  <c:v>0.99998771165079559</c:v>
                </c:pt>
                <c:pt idx="161">
                  <c:v>0.99998993913939649</c:v>
                </c:pt>
                <c:pt idx="162">
                  <c:v>0.99999176285651037</c:v>
                </c:pt>
                <c:pt idx="163">
                  <c:v>0.99999325599227251</c:v>
                </c:pt>
                <c:pt idx="164">
                  <c:v>0.99999447847009948</c:v>
                </c:pt>
                <c:pt idx="165">
                  <c:v>0.99999547935140409</c:v>
                </c:pt>
                <c:pt idx="166">
                  <c:v>0.99999629880445418</c:v>
                </c:pt>
                <c:pt idx="167">
                  <c:v>0.99999696971636709</c:v>
                </c:pt>
                <c:pt idx="168">
                  <c:v>0.99999751901291778</c:v>
                </c:pt>
                <c:pt idx="169">
                  <c:v>0.99999796873912106</c:v>
                </c:pt>
                <c:pt idx="170">
                  <c:v>0.99999833694394469</c:v>
                </c:pt>
                <c:pt idx="171">
                  <c:v>0.99999863840465819</c:v>
                </c:pt>
                <c:pt idx="172">
                  <c:v>0.99999888521988278</c:v>
                </c:pt>
                <c:pt idx="173">
                  <c:v>0.99999908729514309</c:v>
                </c:pt>
                <c:pt idx="174">
                  <c:v>0.99999925274040335</c:v>
                </c:pt>
                <c:pt idx="175">
                  <c:v>0.99999938819554623</c:v>
                </c:pt>
                <c:pt idx="176">
                  <c:v>0.99999949909685093</c:v>
                </c:pt>
                <c:pt idx="177">
                  <c:v>0.99999958989516891</c:v>
                </c:pt>
                <c:pt idx="178">
                  <c:v>0.99999966423455056</c:v>
                </c:pt>
                <c:pt idx="179">
                  <c:v>0.99999972509849233</c:v>
                </c:pt>
                <c:pt idx="180">
                  <c:v>0.99999977492967596</c:v>
                </c:pt>
                <c:pt idx="181">
                  <c:v>0.99999981572800023</c:v>
                </c:pt>
                <c:pt idx="182">
                  <c:v>0.99999984913084428</c:v>
                </c:pt>
                <c:pt idx="183">
                  <c:v>0.99999987647878097</c:v>
                </c:pt>
                <c:pt idx="184">
                  <c:v>0.99999989886937801</c:v>
                </c:pt>
                <c:pt idx="185">
                  <c:v>0.99999991720124892</c:v>
                </c:pt>
                <c:pt idx="186">
                  <c:v>0.99999993221011574</c:v>
                </c:pt>
                <c:pt idx="187">
                  <c:v>0.99999994449833673</c:v>
                </c:pt>
                <c:pt idx="188">
                  <c:v>0.99999995455908108</c:v>
                </c:pt>
                <c:pt idx="189">
                  <c:v>0.99999996279612202</c:v>
                </c:pt>
                <c:pt idx="190">
                  <c:v>0.99999996954004089</c:v>
                </c:pt>
                <c:pt idx="191">
                  <c:v>0.99999997506149496</c:v>
                </c:pt>
                <c:pt idx="192">
                  <c:v>0.99999997958207865</c:v>
                </c:pt>
                <c:pt idx="193">
                  <c:v>0.99999998328321982</c:v>
                </c:pt>
                <c:pt idx="194">
                  <c:v>0.9999999863134581</c:v>
                </c:pt>
                <c:pt idx="195">
                  <c:v>0.9999999887944071</c:v>
                </c:pt>
                <c:pt idx="196">
                  <c:v>0.99999999082563651</c:v>
                </c:pt>
                <c:pt idx="197">
                  <c:v>0.99999999248866644</c:v>
                </c:pt>
                <c:pt idx="198">
                  <c:v>0.99999999385024008</c:v>
                </c:pt>
                <c:pt idx="199">
                  <c:v>0.99999999496500247</c:v>
                </c:pt>
                <c:pt idx="200">
                  <c:v>0.99999999587769262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-1.4</c:v>
                </c:pt>
              </c:numCache>
            </c:numRef>
          </c:xVal>
          <c:yVal>
            <c:numRef>
              <c:f>'Activation Functions'!$D$3</c:f>
              <c:numCache>
                <c:formatCode>0.00</c:formatCode>
                <c:ptCount val="1"/>
                <c:pt idx="0">
                  <c:v>-0.88535164820226242</c:v>
                </c:pt>
              </c:numCache>
            </c:numRef>
          </c:yVal>
          <c:smooth val="1"/>
        </c:ser>
        <c:ser>
          <c:idx val="0"/>
          <c:order val="0"/>
          <c:tx>
            <c:strRef>
              <c:f>'Activation Functions'!$AL$5</c:f>
              <c:strCache>
                <c:ptCount val="1"/>
                <c:pt idx="0">
                  <c:v>tanh(x)</c:v>
                </c:pt>
              </c:strCache>
            </c:strRef>
          </c:tx>
          <c:spPr>
            <a:ln w="63500"/>
          </c:spPr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Functions'!$AL$6:$AL$206</c:f>
              <c:numCache>
                <c:formatCode>0E+00</c:formatCode>
                <c:ptCount val="201"/>
                <c:pt idx="0">
                  <c:v>-0.99999999587769262</c:v>
                </c:pt>
                <c:pt idx="1">
                  <c:v>-0.99999999496500247</c:v>
                </c:pt>
                <c:pt idx="2">
                  <c:v>-0.99999999385024008</c:v>
                </c:pt>
                <c:pt idx="3">
                  <c:v>-0.99999999248866644</c:v>
                </c:pt>
                <c:pt idx="4">
                  <c:v>-0.99999999082563651</c:v>
                </c:pt>
                <c:pt idx="5">
                  <c:v>-0.9999999887944071</c:v>
                </c:pt>
                <c:pt idx="6">
                  <c:v>-0.9999999863134581</c:v>
                </c:pt>
                <c:pt idx="7">
                  <c:v>-0.99999998328321982</c:v>
                </c:pt>
                <c:pt idx="8">
                  <c:v>-0.99999997958207865</c:v>
                </c:pt>
                <c:pt idx="9">
                  <c:v>-0.99999997506149496</c:v>
                </c:pt>
                <c:pt idx="10">
                  <c:v>-0.99999996954004089</c:v>
                </c:pt>
                <c:pt idx="11">
                  <c:v>-0.99999996279612202</c:v>
                </c:pt>
                <c:pt idx="12">
                  <c:v>-0.99999995455908108</c:v>
                </c:pt>
                <c:pt idx="13">
                  <c:v>-0.99999994449833673</c:v>
                </c:pt>
                <c:pt idx="14">
                  <c:v>-0.99999993221011574</c:v>
                </c:pt>
                <c:pt idx="15">
                  <c:v>-0.99999991720124892</c:v>
                </c:pt>
                <c:pt idx="16">
                  <c:v>-0.99999989886937801</c:v>
                </c:pt>
                <c:pt idx="17">
                  <c:v>-0.99999987647878097</c:v>
                </c:pt>
                <c:pt idx="18">
                  <c:v>-0.99999984913084428</c:v>
                </c:pt>
                <c:pt idx="19">
                  <c:v>-0.99999981572800023</c:v>
                </c:pt>
                <c:pt idx="20">
                  <c:v>-0.99999977492967596</c:v>
                </c:pt>
                <c:pt idx="21">
                  <c:v>-0.99999972509849233</c:v>
                </c:pt>
                <c:pt idx="22">
                  <c:v>-0.99999966423455056</c:v>
                </c:pt>
                <c:pt idx="23">
                  <c:v>-0.99999958989516891</c:v>
                </c:pt>
                <c:pt idx="24">
                  <c:v>-0.99999949909685093</c:v>
                </c:pt>
                <c:pt idx="25">
                  <c:v>-0.99999938819554623</c:v>
                </c:pt>
                <c:pt idx="26">
                  <c:v>-0.99999925274040335</c:v>
                </c:pt>
                <c:pt idx="27">
                  <c:v>-0.99999908729514309</c:v>
                </c:pt>
                <c:pt idx="28">
                  <c:v>-0.99999888521988278</c:v>
                </c:pt>
                <c:pt idx="29">
                  <c:v>-0.99999863840465819</c:v>
                </c:pt>
                <c:pt idx="30">
                  <c:v>-0.99999833694394469</c:v>
                </c:pt>
                <c:pt idx="31">
                  <c:v>-0.99999796873912106</c:v>
                </c:pt>
                <c:pt idx="32">
                  <c:v>-0.99999751901291778</c:v>
                </c:pt>
                <c:pt idx="33">
                  <c:v>-0.99999696971636709</c:v>
                </c:pt>
                <c:pt idx="34">
                  <c:v>-0.99999629880445418</c:v>
                </c:pt>
                <c:pt idx="35">
                  <c:v>-0.99999547935140409</c:v>
                </c:pt>
                <c:pt idx="36">
                  <c:v>-0.99999447847009948</c:v>
                </c:pt>
                <c:pt idx="37">
                  <c:v>-0.99999325599227251</c:v>
                </c:pt>
                <c:pt idx="38">
                  <c:v>-0.99999176285651037</c:v>
                </c:pt>
                <c:pt idx="39">
                  <c:v>-0.99998993913939649</c:v>
                </c:pt>
                <c:pt idx="40">
                  <c:v>-0.99998771165079559</c:v>
                </c:pt>
                <c:pt idx="41">
                  <c:v>-0.99998499099680582</c:v>
                </c:pt>
                <c:pt idx="42">
                  <c:v>-0.99998166799256039</c:v>
                </c:pt>
                <c:pt idx="43">
                  <c:v>-0.99997760928098978</c:v>
                </c:pt>
                <c:pt idx="44">
                  <c:v>-0.99997265198183094</c:v>
                </c:pt>
                <c:pt idx="45">
                  <c:v>-0.99996659715630376</c:v>
                </c:pt>
                <c:pt idx="46">
                  <c:v>-0.99995920182544018</c:v>
                </c:pt>
                <c:pt idx="47">
                  <c:v>-0.99995016922212121</c:v>
                </c:pt>
                <c:pt idx="48">
                  <c:v>-0.99993913688619884</c:v>
                </c:pt>
                <c:pt idx="49">
                  <c:v>-0.99992566212579437</c:v>
                </c:pt>
                <c:pt idx="50">
                  <c:v>-0.999909204262595</c:v>
                </c:pt>
                <c:pt idx="51">
                  <c:v>-0.99988910295055433</c:v>
                </c:pt>
                <c:pt idx="52">
                  <c:v>-0.9998645517007605</c:v>
                </c:pt>
                <c:pt idx="53">
                  <c:v>-0.99983456555429673</c:v>
                </c:pt>
                <c:pt idx="54">
                  <c:v>-0.99979794161218449</c:v>
                </c:pt>
                <c:pt idx="55">
                  <c:v>-0.9997532108480276</c:v>
                </c:pt>
                <c:pt idx="56">
                  <c:v>-0.99969857928388062</c:v>
                </c:pt>
                <c:pt idx="57">
                  <c:v>-0.99963185619007322</c:v>
                </c:pt>
                <c:pt idx="58">
                  <c:v>-0.99955036645953332</c:v>
                </c:pt>
                <c:pt idx="59">
                  <c:v>-0.99945084368779735</c:v>
                </c:pt>
                <c:pt idx="60">
                  <c:v>-0.99932929973906692</c:v>
                </c:pt>
                <c:pt idx="61">
                  <c:v>-0.99918086567002806</c:v>
                </c:pt>
                <c:pt idx="62">
                  <c:v>-0.9989995977858408</c:v>
                </c:pt>
                <c:pt idx="63">
                  <c:v>-0.99877824128113124</c:v>
                </c:pt>
                <c:pt idx="64">
                  <c:v>-0.99850794233232665</c:v>
                </c:pt>
                <c:pt idx="65">
                  <c:v>-0.99817789761119868</c:v>
                </c:pt>
                <c:pt idx="66">
                  <c:v>-0.99777492793427947</c:v>
                </c:pt>
                <c:pt idx="67">
                  <c:v>-0.99728296009914219</c:v>
                </c:pt>
                <c:pt idx="68">
                  <c:v>-0.9966823978396514</c:v>
                </c:pt>
                <c:pt idx="69">
                  <c:v>-0.99594935922190042</c:v>
                </c:pt>
                <c:pt idx="70">
                  <c:v>-0.99505475368673069</c:v>
                </c:pt>
                <c:pt idx="71">
                  <c:v>-0.99396316735058343</c:v>
                </c:pt>
                <c:pt idx="72">
                  <c:v>-0.99263152020112855</c:v>
                </c:pt>
                <c:pt idx="73">
                  <c:v>-0.99100745367811793</c:v>
                </c:pt>
                <c:pt idx="74">
                  <c:v>-0.98902740220109953</c:v>
                </c:pt>
                <c:pt idx="75">
                  <c:v>-0.98661429815143098</c:v>
                </c:pt>
                <c:pt idx="76">
                  <c:v>-0.98367485769368068</c:v>
                </c:pt>
                <c:pt idx="77">
                  <c:v>-0.98009639626619205</c:v>
                </c:pt>
                <c:pt idx="78">
                  <c:v>-0.97574313003145241</c:v>
                </c:pt>
                <c:pt idx="79">
                  <c:v>-0.97045193661345508</c:v>
                </c:pt>
                <c:pt idx="80">
                  <c:v>-0.96402758007581835</c:v>
                </c:pt>
                <c:pt idx="81">
                  <c:v>-0.95623745812774086</c:v>
                </c:pt>
                <c:pt idx="82">
                  <c:v>-0.94680601284627031</c:v>
                </c:pt>
                <c:pt idx="83">
                  <c:v>-0.93540907060310141</c:v>
                </c:pt>
                <c:pt idx="84">
                  <c:v>-0.92166855440647433</c:v>
                </c:pt>
                <c:pt idx="85">
                  <c:v>-0.90514825364486995</c:v>
                </c:pt>
                <c:pt idx="86">
                  <c:v>-0.88535164820226664</c:v>
                </c:pt>
                <c:pt idx="87">
                  <c:v>-0.86172315931331134</c:v>
                </c:pt>
                <c:pt idx="88">
                  <c:v>-0.83365460701216099</c:v>
                </c:pt>
                <c:pt idx="89">
                  <c:v>-0.80049902176063648</c:v>
                </c:pt>
                <c:pt idx="90">
                  <c:v>-0.76159415595577284</c:v>
                </c:pt>
                <c:pt idx="91">
                  <c:v>-0.71629787019903346</c:v>
                </c:pt>
                <c:pt idx="92">
                  <c:v>-0.66403677026785946</c:v>
                </c:pt>
                <c:pt idx="93">
                  <c:v>-0.60436777711717526</c:v>
                </c:pt>
                <c:pt idx="94">
                  <c:v>-0.53704956699804862</c:v>
                </c:pt>
                <c:pt idx="95">
                  <c:v>-0.4621171572600245</c:v>
                </c:pt>
                <c:pt idx="96">
                  <c:v>-0.37994896225524094</c:v>
                </c:pt>
                <c:pt idx="97">
                  <c:v>-0.29131261245160806</c:v>
                </c:pt>
                <c:pt idx="98">
                  <c:v>-0.19737532022492207</c:v>
                </c:pt>
                <c:pt idx="99">
                  <c:v>-9.9667994624974429E-2</c:v>
                </c:pt>
                <c:pt idx="100">
                  <c:v>-1.8790524691780774E-14</c:v>
                </c:pt>
                <c:pt idx="101">
                  <c:v>9.9667994624937223E-2</c:v>
                </c:pt>
                <c:pt idx="102">
                  <c:v>0.19737532022488594</c:v>
                </c:pt>
                <c:pt idx="103">
                  <c:v>0.2913126124515738</c:v>
                </c:pt>
                <c:pt idx="104">
                  <c:v>0.3799489622552088</c:v>
                </c:pt>
                <c:pt idx="105">
                  <c:v>0.46211715725999503</c:v>
                </c:pt>
                <c:pt idx="106">
                  <c:v>0.53704956699802187</c:v>
                </c:pt>
                <c:pt idx="107">
                  <c:v>0.60436777711715162</c:v>
                </c:pt>
                <c:pt idx="108">
                  <c:v>0.66403677026783847</c:v>
                </c:pt>
                <c:pt idx="109">
                  <c:v>0.71629787019901525</c:v>
                </c:pt>
                <c:pt idx="110">
                  <c:v>0.76159415595575708</c:v>
                </c:pt>
                <c:pt idx="111">
                  <c:v>0.80049902176062304</c:v>
                </c:pt>
                <c:pt idx="112">
                  <c:v>0.83365460701214944</c:v>
                </c:pt>
                <c:pt idx="113">
                  <c:v>0.86172315931330146</c:v>
                </c:pt>
                <c:pt idx="114">
                  <c:v>0.88535164820225842</c:v>
                </c:pt>
                <c:pt idx="115">
                  <c:v>0.90514825364486295</c:v>
                </c:pt>
                <c:pt idx="116">
                  <c:v>0.92166855440646844</c:v>
                </c:pt>
                <c:pt idx="117">
                  <c:v>0.93540907060309664</c:v>
                </c:pt>
                <c:pt idx="118">
                  <c:v>0.94680601284626642</c:v>
                </c:pt>
                <c:pt idx="119">
                  <c:v>0.95623745812773742</c:v>
                </c:pt>
                <c:pt idx="120">
                  <c:v>0.96402758007581568</c:v>
                </c:pt>
                <c:pt idx="121">
                  <c:v>0.97045193661345264</c:v>
                </c:pt>
                <c:pt idx="122">
                  <c:v>0.97574313003145074</c:v>
                </c:pt>
                <c:pt idx="123">
                  <c:v>0.98009639626619061</c:v>
                </c:pt>
                <c:pt idx="124">
                  <c:v>0.98367485769367979</c:v>
                </c:pt>
                <c:pt idx="125">
                  <c:v>0.98661429815142987</c:v>
                </c:pt>
                <c:pt idx="126">
                  <c:v>0.98902740220109886</c:v>
                </c:pt>
                <c:pt idx="127">
                  <c:v>0.99100745367811738</c:v>
                </c:pt>
                <c:pt idx="128">
                  <c:v>0.99263152020112777</c:v>
                </c:pt>
                <c:pt idx="129">
                  <c:v>0.99396316735058288</c:v>
                </c:pt>
                <c:pt idx="130">
                  <c:v>0.99505475368673013</c:v>
                </c:pt>
                <c:pt idx="131">
                  <c:v>0.99594935922189998</c:v>
                </c:pt>
                <c:pt idx="132">
                  <c:v>0.99668239783965096</c:v>
                </c:pt>
                <c:pt idx="133">
                  <c:v>0.99728296009914208</c:v>
                </c:pt>
                <c:pt idx="134">
                  <c:v>0.99777492793427935</c:v>
                </c:pt>
                <c:pt idx="135">
                  <c:v>0.99817789761119868</c:v>
                </c:pt>
                <c:pt idx="136">
                  <c:v>0.99850794233232665</c:v>
                </c:pt>
                <c:pt idx="137">
                  <c:v>0.99877824128113124</c:v>
                </c:pt>
                <c:pt idx="138">
                  <c:v>0.9989995977858408</c:v>
                </c:pt>
                <c:pt idx="139">
                  <c:v>0.99918086567002773</c:v>
                </c:pt>
                <c:pt idx="140">
                  <c:v>0.99932929973906692</c:v>
                </c:pt>
                <c:pt idx="141">
                  <c:v>0.99945084368779735</c:v>
                </c:pt>
                <c:pt idx="142">
                  <c:v>0.99955036645953332</c:v>
                </c:pt>
                <c:pt idx="143">
                  <c:v>0.99963185619007322</c:v>
                </c:pt>
                <c:pt idx="144">
                  <c:v>0.99969857928388062</c:v>
                </c:pt>
                <c:pt idx="145">
                  <c:v>0.9997532108480276</c:v>
                </c:pt>
                <c:pt idx="146">
                  <c:v>0.99979794161218449</c:v>
                </c:pt>
                <c:pt idx="147">
                  <c:v>0.99983456555429673</c:v>
                </c:pt>
                <c:pt idx="148">
                  <c:v>0.9998645517007605</c:v>
                </c:pt>
                <c:pt idx="149">
                  <c:v>0.99988910295055433</c:v>
                </c:pt>
                <c:pt idx="150">
                  <c:v>0.999909204262595</c:v>
                </c:pt>
                <c:pt idx="151">
                  <c:v>0.99992566212579437</c:v>
                </c:pt>
                <c:pt idx="152">
                  <c:v>0.99993913688619884</c:v>
                </c:pt>
                <c:pt idx="153">
                  <c:v>0.99995016922212121</c:v>
                </c:pt>
                <c:pt idx="154">
                  <c:v>0.99995920182544018</c:v>
                </c:pt>
                <c:pt idx="155">
                  <c:v>0.99996659715630376</c:v>
                </c:pt>
                <c:pt idx="156">
                  <c:v>0.99997265198183094</c:v>
                </c:pt>
                <c:pt idx="157">
                  <c:v>0.99997760928098978</c:v>
                </c:pt>
                <c:pt idx="158">
                  <c:v>0.99998166799256039</c:v>
                </c:pt>
                <c:pt idx="159">
                  <c:v>0.99998499099680582</c:v>
                </c:pt>
                <c:pt idx="160">
                  <c:v>0.99998771165079559</c:v>
                </c:pt>
                <c:pt idx="161">
                  <c:v>0.99998993913939649</c:v>
                </c:pt>
                <c:pt idx="162">
                  <c:v>0.99999176285651037</c:v>
                </c:pt>
                <c:pt idx="163">
                  <c:v>0.99999325599227251</c:v>
                </c:pt>
                <c:pt idx="164">
                  <c:v>0.99999447847009948</c:v>
                </c:pt>
                <c:pt idx="165">
                  <c:v>0.99999547935140409</c:v>
                </c:pt>
                <c:pt idx="166">
                  <c:v>0.99999629880445418</c:v>
                </c:pt>
                <c:pt idx="167">
                  <c:v>0.99999696971636709</c:v>
                </c:pt>
                <c:pt idx="168">
                  <c:v>0.99999751901291778</c:v>
                </c:pt>
                <c:pt idx="169">
                  <c:v>0.99999796873912106</c:v>
                </c:pt>
                <c:pt idx="170">
                  <c:v>0.99999833694394469</c:v>
                </c:pt>
                <c:pt idx="171">
                  <c:v>0.99999863840465819</c:v>
                </c:pt>
                <c:pt idx="172">
                  <c:v>0.99999888521988278</c:v>
                </c:pt>
                <c:pt idx="173">
                  <c:v>0.99999908729514309</c:v>
                </c:pt>
                <c:pt idx="174">
                  <c:v>0.99999925274040335</c:v>
                </c:pt>
                <c:pt idx="175">
                  <c:v>0.99999938819554623</c:v>
                </c:pt>
                <c:pt idx="176">
                  <c:v>0.99999949909685093</c:v>
                </c:pt>
                <c:pt idx="177">
                  <c:v>0.99999958989516891</c:v>
                </c:pt>
                <c:pt idx="178">
                  <c:v>0.99999966423455056</c:v>
                </c:pt>
                <c:pt idx="179">
                  <c:v>0.99999972509849233</c:v>
                </c:pt>
                <c:pt idx="180">
                  <c:v>0.99999977492967596</c:v>
                </c:pt>
                <c:pt idx="181">
                  <c:v>0.99999981572800023</c:v>
                </c:pt>
                <c:pt idx="182">
                  <c:v>0.99999984913084428</c:v>
                </c:pt>
                <c:pt idx="183">
                  <c:v>0.99999987647878097</c:v>
                </c:pt>
                <c:pt idx="184">
                  <c:v>0.99999989886937801</c:v>
                </c:pt>
                <c:pt idx="185">
                  <c:v>0.99999991720124892</c:v>
                </c:pt>
                <c:pt idx="186">
                  <c:v>0.99999993221011574</c:v>
                </c:pt>
                <c:pt idx="187">
                  <c:v>0.99999994449833673</c:v>
                </c:pt>
                <c:pt idx="188">
                  <c:v>0.99999995455908108</c:v>
                </c:pt>
                <c:pt idx="189">
                  <c:v>0.99999996279612202</c:v>
                </c:pt>
                <c:pt idx="190">
                  <c:v>0.99999996954004089</c:v>
                </c:pt>
                <c:pt idx="191">
                  <c:v>0.99999997506149496</c:v>
                </c:pt>
                <c:pt idx="192">
                  <c:v>0.99999997958207865</c:v>
                </c:pt>
                <c:pt idx="193">
                  <c:v>0.99999998328321982</c:v>
                </c:pt>
                <c:pt idx="194">
                  <c:v>0.9999999863134581</c:v>
                </c:pt>
                <c:pt idx="195">
                  <c:v>0.9999999887944071</c:v>
                </c:pt>
                <c:pt idx="196">
                  <c:v>0.99999999082563651</c:v>
                </c:pt>
                <c:pt idx="197">
                  <c:v>0.99999999248866644</c:v>
                </c:pt>
                <c:pt idx="198">
                  <c:v>0.99999999385024008</c:v>
                </c:pt>
                <c:pt idx="199">
                  <c:v>0.99999999496500247</c:v>
                </c:pt>
                <c:pt idx="200">
                  <c:v>0.99999999587769262</c:v>
                </c:pt>
              </c:numCache>
            </c:numRef>
          </c:yVal>
          <c:smooth val="1"/>
        </c:ser>
        <c:ser>
          <c:idx val="1"/>
          <c:order val="1"/>
          <c:marker>
            <c:symbol val="circle"/>
            <c:size val="13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-1.4</c:v>
                </c:pt>
              </c:numCache>
            </c:numRef>
          </c:xVal>
          <c:yVal>
            <c:numRef>
              <c:f>'Activation Functions'!$D$3</c:f>
              <c:numCache>
                <c:formatCode>0.00</c:formatCode>
                <c:ptCount val="1"/>
                <c:pt idx="0">
                  <c:v>-0.88535164820226242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92768"/>
        <c:axId val="247333632"/>
      </c:scatterChart>
      <c:valAx>
        <c:axId val="165792768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out"/>
        <c:minorTickMark val="none"/>
        <c:tickLblPos val="nextTo"/>
        <c:crossAx val="247333632"/>
        <c:crosses val="autoZero"/>
        <c:crossBetween val="midCat"/>
      </c:valAx>
      <c:valAx>
        <c:axId val="247333632"/>
        <c:scaling>
          <c:orientation val="minMax"/>
          <c:max val="1"/>
          <c:min val="-1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165792768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ReLU :</a:t>
            </a:r>
            <a:r>
              <a:rPr lang="en-GB" baseline="0"/>
              <a:t> Max (0,x)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'Activation Functions'!$AM$5</c:f>
              <c:strCache>
                <c:ptCount val="1"/>
                <c:pt idx="0">
                  <c:v>ReLU</c:v>
                </c:pt>
              </c:strCache>
            </c:strRef>
          </c:tx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Functions'!$AM$6:$AM$206</c:f>
              <c:numCache>
                <c:formatCode>0E+00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-1.4</c:v>
                </c:pt>
              </c:numCache>
            </c:numRef>
          </c:xVal>
          <c:yVal>
            <c:numRef>
              <c:f>'Activation Functions'!$E$3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0"/>
          <c:order val="0"/>
          <c:tx>
            <c:strRef>
              <c:f>'Activation Functions'!$AM$5</c:f>
              <c:strCache>
                <c:ptCount val="1"/>
                <c:pt idx="0">
                  <c:v>ReLU</c:v>
                </c:pt>
              </c:strCache>
            </c:strRef>
          </c:tx>
          <c:spPr>
            <a:ln w="63500"/>
          </c:spPr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Functions'!$AM$6:$AM$206</c:f>
              <c:numCache>
                <c:formatCode>0E+00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yVal>
          <c:smooth val="1"/>
        </c:ser>
        <c:ser>
          <c:idx val="1"/>
          <c:order val="1"/>
          <c:marker>
            <c:symbol val="circle"/>
            <c:size val="13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-1.4</c:v>
                </c:pt>
              </c:numCache>
            </c:numRef>
          </c:xVal>
          <c:yVal>
            <c:numRef>
              <c:f>'Activation Functions'!$E$3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00256"/>
        <c:axId val="156406144"/>
      </c:scatterChart>
      <c:valAx>
        <c:axId val="156400256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out"/>
        <c:minorTickMark val="none"/>
        <c:tickLblPos val="nextTo"/>
        <c:crossAx val="156406144"/>
        <c:crosses val="autoZero"/>
        <c:crossBetween val="midCat"/>
      </c:valAx>
      <c:valAx>
        <c:axId val="156406144"/>
        <c:scaling>
          <c:orientation val="minMax"/>
          <c:max val="1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156400256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Leaky ReLU :</a:t>
            </a:r>
            <a:r>
              <a:rPr lang="en-GB" baseline="0"/>
              <a:t> &gt;=0 </a:t>
            </a:r>
            <a:r>
              <a:rPr lang="en-GB" baseline="0">
                <a:sym typeface="Wingdings"/>
              </a:rPr>
              <a:t> x, &lt;0 </a:t>
            </a:r>
            <a:r>
              <a:rPr lang="en-GB" sz="1800" b="1" i="0" u="none" strike="noStrike" baseline="0">
                <a:effectLst/>
                <a:sym typeface="Wingdings"/>
              </a:rPr>
              <a:t> x.</a:t>
            </a:r>
            <a:r>
              <a:rPr lang="el-GR" sz="1800" b="1" i="0" u="none" strike="noStrike" baseline="0">
                <a:effectLst/>
                <a:latin typeface="Calibri"/>
                <a:cs typeface="Calibri"/>
                <a:sym typeface="Wingdings"/>
              </a:rPr>
              <a:t>α</a:t>
            </a:r>
            <a:r>
              <a:rPr lang="en-GB" baseline="0">
                <a:sym typeface="Wingdings"/>
              </a:rPr>
              <a:t>  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'Activation Functions'!$AN$5</c:f>
              <c:strCache>
                <c:ptCount val="1"/>
                <c:pt idx="0">
                  <c:v>Leaky ReLU</c:v>
                </c:pt>
              </c:strCache>
            </c:strRef>
          </c:tx>
          <c:spPr>
            <a:ln w="63500"/>
          </c:spPr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Functions'!$AN$6:$AN$206</c:f>
              <c:numCache>
                <c:formatCode>0E+00</c:formatCode>
                <c:ptCount val="201"/>
                <c:pt idx="0">
                  <c:v>-2</c:v>
                </c:pt>
                <c:pt idx="1">
                  <c:v>-1.9800000000000002</c:v>
                </c:pt>
                <c:pt idx="2">
                  <c:v>-1.9600000000000002</c:v>
                </c:pt>
                <c:pt idx="3">
                  <c:v>-1.9400000000000004</c:v>
                </c:pt>
                <c:pt idx="4">
                  <c:v>-1.9200000000000004</c:v>
                </c:pt>
                <c:pt idx="5">
                  <c:v>-1.9000000000000004</c:v>
                </c:pt>
                <c:pt idx="6">
                  <c:v>-1.8800000000000006</c:v>
                </c:pt>
                <c:pt idx="7">
                  <c:v>-1.8600000000000005</c:v>
                </c:pt>
                <c:pt idx="8">
                  <c:v>-1.8400000000000007</c:v>
                </c:pt>
                <c:pt idx="9">
                  <c:v>-1.8200000000000007</c:v>
                </c:pt>
                <c:pt idx="10">
                  <c:v>-1.8000000000000007</c:v>
                </c:pt>
                <c:pt idx="11">
                  <c:v>-1.7800000000000009</c:v>
                </c:pt>
                <c:pt idx="12">
                  <c:v>-1.7600000000000009</c:v>
                </c:pt>
                <c:pt idx="13">
                  <c:v>-1.7400000000000011</c:v>
                </c:pt>
                <c:pt idx="14">
                  <c:v>-1.7200000000000011</c:v>
                </c:pt>
                <c:pt idx="15">
                  <c:v>-1.7000000000000011</c:v>
                </c:pt>
                <c:pt idx="16">
                  <c:v>-1.6800000000000013</c:v>
                </c:pt>
                <c:pt idx="17">
                  <c:v>-1.6600000000000013</c:v>
                </c:pt>
                <c:pt idx="18">
                  <c:v>-1.6400000000000015</c:v>
                </c:pt>
                <c:pt idx="19">
                  <c:v>-1.6200000000000014</c:v>
                </c:pt>
                <c:pt idx="20">
                  <c:v>-1.6000000000000014</c:v>
                </c:pt>
                <c:pt idx="21">
                  <c:v>-1.5800000000000016</c:v>
                </c:pt>
                <c:pt idx="22">
                  <c:v>-1.5600000000000016</c:v>
                </c:pt>
                <c:pt idx="23">
                  <c:v>-1.5400000000000018</c:v>
                </c:pt>
                <c:pt idx="24">
                  <c:v>-1.5200000000000018</c:v>
                </c:pt>
                <c:pt idx="25">
                  <c:v>-1.5000000000000018</c:v>
                </c:pt>
                <c:pt idx="26">
                  <c:v>-1.480000000000002</c:v>
                </c:pt>
                <c:pt idx="27">
                  <c:v>-1.460000000000002</c:v>
                </c:pt>
                <c:pt idx="28">
                  <c:v>-1.4400000000000022</c:v>
                </c:pt>
                <c:pt idx="29">
                  <c:v>-1.4200000000000021</c:v>
                </c:pt>
                <c:pt idx="30">
                  <c:v>-1.4000000000000021</c:v>
                </c:pt>
                <c:pt idx="31">
                  <c:v>-1.3800000000000023</c:v>
                </c:pt>
                <c:pt idx="32">
                  <c:v>-1.3600000000000023</c:v>
                </c:pt>
                <c:pt idx="33">
                  <c:v>-1.3400000000000025</c:v>
                </c:pt>
                <c:pt idx="34">
                  <c:v>-1.3200000000000025</c:v>
                </c:pt>
                <c:pt idx="35">
                  <c:v>-1.3000000000000025</c:v>
                </c:pt>
                <c:pt idx="36">
                  <c:v>-1.2800000000000027</c:v>
                </c:pt>
                <c:pt idx="37">
                  <c:v>-1.2600000000000027</c:v>
                </c:pt>
                <c:pt idx="38">
                  <c:v>-1.2400000000000029</c:v>
                </c:pt>
                <c:pt idx="39">
                  <c:v>-1.2200000000000029</c:v>
                </c:pt>
                <c:pt idx="40">
                  <c:v>-1.2000000000000028</c:v>
                </c:pt>
                <c:pt idx="41">
                  <c:v>-1.180000000000003</c:v>
                </c:pt>
                <c:pt idx="42">
                  <c:v>-1.160000000000003</c:v>
                </c:pt>
                <c:pt idx="43">
                  <c:v>-1.140000000000003</c:v>
                </c:pt>
                <c:pt idx="44">
                  <c:v>-1.1200000000000032</c:v>
                </c:pt>
                <c:pt idx="45">
                  <c:v>-1.1000000000000032</c:v>
                </c:pt>
                <c:pt idx="46">
                  <c:v>-1.0800000000000034</c:v>
                </c:pt>
                <c:pt idx="47">
                  <c:v>-1.0600000000000034</c:v>
                </c:pt>
                <c:pt idx="48">
                  <c:v>-1.0400000000000034</c:v>
                </c:pt>
                <c:pt idx="49">
                  <c:v>-1.0200000000000036</c:v>
                </c:pt>
                <c:pt idx="50">
                  <c:v>-1.0000000000000036</c:v>
                </c:pt>
                <c:pt idx="51">
                  <c:v>-0.98000000000000365</c:v>
                </c:pt>
                <c:pt idx="52">
                  <c:v>-0.96000000000000374</c:v>
                </c:pt>
                <c:pt idx="53">
                  <c:v>-0.94000000000000383</c:v>
                </c:pt>
                <c:pt idx="54">
                  <c:v>-0.92000000000000393</c:v>
                </c:pt>
                <c:pt idx="55">
                  <c:v>-0.90000000000000391</c:v>
                </c:pt>
                <c:pt idx="56">
                  <c:v>-0.880000000000004</c:v>
                </c:pt>
                <c:pt idx="57">
                  <c:v>-0.86000000000000409</c:v>
                </c:pt>
                <c:pt idx="58">
                  <c:v>-0.84000000000000419</c:v>
                </c:pt>
                <c:pt idx="59">
                  <c:v>-0.82000000000000428</c:v>
                </c:pt>
                <c:pt idx="60">
                  <c:v>-0.80000000000000426</c:v>
                </c:pt>
                <c:pt idx="61">
                  <c:v>-0.78000000000000425</c:v>
                </c:pt>
                <c:pt idx="62">
                  <c:v>-0.76000000000000423</c:v>
                </c:pt>
                <c:pt idx="63">
                  <c:v>-0.74000000000000421</c:v>
                </c:pt>
                <c:pt idx="64">
                  <c:v>-0.72000000000000419</c:v>
                </c:pt>
                <c:pt idx="65">
                  <c:v>-0.70000000000000417</c:v>
                </c:pt>
                <c:pt idx="66">
                  <c:v>-0.68000000000000416</c:v>
                </c:pt>
                <c:pt idx="67">
                  <c:v>-0.66000000000000414</c:v>
                </c:pt>
                <c:pt idx="68">
                  <c:v>-0.64000000000000412</c:v>
                </c:pt>
                <c:pt idx="69">
                  <c:v>-0.6200000000000041</c:v>
                </c:pt>
                <c:pt idx="70">
                  <c:v>-0.60000000000000409</c:v>
                </c:pt>
                <c:pt idx="71">
                  <c:v>-0.58000000000000407</c:v>
                </c:pt>
                <c:pt idx="72">
                  <c:v>-0.56000000000000405</c:v>
                </c:pt>
                <c:pt idx="73">
                  <c:v>-0.54000000000000403</c:v>
                </c:pt>
                <c:pt idx="74">
                  <c:v>-0.52000000000000401</c:v>
                </c:pt>
                <c:pt idx="75">
                  <c:v>-0.500000000000004</c:v>
                </c:pt>
                <c:pt idx="76">
                  <c:v>-0.48000000000000398</c:v>
                </c:pt>
                <c:pt idx="77">
                  <c:v>-0.46000000000000396</c:v>
                </c:pt>
                <c:pt idx="78">
                  <c:v>-0.44000000000000394</c:v>
                </c:pt>
                <c:pt idx="79">
                  <c:v>-0.42000000000000393</c:v>
                </c:pt>
                <c:pt idx="80">
                  <c:v>-0.40000000000000391</c:v>
                </c:pt>
                <c:pt idx="81">
                  <c:v>-0.38000000000000389</c:v>
                </c:pt>
                <c:pt idx="82">
                  <c:v>-0.36000000000000387</c:v>
                </c:pt>
                <c:pt idx="83">
                  <c:v>-0.34000000000000385</c:v>
                </c:pt>
                <c:pt idx="84">
                  <c:v>-0.32000000000000384</c:v>
                </c:pt>
                <c:pt idx="85">
                  <c:v>-0.30000000000000382</c:v>
                </c:pt>
                <c:pt idx="86">
                  <c:v>-0.2800000000000038</c:v>
                </c:pt>
                <c:pt idx="87">
                  <c:v>-0.26000000000000378</c:v>
                </c:pt>
                <c:pt idx="88">
                  <c:v>-0.24000000000000377</c:v>
                </c:pt>
                <c:pt idx="89">
                  <c:v>-0.22000000000000375</c:v>
                </c:pt>
                <c:pt idx="90">
                  <c:v>-0.20000000000000373</c:v>
                </c:pt>
                <c:pt idx="91">
                  <c:v>-0.18000000000000374</c:v>
                </c:pt>
                <c:pt idx="92">
                  <c:v>-0.16000000000000375</c:v>
                </c:pt>
                <c:pt idx="93">
                  <c:v>-0.14000000000000376</c:v>
                </c:pt>
                <c:pt idx="94">
                  <c:v>-0.12000000000000376</c:v>
                </c:pt>
                <c:pt idx="95">
                  <c:v>-0.10000000000000375</c:v>
                </c:pt>
                <c:pt idx="96">
                  <c:v>-8.0000000000003763E-2</c:v>
                </c:pt>
                <c:pt idx="97">
                  <c:v>-6.0000000000003766E-2</c:v>
                </c:pt>
                <c:pt idx="98">
                  <c:v>-4.0000000000003762E-2</c:v>
                </c:pt>
                <c:pt idx="99">
                  <c:v>-2.0000000000003761E-2</c:v>
                </c:pt>
                <c:pt idx="100">
                  <c:v>-3.758104938356155E-15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yVal>
          <c:smooth val="1"/>
        </c:ser>
        <c:ser>
          <c:idx val="1"/>
          <c:order val="1"/>
          <c:marker>
            <c:symbol val="circle"/>
            <c:size val="13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-1.4</c:v>
                </c:pt>
              </c:numCache>
            </c:numRef>
          </c:xVal>
          <c:yVal>
            <c:numRef>
              <c:f>'Activation Functions'!$F$3</c:f>
              <c:numCache>
                <c:formatCode>0.00</c:formatCode>
                <c:ptCount val="1"/>
                <c:pt idx="0">
                  <c:v>-0.27999999999999997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28544"/>
        <c:axId val="156499968"/>
      </c:scatterChart>
      <c:valAx>
        <c:axId val="156428544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out"/>
        <c:minorTickMark val="none"/>
        <c:tickLblPos val="nextTo"/>
        <c:crossAx val="156499968"/>
        <c:crosses val="autoZero"/>
        <c:crossBetween val="midCat"/>
      </c:valAx>
      <c:valAx>
        <c:axId val="156499968"/>
        <c:scaling>
          <c:orientation val="minMax"/>
          <c:max val="10"/>
          <c:min val="-2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156428544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Sigmoid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2"/>
              <c:pt idx="0">
                <c:v>X</c:v>
              </c:pt>
              <c:pt idx="1">
                <c:v>Y</c:v>
              </c:pt>
            </c:strLit>
          </c:cat>
          <c:val>
            <c:numRef>
              <c:f>'Activation Functions'!$AR$5:$AS$5</c:f>
              <c:numCache>
                <c:formatCode>0.00</c:formatCode>
                <c:ptCount val="2"/>
                <c:pt idx="0" formatCode="General">
                  <c:v>-1.4</c:v>
                </c:pt>
                <c:pt idx="1">
                  <c:v>0.19781611144141825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56507520"/>
        <c:axId val="156521600"/>
      </c:barChart>
      <c:catAx>
        <c:axId val="156507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56521600"/>
        <c:crosses val="autoZero"/>
        <c:auto val="1"/>
        <c:lblAlgn val="ctr"/>
        <c:lblOffset val="100"/>
        <c:noMultiLvlLbl val="0"/>
      </c:catAx>
      <c:valAx>
        <c:axId val="156521600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07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tanh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'Activation Functions'!$AR$6:$AS$6</c:f>
              <c:numCache>
                <c:formatCode>0.00</c:formatCode>
                <c:ptCount val="2"/>
                <c:pt idx="0" formatCode="General">
                  <c:v>-1.4</c:v>
                </c:pt>
                <c:pt idx="1">
                  <c:v>-0.88535164820226242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56546176"/>
        <c:axId val="156547712"/>
      </c:barChart>
      <c:catAx>
        <c:axId val="156546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6547712"/>
        <c:crosses val="autoZero"/>
        <c:auto val="1"/>
        <c:lblAlgn val="ctr"/>
        <c:lblOffset val="100"/>
        <c:noMultiLvlLbl val="0"/>
      </c:catAx>
      <c:valAx>
        <c:axId val="156547712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46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ReLU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'Activation Functions'!$AR$7:$AS$7</c:f>
              <c:numCache>
                <c:formatCode>0.00</c:formatCode>
                <c:ptCount val="2"/>
                <c:pt idx="0" formatCode="General">
                  <c:v>-1.4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56559232"/>
        <c:axId val="156560768"/>
      </c:barChart>
      <c:catAx>
        <c:axId val="156559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56560768"/>
        <c:crosses val="autoZero"/>
        <c:auto val="1"/>
        <c:lblAlgn val="ctr"/>
        <c:lblOffset val="100"/>
        <c:noMultiLvlLbl val="0"/>
      </c:catAx>
      <c:valAx>
        <c:axId val="156560768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59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Leaky ReLU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'Activation Functions'!$AR$8:$AS$8</c:f>
              <c:numCache>
                <c:formatCode>0.00</c:formatCode>
                <c:ptCount val="2"/>
                <c:pt idx="0" formatCode="General">
                  <c:v>-1.4</c:v>
                </c:pt>
                <c:pt idx="1">
                  <c:v>-0.27999999999999997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56414336"/>
        <c:axId val="156584960"/>
      </c:barChart>
      <c:catAx>
        <c:axId val="156414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56584960"/>
        <c:crosses val="autoZero"/>
        <c:auto val="1"/>
        <c:lblAlgn val="ctr"/>
        <c:lblOffset val="100"/>
        <c:noMultiLvlLbl val="0"/>
      </c:catAx>
      <c:valAx>
        <c:axId val="156584960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414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AH$2" max="100" page="10" val="57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16" fmlaLink="$AK$18" horiz="1" max="200" page="10" val="0"/>
</file>

<file path=xl/ctrlProps/ctrlProp4.xml><?xml version="1.0" encoding="utf-8"?>
<formControlPr xmlns="http://schemas.microsoft.com/office/spreadsheetml/2009/9/main" objectType="Scroll" dx="16" fmlaLink="$AK$19" horiz="1" max="200" page="10" val="2"/>
</file>

<file path=xl/ctrlProps/ctrlProp5.xml><?xml version="1.0" encoding="utf-8"?>
<formControlPr xmlns="http://schemas.microsoft.com/office/spreadsheetml/2009/9/main" objectType="Scroll" dx="16" fmlaLink="$AK$17" horiz="1" max="200" page="10" val="0"/>
</file>

<file path=xl/ctrlProps/ctrlProp6.xml><?xml version="1.0" encoding="utf-8"?>
<formControlPr xmlns="http://schemas.microsoft.com/office/spreadsheetml/2009/9/main" objectType="Scroll" dx="16" fmlaLink="$AK$20" horiz="1" max="200" page="10" val="0"/>
</file>

<file path=xl/ctrlProps/ctrlProp7.xml><?xml version="1.0" encoding="utf-8"?>
<formControlPr xmlns="http://schemas.microsoft.com/office/spreadsheetml/2009/9/main" objectType="Scroll" dx="16" fmlaLink="$AK$21" horiz="1" max="200" page="10" val="0"/>
</file>

<file path=xl/ctrlProps/ctrlProp8.xml><?xml version="1.0" encoding="utf-8"?>
<formControlPr xmlns="http://schemas.microsoft.com/office/spreadsheetml/2009/9/main" objectType="Scroll" dx="16" fmlaLink="$AK$22" horiz="1" max="200" page="10" val="0"/>
</file>

<file path=xl/ctrlProps/ctrlProp9.xml><?xml version="1.0" encoding="utf-8"?>
<formControlPr xmlns="http://schemas.microsoft.com/office/spreadsheetml/2009/9/main" objectType="Scroll" dx="16" fmlaLink="$AK$23" horiz="1" max="200" page="10" val="0"/>
</file>

<file path=xl/ctrlProps/ctrlProp10.xml><?xml version="1.0" encoding="utf-8"?>
<formControlPr xmlns="http://schemas.microsoft.com/office/spreadsheetml/2009/9/main" objectType="Scroll" dx="16" fmlaLink="$AK$24" horiz="1" max="200" page="10" val="0"/>
</file>

<file path=xl/ctrlProps/ctrlProp11.xml><?xml version="1.0" encoding="utf-8"?>
<formControlPr xmlns="http://schemas.microsoft.com/office/spreadsheetml/2009/9/main" objectType="Scroll" dx="16" fmlaLink="$AK$25" horiz="1" max="200" page="10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441334</xdr:colOff>
      <xdr:row>5</xdr:row>
      <xdr:rowOff>14815</xdr:rowOff>
    </xdr:from>
    <xdr:to>
      <xdr:col>7</xdr:col>
      <xdr:colOff>528501</xdr:colOff>
      <xdr:row>22</xdr:row>
      <xdr:rowOff>58732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4</xdr:row>
          <xdr:rowOff>142875</xdr:rowOff>
        </xdr:from>
        <xdr:to>
          <xdr:col>1</xdr:col>
          <xdr:colOff>542925</xdr:colOff>
          <xdr:row>42</xdr:row>
          <xdr:rowOff>47625</xdr:rowOff>
        </xdr:to>
        <xdr:sp macro="" textlink="">
          <xdr:nvSpPr>
            <xdr:cNvPr id="10241" name="Scroll Bar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544961</xdr:colOff>
      <xdr:row>5</xdr:row>
      <xdr:rowOff>14815</xdr:rowOff>
    </xdr:from>
    <xdr:to>
      <xdr:col>21</xdr:col>
      <xdr:colOff>420461</xdr:colOff>
      <xdr:row>22</xdr:row>
      <xdr:rowOff>58732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423334</xdr:colOff>
      <xdr:row>24</xdr:row>
      <xdr:rowOff>31750</xdr:rowOff>
    </xdr:from>
    <xdr:to>
      <xdr:col>7</xdr:col>
      <xdr:colOff>546501</xdr:colOff>
      <xdr:row>42</xdr:row>
      <xdr:rowOff>22750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544961</xdr:colOff>
      <xdr:row>24</xdr:row>
      <xdr:rowOff>31750</xdr:rowOff>
    </xdr:from>
    <xdr:to>
      <xdr:col>21</xdr:col>
      <xdr:colOff>420461</xdr:colOff>
      <xdr:row>42</xdr:row>
      <xdr:rowOff>22750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18899</xdr:colOff>
      <xdr:row>5</xdr:row>
      <xdr:rowOff>14815</xdr:rowOff>
    </xdr:from>
    <xdr:to>
      <xdr:col>10</xdr:col>
      <xdr:colOff>600983</xdr:colOff>
      <xdr:row>22</xdr:row>
      <xdr:rowOff>63499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539750</xdr:colOff>
      <xdr:row>5</xdr:row>
      <xdr:rowOff>14815</xdr:rowOff>
    </xdr:from>
    <xdr:to>
      <xdr:col>24</xdr:col>
      <xdr:colOff>518584</xdr:colOff>
      <xdr:row>22</xdr:row>
      <xdr:rowOff>74082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18899</xdr:colOff>
      <xdr:row>24</xdr:row>
      <xdr:rowOff>31750</xdr:rowOff>
    </xdr:from>
    <xdr:to>
      <xdr:col>10</xdr:col>
      <xdr:colOff>600983</xdr:colOff>
      <xdr:row>42</xdr:row>
      <xdr:rowOff>16934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555625</xdr:colOff>
      <xdr:row>24</xdr:row>
      <xdr:rowOff>31750</xdr:rowOff>
    </xdr:from>
    <xdr:to>
      <xdr:col>24</xdr:col>
      <xdr:colOff>534459</xdr:colOff>
      <xdr:row>42</xdr:row>
      <xdr:rowOff>16934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11907</xdr:colOff>
      <xdr:row>5</xdr:row>
      <xdr:rowOff>138545</xdr:rowOff>
    </xdr:from>
    <xdr:to>
      <xdr:col>11</xdr:col>
      <xdr:colOff>69272</xdr:colOff>
      <xdr:row>13</xdr:row>
      <xdr:rowOff>297656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 flipV="1">
          <a:off x="6786563" y="1745889"/>
          <a:ext cx="914615" cy="28261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11907</xdr:colOff>
      <xdr:row>16</xdr:row>
      <xdr:rowOff>250031</xdr:rowOff>
    </xdr:from>
    <xdr:to>
      <xdr:col>11</xdr:col>
      <xdr:colOff>35719</xdr:colOff>
      <xdr:row>18</xdr:row>
      <xdr:rowOff>201323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CxnSpPr/>
      </xdr:nvCxnSpPr>
      <xdr:spPr>
        <a:xfrm>
          <a:off x="6786563" y="5774531"/>
          <a:ext cx="881062" cy="7609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92002</xdr:colOff>
      <xdr:row>5</xdr:row>
      <xdr:rowOff>83344</xdr:rowOff>
    </xdr:from>
    <xdr:to>
      <xdr:col>16</xdr:col>
      <xdr:colOff>0</xdr:colOff>
      <xdr:row>10</xdr:row>
      <xdr:rowOff>214312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CxnSpPr/>
      </xdr:nvCxnSpPr>
      <xdr:spPr>
        <a:xfrm>
          <a:off x="11498190" y="1690688"/>
          <a:ext cx="1920154" cy="179784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612630</xdr:colOff>
      <xdr:row>13</xdr:row>
      <xdr:rowOff>182923</xdr:rowOff>
    </xdr:from>
    <xdr:to>
      <xdr:col>11</xdr:col>
      <xdr:colOff>0</xdr:colOff>
      <xdr:row>17</xdr:row>
      <xdr:rowOff>130968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>
          <a:off x="6756255" y="4457267"/>
          <a:ext cx="875651" cy="160301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14070</xdr:colOff>
      <xdr:row>6</xdr:row>
      <xdr:rowOff>238125</xdr:rowOff>
    </xdr:from>
    <xdr:to>
      <xdr:col>11</xdr:col>
      <xdr:colOff>107157</xdr:colOff>
      <xdr:row>16</xdr:row>
      <xdr:rowOff>235962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CxnSpPr/>
      </xdr:nvCxnSpPr>
      <xdr:spPr>
        <a:xfrm flipV="1">
          <a:off x="6788726" y="2178844"/>
          <a:ext cx="1759962" cy="35816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978477</xdr:colOff>
      <xdr:row>11</xdr:row>
      <xdr:rowOff>142875</xdr:rowOff>
    </xdr:from>
    <xdr:to>
      <xdr:col>15</xdr:col>
      <xdr:colOff>904875</xdr:colOff>
      <xdr:row>17</xdr:row>
      <xdr:rowOff>103910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CxnSpPr/>
      </xdr:nvCxnSpPr>
      <xdr:spPr>
        <a:xfrm flipV="1">
          <a:off x="11396446" y="3750469"/>
          <a:ext cx="1986179" cy="22827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</xdr:rowOff>
        </xdr:from>
        <xdr:to>
          <xdr:col>14</xdr:col>
          <xdr:colOff>904875</xdr:colOff>
          <xdr:row>10</xdr:row>
          <xdr:rowOff>285750</xdr:rowOff>
        </xdr:to>
        <xdr:sp macro="" textlink="">
          <xdr:nvSpPr>
            <xdr:cNvPr id="7169" name="Scroll Bar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47625</xdr:rowOff>
        </xdr:from>
        <xdr:to>
          <xdr:col>14</xdr:col>
          <xdr:colOff>895350</xdr:colOff>
          <xdr:row>11</xdr:row>
          <xdr:rowOff>266700</xdr:rowOff>
        </xdr:to>
        <xdr:sp macro="" textlink="">
          <xdr:nvSpPr>
            <xdr:cNvPr id="7170" name="Scroll Bar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76200</xdr:rowOff>
        </xdr:from>
        <xdr:to>
          <xdr:col>14</xdr:col>
          <xdr:colOff>904875</xdr:colOff>
          <xdr:row>9</xdr:row>
          <xdr:rowOff>295275</xdr:rowOff>
        </xdr:to>
        <xdr:sp macro="" textlink="">
          <xdr:nvSpPr>
            <xdr:cNvPr id="7171" name="Scroll Bar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12</xdr:col>
      <xdr:colOff>76200</xdr:colOff>
      <xdr:row>22</xdr:row>
      <xdr:rowOff>57150</xdr:rowOff>
    </xdr:from>
    <xdr:to>
      <xdr:col>14</xdr:col>
      <xdr:colOff>933450</xdr:colOff>
      <xdr:row>22</xdr:row>
      <xdr:rowOff>276225</xdr:rowOff>
    </xdr:to>
    <xdr:sp macro="" textlink="">
      <xdr:nvSpPr>
        <xdr:cNvPr id="7172" name="Scroll Bar 4" hidden="1">
          <a:extLst>
            <a:ext uri="{63B3BB69-23CF-44E3-9099-C40C66FF867C}">
              <a14:compatExt xmlns:a14="http://schemas.microsoft.com/office/drawing/2010/main" spid="_x0000_s717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38100</xdr:colOff>
      <xdr:row>23</xdr:row>
      <xdr:rowOff>76200</xdr:rowOff>
    </xdr:from>
    <xdr:to>
      <xdr:col>14</xdr:col>
      <xdr:colOff>895350</xdr:colOff>
      <xdr:row>23</xdr:row>
      <xdr:rowOff>295275</xdr:rowOff>
    </xdr:to>
    <xdr:sp macro="" textlink="">
      <xdr:nvSpPr>
        <xdr:cNvPr id="7173" name="Scroll Bar 5" hidden="1">
          <a:extLst>
            <a:ext uri="{63B3BB69-23CF-44E3-9099-C40C66FF867C}">
              <a14:compatExt xmlns:a14="http://schemas.microsoft.com/office/drawing/2010/main" spid="_x0000_s71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38100</xdr:colOff>
      <xdr:row>21</xdr:row>
      <xdr:rowOff>85725</xdr:rowOff>
    </xdr:from>
    <xdr:to>
      <xdr:col>14</xdr:col>
      <xdr:colOff>895350</xdr:colOff>
      <xdr:row>21</xdr:row>
      <xdr:rowOff>304800</xdr:rowOff>
    </xdr:to>
    <xdr:sp macro="" textlink="">
      <xdr:nvSpPr>
        <xdr:cNvPr id="7174" name="Scroll Bar 6" hidden="1">
          <a:extLst>
            <a:ext uri="{63B3BB69-23CF-44E3-9099-C40C66FF867C}">
              <a14:compatExt xmlns:a14="http://schemas.microsoft.com/office/drawing/2010/main" spid="_x0000_s71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17</xdr:col>
      <xdr:colOff>95250</xdr:colOff>
      <xdr:row>16</xdr:row>
      <xdr:rowOff>57150</xdr:rowOff>
    </xdr:from>
    <xdr:to>
      <xdr:col>19</xdr:col>
      <xdr:colOff>504825</xdr:colOff>
      <xdr:row>16</xdr:row>
      <xdr:rowOff>323850</xdr:rowOff>
    </xdr:to>
    <xdr:sp macro="" textlink="">
      <xdr:nvSpPr>
        <xdr:cNvPr id="7175" name="Scroll Bar 7" hidden="1">
          <a:extLst>
            <a:ext uri="{63B3BB69-23CF-44E3-9099-C40C66FF867C}">
              <a14:compatExt xmlns:a14="http://schemas.microsoft.com/office/drawing/2010/main" spid="_x0000_s717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17</xdr:col>
      <xdr:colOff>95250</xdr:colOff>
      <xdr:row>17</xdr:row>
      <xdr:rowOff>57150</xdr:rowOff>
    </xdr:from>
    <xdr:to>
      <xdr:col>19</xdr:col>
      <xdr:colOff>504825</xdr:colOff>
      <xdr:row>17</xdr:row>
      <xdr:rowOff>323850</xdr:rowOff>
    </xdr:to>
    <xdr:sp macro="" textlink="">
      <xdr:nvSpPr>
        <xdr:cNvPr id="7176" name="Scroll Bar 8" hidden="1">
          <a:extLst>
            <a:ext uri="{63B3BB69-23CF-44E3-9099-C40C66FF867C}">
              <a14:compatExt xmlns:a14="http://schemas.microsoft.com/office/drawing/2010/main" spid="_x0000_s717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17</xdr:col>
      <xdr:colOff>104775</xdr:colOff>
      <xdr:row>15</xdr:row>
      <xdr:rowOff>57150</xdr:rowOff>
    </xdr:from>
    <xdr:to>
      <xdr:col>19</xdr:col>
      <xdr:colOff>514350</xdr:colOff>
      <xdr:row>15</xdr:row>
      <xdr:rowOff>323850</xdr:rowOff>
    </xdr:to>
    <xdr:sp macro="" textlink="">
      <xdr:nvSpPr>
        <xdr:cNvPr id="7177" name="Scroll Bar 9" hidden="1">
          <a:extLst>
            <a:ext uri="{63B3BB69-23CF-44E3-9099-C40C66FF867C}">
              <a14:compatExt xmlns:a14="http://schemas.microsoft.com/office/drawing/2010/main" spid="_x0000_s717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2</xdr:col>
      <xdr:colOff>528204</xdr:colOff>
      <xdr:row>17</xdr:row>
      <xdr:rowOff>25970</xdr:rowOff>
    </xdr:from>
    <xdr:to>
      <xdr:col>9</xdr:col>
      <xdr:colOff>519544</xdr:colOff>
      <xdr:row>19</xdr:row>
      <xdr:rowOff>95250</xdr:rowOff>
    </xdr:to>
    <xdr:sp macro="" textlink="">
      <xdr:nvSpPr>
        <xdr:cNvPr id="17" name="U-Turn Arrow 16"/>
        <xdr:cNvSpPr/>
      </xdr:nvSpPr>
      <xdr:spPr>
        <a:xfrm flipV="1">
          <a:off x="1489363" y="3662788"/>
          <a:ext cx="4286249" cy="744689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155866</xdr:colOff>
      <xdr:row>17</xdr:row>
      <xdr:rowOff>43294</xdr:rowOff>
    </xdr:from>
    <xdr:to>
      <xdr:col>5</xdr:col>
      <xdr:colOff>562843</xdr:colOff>
      <xdr:row>20</xdr:row>
      <xdr:rowOff>277090</xdr:rowOff>
    </xdr:to>
    <xdr:sp macro="" textlink="">
      <xdr:nvSpPr>
        <xdr:cNvPr id="18" name="Right Arrow 17"/>
        <xdr:cNvSpPr/>
      </xdr:nvSpPr>
      <xdr:spPr>
        <a:xfrm rot="16200000">
          <a:off x="2463513" y="4152033"/>
          <a:ext cx="1350819" cy="406977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333374</xdr:colOff>
      <xdr:row>25</xdr:row>
      <xdr:rowOff>25969</xdr:rowOff>
    </xdr:from>
    <xdr:to>
      <xdr:col>39</xdr:col>
      <xdr:colOff>535781</xdr:colOff>
      <xdr:row>28</xdr:row>
      <xdr:rowOff>47624</xdr:rowOff>
    </xdr:to>
    <xdr:sp macro="" textlink="">
      <xdr:nvSpPr>
        <xdr:cNvPr id="21" name="U-Turn Arrow 20"/>
        <xdr:cNvSpPr/>
      </xdr:nvSpPr>
      <xdr:spPr>
        <a:xfrm flipH="1" flipV="1">
          <a:off x="18930937" y="9193782"/>
          <a:ext cx="2881313" cy="73603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619125</xdr:colOff>
          <xdr:row>13</xdr:row>
          <xdr:rowOff>57150</xdr:rowOff>
        </xdr:from>
        <xdr:to>
          <xdr:col>37</xdr:col>
          <xdr:colOff>581025</xdr:colOff>
          <xdr:row>14</xdr:row>
          <xdr:rowOff>342900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to working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21</xdr:row>
          <xdr:rowOff>133350</xdr:rowOff>
        </xdr:from>
        <xdr:to>
          <xdr:col>14</xdr:col>
          <xdr:colOff>971550</xdr:colOff>
          <xdr:row>21</xdr:row>
          <xdr:rowOff>352425</xdr:rowOff>
        </xdr:to>
        <xdr:sp macro="" textlink="">
          <xdr:nvSpPr>
            <xdr:cNvPr id="7179" name="Scroll Bar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22</xdr:row>
          <xdr:rowOff>85725</xdr:rowOff>
        </xdr:from>
        <xdr:to>
          <xdr:col>14</xdr:col>
          <xdr:colOff>971550</xdr:colOff>
          <xdr:row>22</xdr:row>
          <xdr:rowOff>304800</xdr:rowOff>
        </xdr:to>
        <xdr:sp macro="" textlink="">
          <xdr:nvSpPr>
            <xdr:cNvPr id="7180" name="Scroll Bar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23</xdr:row>
          <xdr:rowOff>95250</xdr:rowOff>
        </xdr:from>
        <xdr:to>
          <xdr:col>14</xdr:col>
          <xdr:colOff>971550</xdr:colOff>
          <xdr:row>23</xdr:row>
          <xdr:rowOff>314325</xdr:rowOff>
        </xdr:to>
        <xdr:sp macro="" textlink="">
          <xdr:nvSpPr>
            <xdr:cNvPr id="7181" name="Scroll Bar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114300</xdr:rowOff>
        </xdr:from>
        <xdr:to>
          <xdr:col>19</xdr:col>
          <xdr:colOff>923925</xdr:colOff>
          <xdr:row>15</xdr:row>
          <xdr:rowOff>333375</xdr:rowOff>
        </xdr:to>
        <xdr:sp macro="" textlink="">
          <xdr:nvSpPr>
            <xdr:cNvPr id="7182" name="Scroll Bar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16</xdr:row>
          <xdr:rowOff>104775</xdr:rowOff>
        </xdr:from>
        <xdr:to>
          <xdr:col>19</xdr:col>
          <xdr:colOff>923925</xdr:colOff>
          <xdr:row>16</xdr:row>
          <xdr:rowOff>323850</xdr:rowOff>
        </xdr:to>
        <xdr:sp macro="" textlink="">
          <xdr:nvSpPr>
            <xdr:cNvPr id="7183" name="Scroll Bar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95250</xdr:rowOff>
        </xdr:from>
        <xdr:to>
          <xdr:col>19</xdr:col>
          <xdr:colOff>933450</xdr:colOff>
          <xdr:row>17</xdr:row>
          <xdr:rowOff>314325</xdr:rowOff>
        </xdr:to>
        <xdr:sp macro="" textlink="">
          <xdr:nvSpPr>
            <xdr:cNvPr id="7184" name="Scroll Bar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119062</xdr:colOff>
      <xdr:row>0</xdr:row>
      <xdr:rowOff>95249</xdr:rowOff>
    </xdr:from>
    <xdr:to>
      <xdr:col>5</xdr:col>
      <xdr:colOff>726281</xdr:colOff>
      <xdr:row>8</xdr:row>
      <xdr:rowOff>202406</xdr:rowOff>
    </xdr:to>
    <xdr:sp macro="" textlink="">
      <xdr:nvSpPr>
        <xdr:cNvPr id="8" name="Rectangle 7"/>
        <xdr:cNvSpPr/>
      </xdr:nvSpPr>
      <xdr:spPr>
        <a:xfrm>
          <a:off x="119062" y="95249"/>
          <a:ext cx="3393282" cy="3178970"/>
        </a:xfrm>
        <a:prstGeom prst="rect">
          <a:avLst/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ysClr val="windowText" lastClr="000000"/>
              </a:solidFill>
            </a:rPr>
            <a:t>Instructions</a:t>
          </a:r>
        </a:p>
        <a:p>
          <a:pPr algn="l"/>
          <a:endParaRPr lang="en-GB" sz="1600">
            <a:solidFill>
              <a:sysClr val="windowText" lastClr="000000"/>
            </a:solidFill>
          </a:endParaRPr>
        </a:p>
        <a:p>
          <a:pPr algn="l"/>
          <a:r>
            <a:rPr lang="en-GB" sz="1600">
              <a:solidFill>
                <a:sysClr val="windowText" lastClr="000000"/>
              </a:solidFill>
            </a:rPr>
            <a:t>1. Your goal is to make this face smile!</a:t>
          </a:r>
        </a:p>
        <a:p>
          <a:pPr algn="l"/>
          <a:r>
            <a:rPr lang="en-GB" sz="1600">
              <a:solidFill>
                <a:sysClr val="windowText" lastClr="000000"/>
              </a:solidFill>
            </a:rPr>
            <a:t>2. There are 9 sliders on this</a:t>
          </a:r>
          <a:r>
            <a:rPr lang="en-GB" sz="1600" baseline="0">
              <a:solidFill>
                <a:sysClr val="windowText" lastClr="000000"/>
              </a:solidFill>
            </a:rPr>
            <a:t> page  .. slide the sliders to change the values in the network</a:t>
          </a:r>
        </a:p>
        <a:p>
          <a:pPr algn="l"/>
          <a:r>
            <a:rPr lang="en-GB" sz="1600" baseline="0">
              <a:solidFill>
                <a:sysClr val="windowText" lastClr="000000"/>
              </a:solidFill>
            </a:rPr>
            <a:t>3. Don't change any other values!</a:t>
          </a:r>
        </a:p>
        <a:p>
          <a:pPr algn="l"/>
          <a:r>
            <a:rPr lang="en-GB" sz="1600" baseline="0">
              <a:solidFill>
                <a:sysClr val="windowText" lastClr="000000"/>
              </a:solidFill>
            </a:rPr>
            <a:t>4. Slide the sliders until the face turns green and smiles!</a:t>
          </a:r>
        </a:p>
        <a:p>
          <a:pPr algn="l"/>
          <a:r>
            <a:rPr lang="en-GB" sz="1600" baseline="0">
              <a:solidFill>
                <a:sysClr val="windowText" lastClr="000000"/>
              </a:solidFill>
            </a:rPr>
            <a:t>5. You will get a smille when there are 4 green ticks in the table below!</a:t>
          </a:r>
        </a:p>
        <a:p>
          <a:pPr algn="l"/>
          <a:endParaRPr lang="en-GB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214312</xdr:colOff>
      <xdr:row>7</xdr:row>
      <xdr:rowOff>95250</xdr:rowOff>
    </xdr:from>
    <xdr:to>
      <xdr:col>6</xdr:col>
      <xdr:colOff>354807</xdr:colOff>
      <xdr:row>10</xdr:row>
      <xdr:rowOff>307181</xdr:rowOff>
    </xdr:to>
    <xdr:cxnSp macro="">
      <xdr:nvCxnSpPr>
        <xdr:cNvPr id="10" name="Straight Arrow Connector 9"/>
        <xdr:cNvCxnSpPr/>
      </xdr:nvCxnSpPr>
      <xdr:spPr>
        <a:xfrm>
          <a:off x="3000375" y="2762250"/>
          <a:ext cx="1033463" cy="1426369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33</xdr:row>
      <xdr:rowOff>142875</xdr:rowOff>
    </xdr:from>
    <xdr:to>
      <xdr:col>20</xdr:col>
      <xdr:colOff>301625</xdr:colOff>
      <xdr:row>45</xdr:row>
      <xdr:rowOff>47625</xdr:rowOff>
    </xdr:to>
    <xdr:sp macro="" textlink="">
      <xdr:nvSpPr>
        <xdr:cNvPr id="2" name="Rectangle 1"/>
        <xdr:cNvSpPr/>
      </xdr:nvSpPr>
      <xdr:spPr>
        <a:xfrm>
          <a:off x="571500" y="11604625"/>
          <a:ext cx="6048375" cy="4095750"/>
        </a:xfrm>
        <a:prstGeom prst="rect">
          <a:avLst/>
        </a:prstGeom>
        <a:solidFill>
          <a:srgbClr val="FFFF00"/>
        </a:solidFill>
        <a:effectLst>
          <a:outerShdw blurRad="304800" dist="533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>
              <a:solidFill>
                <a:schemeClr val="tx1"/>
              </a:solidFill>
            </a:rPr>
            <a:t>This tab is closely</a:t>
          </a:r>
          <a:r>
            <a:rPr lang="en-GB" sz="2800" baseline="0">
              <a:solidFill>
                <a:schemeClr val="tx1"/>
              </a:solidFill>
            </a:rPr>
            <a:t> based on the one developed by Jeremy Howard and presented in his lecture "Lecture 4 : Practical Deep Learning for Coders" , https://www.youtube.com/watch?v=V2h3IOBDvrA </a:t>
          </a:r>
          <a:endParaRPr lang="en-GB" sz="28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S206"/>
  <sheetViews>
    <sheetView showGridLines="0" showRowColHeaders="0" zoomScale="80" zoomScaleNormal="80" workbookViewId="0">
      <selection activeCell="AE6" sqref="AE6"/>
    </sheetView>
  </sheetViews>
  <sheetFormatPr defaultColWidth="9.140625" defaultRowHeight="15" x14ac:dyDescent="0.25"/>
  <cols>
    <col min="1" max="1" width="9.140625" style="63"/>
    <col min="2" max="2" width="15" style="64" customWidth="1"/>
    <col min="3" max="6" width="17.5703125" style="63" customWidth="1"/>
    <col min="7" max="35" width="9.140625" style="63"/>
    <col min="36" max="36" width="9.140625" style="64"/>
    <col min="37" max="37" width="12.5703125" style="64" bestFit="1" customWidth="1"/>
    <col min="38" max="40" width="12.5703125" style="64" customWidth="1"/>
    <col min="41" max="16384" width="9.140625" style="63"/>
  </cols>
  <sheetData>
    <row r="2" spans="1:45" ht="36" customHeight="1" x14ac:dyDescent="0.25">
      <c r="B2" s="69" t="s">
        <v>43</v>
      </c>
      <c r="C2" s="69" t="s">
        <v>39</v>
      </c>
      <c r="D2" s="69" t="s">
        <v>40</v>
      </c>
      <c r="E2" s="69" t="s">
        <v>41</v>
      </c>
      <c r="F2" s="69" t="s">
        <v>42</v>
      </c>
      <c r="AH2" s="63">
        <v>57</v>
      </c>
      <c r="AI2" s="63">
        <v>0.1</v>
      </c>
      <c r="AN2" s="64">
        <v>0.2</v>
      </c>
    </row>
    <row r="3" spans="1:45" s="65" customFormat="1" ht="36" customHeight="1" x14ac:dyDescent="0.4">
      <c r="B3" s="70">
        <f>(-AH2+50)/5</f>
        <v>-1.4</v>
      </c>
      <c r="C3" s="71">
        <f>1/(1+EXP(-B3))</f>
        <v>0.19781611144141825</v>
      </c>
      <c r="D3" s="71">
        <f>TANH(B3)</f>
        <v>-0.88535164820226242</v>
      </c>
      <c r="E3" s="71">
        <f>MAX(B3,0)</f>
        <v>0</v>
      </c>
      <c r="F3" s="71">
        <f>IF(B3&gt;=0,B3,B3*$AN$2)</f>
        <v>-0.27999999999999997</v>
      </c>
      <c r="AJ3" s="66"/>
      <c r="AK3" s="66"/>
      <c r="AL3" s="66"/>
      <c r="AM3" s="66"/>
      <c r="AN3" s="66"/>
      <c r="AR3" s="67" t="s">
        <v>38</v>
      </c>
      <c r="AS3" s="75" t="s">
        <v>4</v>
      </c>
    </row>
    <row r="4" spans="1:45" x14ac:dyDescent="0.25">
      <c r="B4" s="63"/>
      <c r="AQ4" s="63" t="s">
        <v>43</v>
      </c>
      <c r="AS4" s="63">
        <f>AR5</f>
        <v>-1.4</v>
      </c>
    </row>
    <row r="5" spans="1:45" ht="24.75" customHeight="1" x14ac:dyDescent="0.25">
      <c r="A5" s="72"/>
      <c r="B5" s="72"/>
      <c r="AJ5" s="67" t="s">
        <v>38</v>
      </c>
      <c r="AK5" s="67" t="s">
        <v>39</v>
      </c>
      <c r="AL5" s="67" t="s">
        <v>40</v>
      </c>
      <c r="AM5" s="67" t="s">
        <v>41</v>
      </c>
      <c r="AN5" s="67" t="s">
        <v>42</v>
      </c>
      <c r="AQ5" s="76" t="s">
        <v>39</v>
      </c>
      <c r="AR5" s="74">
        <f>$B$3</f>
        <v>-1.4</v>
      </c>
      <c r="AS5" s="77">
        <f>C3</f>
        <v>0.19781611144141825</v>
      </c>
    </row>
    <row r="6" spans="1:45" ht="25.5" customHeight="1" x14ac:dyDescent="0.25">
      <c r="A6" s="72"/>
      <c r="B6" s="72"/>
      <c r="AJ6" s="64">
        <v>-10</v>
      </c>
      <c r="AK6" s="68">
        <f>1/(1+EXP(-AJ6))</f>
        <v>4.5397868702434395E-5</v>
      </c>
      <c r="AL6" s="68">
        <f>TANH(AJ6)</f>
        <v>-0.99999999587769262</v>
      </c>
      <c r="AM6" s="68">
        <f>MAX(AJ6,0)</f>
        <v>0</v>
      </c>
      <c r="AN6" s="68">
        <f t="shared" ref="AN6:AN69" si="0">IF(AJ6&gt;=0,AJ6,AJ6*$AN$2)</f>
        <v>-2</v>
      </c>
      <c r="AQ6" s="63" t="s">
        <v>40</v>
      </c>
      <c r="AR6" s="74">
        <f t="shared" ref="AR6:AR10" si="1">$B$3</f>
        <v>-1.4</v>
      </c>
      <c r="AS6" s="77">
        <f>D3</f>
        <v>-0.88535164820226242</v>
      </c>
    </row>
    <row r="7" spans="1:45" x14ac:dyDescent="0.25">
      <c r="A7" s="72"/>
      <c r="B7" s="72"/>
      <c r="AJ7" s="64">
        <f t="shared" ref="AJ7:AJ38" si="2">AJ6+$AI$2</f>
        <v>-9.9</v>
      </c>
      <c r="AK7" s="68">
        <f t="shared" ref="AK7:AK70" si="3">1/(1+EXP(-AJ7))</f>
        <v>5.0172164683764205E-5</v>
      </c>
      <c r="AL7" s="68">
        <f t="shared" ref="AL7:AL70" si="4">TANH(AJ7)</f>
        <v>-0.99999999496500247</v>
      </c>
      <c r="AM7" s="68">
        <f t="shared" ref="AM7:AM70" si="5">MAX(AJ7,0)</f>
        <v>0</v>
      </c>
      <c r="AN7" s="68">
        <f t="shared" si="0"/>
        <v>-1.9800000000000002</v>
      </c>
      <c r="AQ7" s="63" t="s">
        <v>41</v>
      </c>
      <c r="AR7" s="74">
        <f t="shared" si="1"/>
        <v>-1.4</v>
      </c>
      <c r="AS7" s="77">
        <f>E3</f>
        <v>0</v>
      </c>
    </row>
    <row r="8" spans="1:45" x14ac:dyDescent="0.25">
      <c r="A8" s="72"/>
      <c r="B8" s="72"/>
      <c r="AJ8" s="64">
        <f t="shared" si="2"/>
        <v>-9.8000000000000007</v>
      </c>
      <c r="AK8" s="68">
        <f t="shared" si="3"/>
        <v>5.5448524722794907E-5</v>
      </c>
      <c r="AL8" s="68">
        <f t="shared" si="4"/>
        <v>-0.99999999385024008</v>
      </c>
      <c r="AM8" s="68">
        <f t="shared" si="5"/>
        <v>0</v>
      </c>
      <c r="AN8" s="68">
        <f t="shared" si="0"/>
        <v>-1.9600000000000002</v>
      </c>
      <c r="AQ8" s="63" t="s">
        <v>44</v>
      </c>
      <c r="AR8" s="74">
        <f t="shared" si="1"/>
        <v>-1.4</v>
      </c>
      <c r="AS8" s="77">
        <f>F3</f>
        <v>-0.27999999999999997</v>
      </c>
    </row>
    <row r="9" spans="1:45" x14ac:dyDescent="0.25">
      <c r="A9" s="72"/>
      <c r="B9" s="72"/>
      <c r="AJ9" s="64">
        <f t="shared" si="2"/>
        <v>-9.7000000000000011</v>
      </c>
      <c r="AK9" s="68">
        <f t="shared" si="3"/>
        <v>6.1279739616602373E-5</v>
      </c>
      <c r="AL9" s="68">
        <f t="shared" si="4"/>
        <v>-0.99999999248866644</v>
      </c>
      <c r="AM9" s="68">
        <f t="shared" si="5"/>
        <v>0</v>
      </c>
      <c r="AN9" s="68">
        <f t="shared" si="0"/>
        <v>-1.9400000000000004</v>
      </c>
      <c r="AR9" s="74">
        <f t="shared" si="1"/>
        <v>-1.4</v>
      </c>
      <c r="AS9" s="74"/>
    </row>
    <row r="10" spans="1:45" x14ac:dyDescent="0.25">
      <c r="A10" s="72"/>
      <c r="B10" s="72"/>
      <c r="AJ10" s="64">
        <f t="shared" si="2"/>
        <v>-9.6000000000000014</v>
      </c>
      <c r="AK10" s="68">
        <f t="shared" si="3"/>
        <v>6.7724149619770109E-5</v>
      </c>
      <c r="AL10" s="68">
        <f t="shared" si="4"/>
        <v>-0.99999999082563651</v>
      </c>
      <c r="AM10" s="68">
        <f t="shared" si="5"/>
        <v>0</v>
      </c>
      <c r="AN10" s="68">
        <f t="shared" si="0"/>
        <v>-1.9200000000000004</v>
      </c>
      <c r="AR10" s="74">
        <f t="shared" si="1"/>
        <v>-1.4</v>
      </c>
      <c r="AS10" s="74"/>
    </row>
    <row r="11" spans="1:45" x14ac:dyDescent="0.25">
      <c r="A11" s="72"/>
      <c r="B11" s="72"/>
      <c r="AJ11" s="64">
        <f t="shared" si="2"/>
        <v>-9.5000000000000018</v>
      </c>
      <c r="AK11" s="68">
        <f t="shared" si="3"/>
        <v>7.4846227510611094E-5</v>
      </c>
      <c r="AL11" s="68">
        <f t="shared" si="4"/>
        <v>-0.9999999887944071</v>
      </c>
      <c r="AM11" s="68">
        <f t="shared" si="5"/>
        <v>0</v>
      </c>
      <c r="AN11" s="68">
        <f t="shared" si="0"/>
        <v>-1.9000000000000004</v>
      </c>
      <c r="AR11" s="74"/>
      <c r="AS11" s="74"/>
    </row>
    <row r="12" spans="1:45" x14ac:dyDescent="0.25">
      <c r="A12" s="72"/>
      <c r="B12" s="72"/>
      <c r="AJ12" s="64">
        <f t="shared" si="2"/>
        <v>-9.4000000000000021</v>
      </c>
      <c r="AK12" s="68">
        <f t="shared" si="3"/>
        <v>8.2717222851666239E-5</v>
      </c>
      <c r="AL12" s="68">
        <f t="shared" si="4"/>
        <v>-0.9999999863134581</v>
      </c>
      <c r="AM12" s="68">
        <f t="shared" si="5"/>
        <v>0</v>
      </c>
      <c r="AN12" s="68">
        <f t="shared" si="0"/>
        <v>-1.8800000000000006</v>
      </c>
      <c r="AR12" s="74"/>
      <c r="AS12" s="74"/>
    </row>
    <row r="13" spans="1:45" x14ac:dyDescent="0.25">
      <c r="A13" s="72"/>
      <c r="B13" s="72"/>
      <c r="AJ13" s="64">
        <f t="shared" si="2"/>
        <v>-9.3000000000000025</v>
      </c>
      <c r="AK13" s="68">
        <f t="shared" si="3"/>
        <v>9.1415873852161264E-5</v>
      </c>
      <c r="AL13" s="68">
        <f t="shared" si="4"/>
        <v>-0.99999998328321982</v>
      </c>
      <c r="AM13" s="68">
        <f t="shared" si="5"/>
        <v>0</v>
      </c>
      <c r="AN13" s="68">
        <f t="shared" si="0"/>
        <v>-1.8600000000000005</v>
      </c>
    </row>
    <row r="14" spans="1:45" x14ac:dyDescent="0.25">
      <c r="A14" s="72"/>
      <c r="B14" s="72"/>
      <c r="AJ14" s="64">
        <f t="shared" si="2"/>
        <v>-9.2000000000000028</v>
      </c>
      <c r="AK14" s="68">
        <f t="shared" si="3"/>
        <v>1.0102919390777254E-4</v>
      </c>
      <c r="AL14" s="68">
        <f t="shared" si="4"/>
        <v>-0.99999997958207865</v>
      </c>
      <c r="AM14" s="68">
        <f t="shared" si="5"/>
        <v>0</v>
      </c>
      <c r="AN14" s="68">
        <f t="shared" si="0"/>
        <v>-1.8400000000000007</v>
      </c>
    </row>
    <row r="15" spans="1:45" x14ac:dyDescent="0.25">
      <c r="A15" s="72"/>
      <c r="B15" s="72"/>
      <c r="AJ15" s="64">
        <f t="shared" si="2"/>
        <v>-9.1000000000000032</v>
      </c>
      <c r="AK15" s="68">
        <f t="shared" si="3"/>
        <v>1.1165334062956235E-4</v>
      </c>
      <c r="AL15" s="68">
        <f t="shared" si="4"/>
        <v>-0.99999997506149496</v>
      </c>
      <c r="AM15" s="68">
        <f t="shared" si="5"/>
        <v>0</v>
      </c>
      <c r="AN15" s="68">
        <f t="shared" si="0"/>
        <v>-1.8200000000000007</v>
      </c>
    </row>
    <row r="16" spans="1:45" x14ac:dyDescent="0.25">
      <c r="A16" s="72"/>
      <c r="B16" s="72"/>
      <c r="AJ16" s="64">
        <f t="shared" si="2"/>
        <v>-9.0000000000000036</v>
      </c>
      <c r="AK16" s="68">
        <f t="shared" si="3"/>
        <v>1.2339457598623129E-4</v>
      </c>
      <c r="AL16" s="68">
        <f t="shared" si="4"/>
        <v>-0.99999996954004089</v>
      </c>
      <c r="AM16" s="68">
        <f t="shared" si="5"/>
        <v>0</v>
      </c>
      <c r="AN16" s="68">
        <f t="shared" si="0"/>
        <v>-1.8000000000000007</v>
      </c>
    </row>
    <row r="17" spans="1:40" x14ac:dyDescent="0.25">
      <c r="A17" s="72"/>
      <c r="B17" s="72"/>
      <c r="AJ17" s="64">
        <f t="shared" si="2"/>
        <v>-8.9000000000000039</v>
      </c>
      <c r="AK17" s="68">
        <f t="shared" si="3"/>
        <v>1.3637032707949654E-4</v>
      </c>
      <c r="AL17" s="68">
        <f t="shared" si="4"/>
        <v>-0.99999996279612202</v>
      </c>
      <c r="AM17" s="68">
        <f t="shared" si="5"/>
        <v>0</v>
      </c>
      <c r="AN17" s="68">
        <f t="shared" si="0"/>
        <v>-1.7800000000000009</v>
      </c>
    </row>
    <row r="18" spans="1:40" x14ac:dyDescent="0.25">
      <c r="A18" s="72"/>
      <c r="B18" s="72"/>
      <c r="AJ18" s="64">
        <f t="shared" si="2"/>
        <v>-8.8000000000000043</v>
      </c>
      <c r="AK18" s="68">
        <f t="shared" si="3"/>
        <v>1.5071035805975686E-4</v>
      </c>
      <c r="AL18" s="68">
        <f t="shared" si="4"/>
        <v>-0.99999995455908108</v>
      </c>
      <c r="AM18" s="68">
        <f t="shared" si="5"/>
        <v>0</v>
      </c>
      <c r="AN18" s="68">
        <f t="shared" si="0"/>
        <v>-1.7600000000000009</v>
      </c>
    </row>
    <row r="19" spans="1:40" x14ac:dyDescent="0.25">
      <c r="A19" s="72"/>
      <c r="B19" s="72"/>
      <c r="AJ19" s="64">
        <f t="shared" si="2"/>
        <v>-8.7000000000000046</v>
      </c>
      <c r="AK19" s="68">
        <f t="shared" si="3"/>
        <v>1.6655806477733519E-4</v>
      </c>
      <c r="AL19" s="68">
        <f t="shared" si="4"/>
        <v>-0.99999994449833673</v>
      </c>
      <c r="AM19" s="68">
        <f t="shared" si="5"/>
        <v>0</v>
      </c>
      <c r="AN19" s="68">
        <f t="shared" si="0"/>
        <v>-1.7400000000000011</v>
      </c>
    </row>
    <row r="20" spans="1:40" x14ac:dyDescent="0.25">
      <c r="A20" s="72"/>
      <c r="B20" s="72"/>
      <c r="AJ20" s="64">
        <f t="shared" si="2"/>
        <v>-8.600000000000005</v>
      </c>
      <c r="AK20" s="68">
        <f t="shared" si="3"/>
        <v>1.8407190496342303E-4</v>
      </c>
      <c r="AL20" s="68">
        <f t="shared" si="4"/>
        <v>-0.99999993221011574</v>
      </c>
      <c r="AM20" s="68">
        <f t="shared" si="5"/>
        <v>0</v>
      </c>
      <c r="AN20" s="68">
        <f t="shared" si="0"/>
        <v>-1.7200000000000011</v>
      </c>
    </row>
    <row r="21" spans="1:40" x14ac:dyDescent="0.25">
      <c r="A21" s="72"/>
      <c r="B21" s="72"/>
      <c r="AJ21" s="64">
        <f t="shared" si="2"/>
        <v>-8.5000000000000053</v>
      </c>
      <c r="AK21" s="68">
        <f t="shared" si="3"/>
        <v>2.0342697805520542E-4</v>
      </c>
      <c r="AL21" s="68">
        <f t="shared" si="4"/>
        <v>-0.99999991720124892</v>
      </c>
      <c r="AM21" s="68">
        <f t="shared" si="5"/>
        <v>0</v>
      </c>
      <c r="AN21" s="68">
        <f t="shared" si="0"/>
        <v>-1.7000000000000011</v>
      </c>
    </row>
    <row r="22" spans="1:40" x14ac:dyDescent="0.25">
      <c r="A22" s="72"/>
      <c r="B22" s="72"/>
      <c r="AJ22" s="64">
        <f t="shared" si="2"/>
        <v>-8.4000000000000057</v>
      </c>
      <c r="AK22" s="68">
        <f t="shared" si="3"/>
        <v>2.2481677023329411E-4</v>
      </c>
      <c r="AL22" s="68">
        <f t="shared" si="4"/>
        <v>-0.99999989886937801</v>
      </c>
      <c r="AM22" s="68">
        <f t="shared" si="5"/>
        <v>0</v>
      </c>
      <c r="AN22" s="68">
        <f t="shared" si="0"/>
        <v>-1.6800000000000013</v>
      </c>
    </row>
    <row r="23" spans="1:40" x14ac:dyDescent="0.25">
      <c r="A23" s="72"/>
      <c r="B23" s="72"/>
      <c r="AJ23" s="64">
        <f t="shared" si="2"/>
        <v>-8.300000000000006</v>
      </c>
      <c r="AK23" s="68">
        <f t="shared" si="3"/>
        <v>2.4845508183933296E-4</v>
      </c>
      <c r="AL23" s="68">
        <f t="shared" si="4"/>
        <v>-0.99999987647878097</v>
      </c>
      <c r="AM23" s="68">
        <f t="shared" si="5"/>
        <v>0</v>
      </c>
      <c r="AN23" s="68">
        <f t="shared" si="0"/>
        <v>-1.6600000000000013</v>
      </c>
    </row>
    <row r="24" spans="1:40" x14ac:dyDescent="0.25">
      <c r="A24" s="72"/>
      <c r="B24" s="72"/>
      <c r="AJ24" s="64">
        <f t="shared" si="2"/>
        <v>-8.2000000000000064</v>
      </c>
      <c r="AK24" s="68">
        <f t="shared" si="3"/>
        <v>2.7457815610133096E-4</v>
      </c>
      <c r="AL24" s="68">
        <f t="shared" si="4"/>
        <v>-0.99999984913084428</v>
      </c>
      <c r="AM24" s="68">
        <f t="shared" si="5"/>
        <v>0</v>
      </c>
      <c r="AN24" s="68">
        <f t="shared" si="0"/>
        <v>-1.6400000000000015</v>
      </c>
    </row>
    <row r="25" spans="1:40" x14ac:dyDescent="0.25">
      <c r="A25" s="72"/>
      <c r="B25" s="72"/>
      <c r="AJ25" s="64">
        <f t="shared" si="2"/>
        <v>-8.1000000000000068</v>
      </c>
      <c r="AK25" s="68">
        <f t="shared" si="3"/>
        <v>3.0344703002891705E-4</v>
      </c>
      <c r="AL25" s="68">
        <f t="shared" si="4"/>
        <v>-0.99999981572800023</v>
      </c>
      <c r="AM25" s="68">
        <f t="shared" si="5"/>
        <v>0</v>
      </c>
      <c r="AN25" s="68">
        <f t="shared" si="0"/>
        <v>-1.6200000000000014</v>
      </c>
    </row>
    <row r="26" spans="1:40" x14ac:dyDescent="0.25">
      <c r="A26" s="72"/>
      <c r="B26" s="72"/>
      <c r="AJ26" s="64">
        <f t="shared" si="2"/>
        <v>-8.0000000000000071</v>
      </c>
      <c r="AK26" s="68">
        <f t="shared" si="3"/>
        <v>3.3535013046647572E-4</v>
      </c>
      <c r="AL26" s="68">
        <f t="shared" si="4"/>
        <v>-0.99999977492967596</v>
      </c>
      <c r="AM26" s="68">
        <f t="shared" si="5"/>
        <v>0</v>
      </c>
      <c r="AN26" s="68">
        <f t="shared" si="0"/>
        <v>-1.6000000000000014</v>
      </c>
    </row>
    <row r="27" spans="1:40" x14ac:dyDescent="0.25">
      <c r="A27" s="72"/>
      <c r="B27" s="72"/>
      <c r="AJ27" s="64">
        <f t="shared" si="2"/>
        <v>-7.9000000000000075</v>
      </c>
      <c r="AK27" s="68">
        <f t="shared" si="3"/>
        <v>3.7060614062639388E-4</v>
      </c>
      <c r="AL27" s="68">
        <f t="shared" si="4"/>
        <v>-0.99999972509849233</v>
      </c>
      <c r="AM27" s="68">
        <f t="shared" si="5"/>
        <v>0</v>
      </c>
      <c r="AN27" s="68">
        <f t="shared" si="0"/>
        <v>-1.5800000000000016</v>
      </c>
    </row>
    <row r="28" spans="1:40" x14ac:dyDescent="0.25">
      <c r="A28" s="72"/>
      <c r="B28" s="73"/>
      <c r="AJ28" s="64">
        <f t="shared" si="2"/>
        <v>-7.8000000000000078</v>
      </c>
      <c r="AK28" s="68">
        <f t="shared" si="3"/>
        <v>4.0956716498604718E-4</v>
      </c>
      <c r="AL28" s="68">
        <f t="shared" si="4"/>
        <v>-0.99999966423455056</v>
      </c>
      <c r="AM28" s="68">
        <f t="shared" si="5"/>
        <v>0</v>
      </c>
      <c r="AN28" s="68">
        <f t="shared" si="0"/>
        <v>-1.5600000000000016</v>
      </c>
    </row>
    <row r="29" spans="1:40" x14ac:dyDescent="0.25">
      <c r="A29" s="72"/>
      <c r="B29" s="73"/>
      <c r="AJ29" s="64">
        <f t="shared" si="2"/>
        <v>-7.7000000000000082</v>
      </c>
      <c r="AK29" s="68">
        <f t="shared" si="3"/>
        <v>4.5262222324053138E-4</v>
      </c>
      <c r="AL29" s="68">
        <f t="shared" si="4"/>
        <v>-0.99999958989516891</v>
      </c>
      <c r="AM29" s="68">
        <f t="shared" si="5"/>
        <v>0</v>
      </c>
      <c r="AN29" s="68">
        <f t="shared" si="0"/>
        <v>-1.5400000000000018</v>
      </c>
    </row>
    <row r="30" spans="1:40" x14ac:dyDescent="0.25">
      <c r="A30" s="72"/>
      <c r="B30" s="73"/>
      <c r="AJ30" s="64">
        <f t="shared" si="2"/>
        <v>-7.6000000000000085</v>
      </c>
      <c r="AK30" s="68">
        <f t="shared" si="3"/>
        <v>5.0020110707955988E-4</v>
      </c>
      <c r="AL30" s="68">
        <f t="shared" si="4"/>
        <v>-0.99999949909685093</v>
      </c>
      <c r="AM30" s="68">
        <f t="shared" si="5"/>
        <v>0</v>
      </c>
      <c r="AN30" s="68">
        <f t="shared" si="0"/>
        <v>-1.5200000000000018</v>
      </c>
    </row>
    <row r="31" spans="1:40" x14ac:dyDescent="0.25">
      <c r="A31" s="72"/>
      <c r="B31" s="73"/>
      <c r="AJ31" s="64">
        <f t="shared" si="2"/>
        <v>-7.5000000000000089</v>
      </c>
      <c r="AK31" s="68">
        <f t="shared" si="3"/>
        <v>5.5277863692359457E-4</v>
      </c>
      <c r="AL31" s="68">
        <f t="shared" si="4"/>
        <v>-0.99999938819554623</v>
      </c>
      <c r="AM31" s="68">
        <f t="shared" si="5"/>
        <v>0</v>
      </c>
      <c r="AN31" s="68">
        <f t="shared" si="0"/>
        <v>-1.5000000000000018</v>
      </c>
    </row>
    <row r="32" spans="1:40" x14ac:dyDescent="0.25">
      <c r="A32" s="72"/>
      <c r="B32" s="73"/>
      <c r="AJ32" s="64">
        <f t="shared" si="2"/>
        <v>-7.4000000000000092</v>
      </c>
      <c r="AK32" s="68">
        <f t="shared" si="3"/>
        <v>6.1087935943439559E-4</v>
      </c>
      <c r="AL32" s="68">
        <f t="shared" si="4"/>
        <v>-0.99999925274040335</v>
      </c>
      <c r="AM32" s="68">
        <f t="shared" si="5"/>
        <v>0</v>
      </c>
      <c r="AN32" s="68">
        <f t="shared" si="0"/>
        <v>-1.480000000000002</v>
      </c>
    </row>
    <row r="33" spans="1:40" x14ac:dyDescent="0.25">
      <c r="A33" s="72"/>
      <c r="B33" s="73"/>
      <c r="AJ33" s="64">
        <f t="shared" si="2"/>
        <v>-7.3000000000000096</v>
      </c>
      <c r="AK33" s="68">
        <f t="shared" si="3"/>
        <v>6.7508273063283161E-4</v>
      </c>
      <c r="AL33" s="68">
        <f t="shared" si="4"/>
        <v>-0.99999908729514309</v>
      </c>
      <c r="AM33" s="68">
        <f t="shared" si="5"/>
        <v>0</v>
      </c>
      <c r="AN33" s="68">
        <f t="shared" si="0"/>
        <v>-1.460000000000002</v>
      </c>
    </row>
    <row r="34" spans="1:40" x14ac:dyDescent="0.25">
      <c r="A34" s="72"/>
      <c r="B34" s="73"/>
      <c r="AJ34" s="64">
        <f t="shared" si="2"/>
        <v>-7.2000000000000099</v>
      </c>
      <c r="AK34" s="68">
        <f t="shared" si="3"/>
        <v>7.4602883383668962E-4</v>
      </c>
      <c r="AL34" s="68">
        <f t="shared" si="4"/>
        <v>-0.99999888521988278</v>
      </c>
      <c r="AM34" s="68">
        <f t="shared" si="5"/>
        <v>0</v>
      </c>
      <c r="AN34" s="68">
        <f t="shared" si="0"/>
        <v>-1.4400000000000022</v>
      </c>
    </row>
    <row r="35" spans="1:40" x14ac:dyDescent="0.25">
      <c r="A35" s="72"/>
      <c r="B35" s="73"/>
      <c r="AJ35" s="64">
        <f t="shared" si="2"/>
        <v>-7.1000000000000103</v>
      </c>
      <c r="AK35" s="68">
        <f t="shared" si="3"/>
        <v>8.2442468639828655E-4</v>
      </c>
      <c r="AL35" s="68">
        <f t="shared" si="4"/>
        <v>-0.99999863840465819</v>
      </c>
      <c r="AM35" s="68">
        <f t="shared" si="5"/>
        <v>0</v>
      </c>
      <c r="AN35" s="68">
        <f t="shared" si="0"/>
        <v>-1.4200000000000021</v>
      </c>
    </row>
    <row r="36" spans="1:40" x14ac:dyDescent="0.25">
      <c r="A36" s="72"/>
      <c r="B36" s="73"/>
      <c r="AJ36" s="64">
        <f t="shared" si="2"/>
        <v>-7.0000000000000107</v>
      </c>
      <c r="AK36" s="68">
        <f t="shared" si="3"/>
        <v>9.1105119440063563E-4</v>
      </c>
      <c r="AL36" s="68">
        <f t="shared" si="4"/>
        <v>-0.99999833694394469</v>
      </c>
      <c r="AM36" s="68">
        <f t="shared" si="5"/>
        <v>0</v>
      </c>
      <c r="AN36" s="68">
        <f t="shared" si="0"/>
        <v>-1.4000000000000021</v>
      </c>
    </row>
    <row r="37" spans="1:40" x14ac:dyDescent="0.25">
      <c r="A37" s="72"/>
      <c r="B37" s="73"/>
      <c r="AJ37" s="64">
        <f t="shared" si="2"/>
        <v>-6.900000000000011</v>
      </c>
      <c r="AK37" s="68">
        <f t="shared" si="3"/>
        <v>1.0067708200856261E-3</v>
      </c>
      <c r="AL37" s="68">
        <f t="shared" si="4"/>
        <v>-0.99999796873912106</v>
      </c>
      <c r="AM37" s="68">
        <f t="shared" si="5"/>
        <v>0</v>
      </c>
      <c r="AN37" s="68">
        <f t="shared" si="0"/>
        <v>-1.3800000000000023</v>
      </c>
    </row>
    <row r="38" spans="1:40" x14ac:dyDescent="0.25">
      <c r="A38" s="72"/>
      <c r="B38" s="73"/>
      <c r="AJ38" s="64">
        <f t="shared" si="2"/>
        <v>-6.8000000000000114</v>
      </c>
      <c r="AK38" s="68">
        <f t="shared" si="3"/>
        <v>1.1125360328603088E-3</v>
      </c>
      <c r="AL38" s="68">
        <f t="shared" si="4"/>
        <v>-0.99999751901291778</v>
      </c>
      <c r="AM38" s="68">
        <f t="shared" si="5"/>
        <v>0</v>
      </c>
      <c r="AN38" s="68">
        <f t="shared" si="0"/>
        <v>-1.3600000000000023</v>
      </c>
    </row>
    <row r="39" spans="1:40" x14ac:dyDescent="0.25">
      <c r="A39" s="72"/>
      <c r="B39" s="73"/>
      <c r="AJ39" s="64">
        <f t="shared" ref="AJ39:AJ70" si="6">AJ38+$AI$2</f>
        <v>-6.7000000000000117</v>
      </c>
      <c r="AK39" s="68">
        <f t="shared" si="3"/>
        <v>1.2293986212774061E-3</v>
      </c>
      <c r="AL39" s="68">
        <f t="shared" si="4"/>
        <v>-0.99999696971636709</v>
      </c>
      <c r="AM39" s="68">
        <f t="shared" si="5"/>
        <v>0</v>
      </c>
      <c r="AN39" s="68">
        <f t="shared" si="0"/>
        <v>-1.3400000000000025</v>
      </c>
    </row>
    <row r="40" spans="1:40" x14ac:dyDescent="0.25">
      <c r="A40" s="72"/>
      <c r="B40" s="73"/>
      <c r="AJ40" s="64">
        <f t="shared" si="6"/>
        <v>-6.6000000000000121</v>
      </c>
      <c r="AK40" s="68">
        <f t="shared" si="3"/>
        <v>1.3585199504289425E-3</v>
      </c>
      <c r="AL40" s="68">
        <f t="shared" si="4"/>
        <v>-0.99999629880445418</v>
      </c>
      <c r="AM40" s="68">
        <f t="shared" si="5"/>
        <v>0</v>
      </c>
      <c r="AN40" s="68">
        <f t="shared" si="0"/>
        <v>-1.3200000000000025</v>
      </c>
    </row>
    <row r="41" spans="1:40" x14ac:dyDescent="0.25">
      <c r="A41" s="72"/>
      <c r="B41" s="73"/>
      <c r="AJ41" s="64">
        <f t="shared" si="6"/>
        <v>-6.5000000000000124</v>
      </c>
      <c r="AK41" s="68">
        <f t="shared" si="3"/>
        <v>1.5011822567369728E-3</v>
      </c>
      <c r="AL41" s="68">
        <f t="shared" si="4"/>
        <v>-0.99999547935140409</v>
      </c>
      <c r="AM41" s="68">
        <f t="shared" si="5"/>
        <v>0</v>
      </c>
      <c r="AN41" s="68">
        <f t="shared" si="0"/>
        <v>-1.3000000000000025</v>
      </c>
    </row>
    <row r="42" spans="1:40" x14ac:dyDescent="0.25">
      <c r="A42" s="72"/>
      <c r="B42" s="73"/>
      <c r="AJ42" s="64">
        <f t="shared" si="6"/>
        <v>-6.4000000000000128</v>
      </c>
      <c r="AK42" s="68">
        <f t="shared" si="3"/>
        <v>1.6588010801744009E-3</v>
      </c>
      <c r="AL42" s="68">
        <f t="shared" si="4"/>
        <v>-0.99999447847009948</v>
      </c>
      <c r="AM42" s="68">
        <f t="shared" si="5"/>
        <v>0</v>
      </c>
      <c r="AN42" s="68">
        <f t="shared" si="0"/>
        <v>-1.2800000000000027</v>
      </c>
    </row>
    <row r="43" spans="1:40" x14ac:dyDescent="0.25">
      <c r="A43" s="72"/>
      <c r="B43" s="73"/>
      <c r="AJ43" s="64">
        <f t="shared" si="6"/>
        <v>-6.3000000000000131</v>
      </c>
      <c r="AK43" s="68">
        <f t="shared" si="3"/>
        <v>1.8329389424927812E-3</v>
      </c>
      <c r="AL43" s="68">
        <f t="shared" si="4"/>
        <v>-0.99999325599227251</v>
      </c>
      <c r="AM43" s="68">
        <f t="shared" si="5"/>
        <v>0</v>
      </c>
      <c r="AN43" s="68">
        <f t="shared" si="0"/>
        <v>-1.2600000000000027</v>
      </c>
    </row>
    <row r="44" spans="1:40" x14ac:dyDescent="0.25">
      <c r="B44" s="68"/>
      <c r="AJ44" s="64">
        <f t="shared" si="6"/>
        <v>-6.2000000000000135</v>
      </c>
      <c r="AK44" s="68">
        <f t="shared" si="3"/>
        <v>2.025320389049855E-3</v>
      </c>
      <c r="AL44" s="68">
        <f t="shared" si="4"/>
        <v>-0.99999176285651037</v>
      </c>
      <c r="AM44" s="68">
        <f t="shared" si="5"/>
        <v>0</v>
      </c>
      <c r="AN44" s="68">
        <f t="shared" si="0"/>
        <v>-1.2400000000000029</v>
      </c>
    </row>
    <row r="45" spans="1:40" x14ac:dyDescent="0.25">
      <c r="B45" s="68"/>
      <c r="AJ45" s="64">
        <f t="shared" si="6"/>
        <v>-6.1000000000000139</v>
      </c>
      <c r="AK45" s="68">
        <f t="shared" si="3"/>
        <v>2.2378485212763018E-3</v>
      </c>
      <c r="AL45" s="68">
        <f t="shared" si="4"/>
        <v>-0.99998993913939649</v>
      </c>
      <c r="AM45" s="68">
        <f t="shared" si="5"/>
        <v>0</v>
      </c>
      <c r="AN45" s="68">
        <f t="shared" si="0"/>
        <v>-1.2200000000000029</v>
      </c>
    </row>
    <row r="46" spans="1:40" x14ac:dyDescent="0.25">
      <c r="B46" s="68"/>
      <c r="AJ46" s="64">
        <f t="shared" si="6"/>
        <v>-6.0000000000000142</v>
      </c>
      <c r="AK46" s="68">
        <f t="shared" si="3"/>
        <v>2.4726231566347392E-3</v>
      </c>
      <c r="AL46" s="68">
        <f t="shared" si="4"/>
        <v>-0.99998771165079559</v>
      </c>
      <c r="AM46" s="68">
        <f t="shared" si="5"/>
        <v>0</v>
      </c>
      <c r="AN46" s="68">
        <f t="shared" si="0"/>
        <v>-1.2000000000000028</v>
      </c>
    </row>
    <row r="47" spans="1:40" x14ac:dyDescent="0.25">
      <c r="B47" s="68"/>
      <c r="AJ47" s="64">
        <f t="shared" si="6"/>
        <v>-5.9000000000000146</v>
      </c>
      <c r="AK47" s="68">
        <f t="shared" si="3"/>
        <v>2.7319607630110201E-3</v>
      </c>
      <c r="AL47" s="68">
        <f t="shared" si="4"/>
        <v>-0.99998499099680582</v>
      </c>
      <c r="AM47" s="68">
        <f t="shared" si="5"/>
        <v>0</v>
      </c>
      <c r="AN47" s="68">
        <f t="shared" si="0"/>
        <v>-1.180000000000003</v>
      </c>
    </row>
    <row r="48" spans="1:40" x14ac:dyDescent="0.25">
      <c r="B48" s="68"/>
      <c r="AJ48" s="64">
        <f t="shared" si="6"/>
        <v>-5.8000000000000149</v>
      </c>
      <c r="AK48" s="68">
        <f t="shared" si="3"/>
        <v>3.018416324708379E-3</v>
      </c>
      <c r="AL48" s="68">
        <f t="shared" si="4"/>
        <v>-0.99998166799256039</v>
      </c>
      <c r="AM48" s="68">
        <f t="shared" si="5"/>
        <v>0</v>
      </c>
      <c r="AN48" s="68">
        <f t="shared" si="0"/>
        <v>-1.160000000000003</v>
      </c>
    </row>
    <row r="49" spans="2:40" x14ac:dyDescent="0.25">
      <c r="B49" s="68"/>
      <c r="AJ49" s="64">
        <f t="shared" si="6"/>
        <v>-5.7000000000000153</v>
      </c>
      <c r="AK49" s="68">
        <f t="shared" si="3"/>
        <v>3.3348073074132944E-3</v>
      </c>
      <c r="AL49" s="68">
        <f t="shared" si="4"/>
        <v>-0.99997760928098978</v>
      </c>
      <c r="AM49" s="68">
        <f t="shared" si="5"/>
        <v>0</v>
      </c>
      <c r="AN49" s="68">
        <f t="shared" si="0"/>
        <v>-1.140000000000003</v>
      </c>
    </row>
    <row r="50" spans="2:40" x14ac:dyDescent="0.25">
      <c r="B50" s="68"/>
      <c r="AJ50" s="64">
        <f t="shared" si="6"/>
        <v>-5.6000000000000156</v>
      </c>
      <c r="AK50" s="68">
        <f t="shared" si="3"/>
        <v>3.6842398994359304E-3</v>
      </c>
      <c r="AL50" s="68">
        <f t="shared" si="4"/>
        <v>-0.99997265198183094</v>
      </c>
      <c r="AM50" s="68">
        <f t="shared" si="5"/>
        <v>0</v>
      </c>
      <c r="AN50" s="68">
        <f t="shared" si="0"/>
        <v>-1.1200000000000032</v>
      </c>
    </row>
    <row r="51" spans="2:40" x14ac:dyDescent="0.25">
      <c r="B51" s="68"/>
      <c r="AJ51" s="64">
        <f t="shared" si="6"/>
        <v>-5.500000000000016</v>
      </c>
      <c r="AK51" s="68">
        <f t="shared" si="3"/>
        <v>4.0701377158960626E-3</v>
      </c>
      <c r="AL51" s="68">
        <f t="shared" si="4"/>
        <v>-0.99996659715630376</v>
      </c>
      <c r="AM51" s="68">
        <f t="shared" si="5"/>
        <v>0</v>
      </c>
      <c r="AN51" s="68">
        <f t="shared" si="0"/>
        <v>-1.1000000000000032</v>
      </c>
    </row>
    <row r="52" spans="2:40" x14ac:dyDescent="0.25">
      <c r="B52" s="68"/>
      <c r="AJ52" s="64">
        <f t="shared" si="6"/>
        <v>-5.4000000000000163</v>
      </c>
      <c r="AK52" s="68">
        <f t="shared" si="3"/>
        <v>4.4962731609411071E-3</v>
      </c>
      <c r="AL52" s="68">
        <f t="shared" si="4"/>
        <v>-0.99995920182544018</v>
      </c>
      <c r="AM52" s="68">
        <f t="shared" si="5"/>
        <v>0</v>
      </c>
      <c r="AN52" s="68">
        <f t="shared" si="0"/>
        <v>-1.0800000000000034</v>
      </c>
    </row>
    <row r="53" spans="2:40" x14ac:dyDescent="0.25">
      <c r="B53" s="68"/>
      <c r="AJ53" s="64">
        <f t="shared" si="6"/>
        <v>-5.3000000000000167</v>
      </c>
      <c r="AK53" s="68">
        <f t="shared" si="3"/>
        <v>4.966801650056878E-3</v>
      </c>
      <c r="AL53" s="68">
        <f t="shared" si="4"/>
        <v>-0.99995016922212121</v>
      </c>
      <c r="AM53" s="68">
        <f t="shared" si="5"/>
        <v>0</v>
      </c>
      <c r="AN53" s="68">
        <f t="shared" si="0"/>
        <v>-1.0600000000000034</v>
      </c>
    </row>
    <row r="54" spans="2:40" x14ac:dyDescent="0.25">
      <c r="B54" s="68"/>
      <c r="AJ54" s="64">
        <f t="shared" si="6"/>
        <v>-5.2000000000000171</v>
      </c>
      <c r="AK54" s="68">
        <f t="shared" si="3"/>
        <v>5.4862988994503125E-3</v>
      </c>
      <c r="AL54" s="68">
        <f t="shared" si="4"/>
        <v>-0.99993913688619884</v>
      </c>
      <c r="AM54" s="68">
        <f t="shared" si="5"/>
        <v>0</v>
      </c>
      <c r="AN54" s="68">
        <f t="shared" si="0"/>
        <v>-1.0400000000000034</v>
      </c>
    </row>
    <row r="55" spans="2:40" x14ac:dyDescent="0.25">
      <c r="B55" s="68"/>
      <c r="AJ55" s="64">
        <f t="shared" si="6"/>
        <v>-5.1000000000000174</v>
      </c>
      <c r="AK55" s="68">
        <f t="shared" si="3"/>
        <v>6.0598014915840097E-3</v>
      </c>
      <c r="AL55" s="68">
        <f t="shared" si="4"/>
        <v>-0.99992566212579437</v>
      </c>
      <c r="AM55" s="68">
        <f t="shared" si="5"/>
        <v>0</v>
      </c>
      <c r="AN55" s="68">
        <f t="shared" si="0"/>
        <v>-1.0200000000000036</v>
      </c>
    </row>
    <row r="56" spans="2:40" x14ac:dyDescent="0.25">
      <c r="B56" s="68"/>
      <c r="AJ56" s="64">
        <f t="shared" si="6"/>
        <v>-5.0000000000000178</v>
      </c>
      <c r="AK56" s="68">
        <f t="shared" si="3"/>
        <v>6.6928509242847375E-3</v>
      </c>
      <c r="AL56" s="68">
        <f t="shared" si="4"/>
        <v>-0.999909204262595</v>
      </c>
      <c r="AM56" s="68">
        <f t="shared" si="5"/>
        <v>0</v>
      </c>
      <c r="AN56" s="68">
        <f t="shared" si="0"/>
        <v>-1.0000000000000036</v>
      </c>
    </row>
    <row r="57" spans="2:40" x14ac:dyDescent="0.25">
      <c r="B57" s="68"/>
      <c r="AJ57" s="64">
        <f t="shared" si="6"/>
        <v>-4.9000000000000181</v>
      </c>
      <c r="AK57" s="68">
        <f t="shared" si="3"/>
        <v>7.3915413442818406E-3</v>
      </c>
      <c r="AL57" s="68">
        <f t="shared" si="4"/>
        <v>-0.99988910295055433</v>
      </c>
      <c r="AM57" s="68">
        <f t="shared" si="5"/>
        <v>0</v>
      </c>
      <c r="AN57" s="68">
        <f t="shared" si="0"/>
        <v>-0.98000000000000365</v>
      </c>
    </row>
    <row r="58" spans="2:40" x14ac:dyDescent="0.25">
      <c r="B58" s="68"/>
      <c r="AJ58" s="64">
        <f t="shared" si="6"/>
        <v>-4.8000000000000185</v>
      </c>
      <c r="AK58" s="68">
        <f t="shared" si="3"/>
        <v>8.1625711531597457E-3</v>
      </c>
      <c r="AL58" s="68">
        <f t="shared" si="4"/>
        <v>-0.9998645517007605</v>
      </c>
      <c r="AM58" s="68">
        <f t="shared" si="5"/>
        <v>0</v>
      </c>
      <c r="AN58" s="68">
        <f t="shared" si="0"/>
        <v>-0.96000000000000374</v>
      </c>
    </row>
    <row r="59" spans="2:40" x14ac:dyDescent="0.25">
      <c r="B59" s="68"/>
      <c r="AJ59" s="64">
        <f t="shared" si="6"/>
        <v>-4.7000000000000188</v>
      </c>
      <c r="AK59" s="68">
        <f t="shared" si="3"/>
        <v>9.0132986528476556E-3</v>
      </c>
      <c r="AL59" s="68">
        <f t="shared" si="4"/>
        <v>-0.99983456555429673</v>
      </c>
      <c r="AM59" s="68">
        <f t="shared" si="5"/>
        <v>0</v>
      </c>
      <c r="AN59" s="68">
        <f t="shared" si="0"/>
        <v>-0.94000000000000383</v>
      </c>
    </row>
    <row r="60" spans="2:40" x14ac:dyDescent="0.25">
      <c r="B60" s="68"/>
      <c r="AJ60" s="64">
        <f t="shared" si="6"/>
        <v>-4.6000000000000192</v>
      </c>
      <c r="AK60" s="68">
        <f t="shared" si="3"/>
        <v>9.9518018669041315E-3</v>
      </c>
      <c r="AL60" s="68">
        <f t="shared" si="4"/>
        <v>-0.99979794161218449</v>
      </c>
      <c r="AM60" s="68">
        <f t="shared" si="5"/>
        <v>0</v>
      </c>
      <c r="AN60" s="68">
        <f t="shared" si="0"/>
        <v>-0.92000000000000393</v>
      </c>
    </row>
    <row r="61" spans="2:40" x14ac:dyDescent="0.25">
      <c r="B61" s="68"/>
      <c r="AJ61" s="64">
        <f t="shared" si="6"/>
        <v>-4.5000000000000195</v>
      </c>
      <c r="AK61" s="68">
        <f t="shared" si="3"/>
        <v>1.0986942630592968E-2</v>
      </c>
      <c r="AL61" s="68">
        <f t="shared" si="4"/>
        <v>-0.9997532108480276</v>
      </c>
      <c r="AM61" s="68">
        <f t="shared" si="5"/>
        <v>0</v>
      </c>
      <c r="AN61" s="68">
        <f t="shared" si="0"/>
        <v>-0.90000000000000391</v>
      </c>
    </row>
    <row r="62" spans="2:40" x14ac:dyDescent="0.25">
      <c r="B62" s="68"/>
      <c r="AJ62" s="64">
        <f t="shared" si="6"/>
        <v>-4.4000000000000199</v>
      </c>
      <c r="AK62" s="68">
        <f t="shared" si="3"/>
        <v>1.2128434984274003E-2</v>
      </c>
      <c r="AL62" s="68">
        <f t="shared" si="4"/>
        <v>-0.99969857928388062</v>
      </c>
      <c r="AM62" s="68">
        <f t="shared" si="5"/>
        <v>0</v>
      </c>
      <c r="AN62" s="68">
        <f t="shared" si="0"/>
        <v>-0.880000000000004</v>
      </c>
    </row>
    <row r="63" spans="2:40" x14ac:dyDescent="0.25">
      <c r="B63" s="68"/>
      <c r="AJ63" s="64">
        <f t="shared" si="6"/>
        <v>-4.3000000000000203</v>
      </c>
      <c r="AK63" s="68">
        <f t="shared" si="3"/>
        <v>1.338691782766451E-2</v>
      </c>
      <c r="AL63" s="68">
        <f t="shared" si="4"/>
        <v>-0.99963185619007322</v>
      </c>
      <c r="AM63" s="68">
        <f t="shared" si="5"/>
        <v>0</v>
      </c>
      <c r="AN63" s="68">
        <f t="shared" si="0"/>
        <v>-0.86000000000000409</v>
      </c>
    </row>
    <row r="64" spans="2:40" x14ac:dyDescent="0.25">
      <c r="B64" s="68"/>
      <c r="AJ64" s="64">
        <f t="shared" si="6"/>
        <v>-4.2000000000000206</v>
      </c>
      <c r="AK64" s="68">
        <f t="shared" si="3"/>
        <v>1.4774031693272757E-2</v>
      </c>
      <c r="AL64" s="68">
        <f t="shared" si="4"/>
        <v>-0.99955036645953332</v>
      </c>
      <c r="AM64" s="68">
        <f t="shared" si="5"/>
        <v>0</v>
      </c>
      <c r="AN64" s="68">
        <f t="shared" si="0"/>
        <v>-0.84000000000000419</v>
      </c>
    </row>
    <row r="65" spans="2:40" x14ac:dyDescent="0.25">
      <c r="B65" s="68"/>
      <c r="AJ65" s="64">
        <f t="shared" si="6"/>
        <v>-4.100000000000021</v>
      </c>
      <c r="AK65" s="68">
        <f t="shared" si="3"/>
        <v>1.6302499371440602E-2</v>
      </c>
      <c r="AL65" s="68">
        <f t="shared" si="4"/>
        <v>-0.99945084368779735</v>
      </c>
      <c r="AM65" s="68">
        <f t="shared" si="5"/>
        <v>0</v>
      </c>
      <c r="AN65" s="68">
        <f t="shared" si="0"/>
        <v>-0.82000000000000428</v>
      </c>
    </row>
    <row r="66" spans="2:40" x14ac:dyDescent="0.25">
      <c r="B66" s="68"/>
      <c r="AJ66" s="64">
        <f t="shared" si="6"/>
        <v>-4.0000000000000213</v>
      </c>
      <c r="AK66" s="68">
        <f t="shared" si="3"/>
        <v>1.7986209962091181E-2</v>
      </c>
      <c r="AL66" s="68">
        <f t="shared" si="4"/>
        <v>-0.99932929973906692</v>
      </c>
      <c r="AM66" s="68">
        <f t="shared" si="5"/>
        <v>0</v>
      </c>
      <c r="AN66" s="68">
        <f t="shared" si="0"/>
        <v>-0.80000000000000426</v>
      </c>
    </row>
    <row r="67" spans="2:40" x14ac:dyDescent="0.25">
      <c r="B67" s="68"/>
      <c r="AJ67" s="64">
        <f t="shared" si="6"/>
        <v>-3.9000000000000212</v>
      </c>
      <c r="AK67" s="68">
        <f t="shared" si="3"/>
        <v>1.9840305734077093E-2</v>
      </c>
      <c r="AL67" s="68">
        <f t="shared" si="4"/>
        <v>-0.99918086567002806</v>
      </c>
      <c r="AM67" s="68">
        <f t="shared" si="5"/>
        <v>0</v>
      </c>
      <c r="AN67" s="68">
        <f t="shared" si="0"/>
        <v>-0.78000000000000425</v>
      </c>
    </row>
    <row r="68" spans="2:40" x14ac:dyDescent="0.25">
      <c r="B68" s="68"/>
      <c r="AJ68" s="64">
        <f t="shared" si="6"/>
        <v>-3.8000000000000211</v>
      </c>
      <c r="AK68" s="68">
        <f t="shared" si="3"/>
        <v>2.1881270936130022E-2</v>
      </c>
      <c r="AL68" s="68">
        <f t="shared" si="4"/>
        <v>-0.9989995977858408</v>
      </c>
      <c r="AM68" s="68">
        <f t="shared" si="5"/>
        <v>0</v>
      </c>
      <c r="AN68" s="68">
        <f t="shared" si="0"/>
        <v>-0.76000000000000423</v>
      </c>
    </row>
    <row r="69" spans="2:40" x14ac:dyDescent="0.25">
      <c r="B69" s="68"/>
      <c r="AJ69" s="64">
        <f t="shared" si="6"/>
        <v>-3.700000000000021</v>
      </c>
      <c r="AK69" s="68">
        <f t="shared" si="3"/>
        <v>2.4127021417668704E-2</v>
      </c>
      <c r="AL69" s="68">
        <f t="shared" si="4"/>
        <v>-0.99877824128113124</v>
      </c>
      <c r="AM69" s="68">
        <f t="shared" si="5"/>
        <v>0</v>
      </c>
      <c r="AN69" s="68">
        <f t="shared" si="0"/>
        <v>-0.74000000000000421</v>
      </c>
    </row>
    <row r="70" spans="2:40" x14ac:dyDescent="0.25">
      <c r="B70" s="68"/>
      <c r="AJ70" s="64">
        <f t="shared" si="6"/>
        <v>-3.600000000000021</v>
      </c>
      <c r="AK70" s="68">
        <f t="shared" si="3"/>
        <v>2.6596993576865312E-2</v>
      </c>
      <c r="AL70" s="68">
        <f t="shared" si="4"/>
        <v>-0.99850794233232665</v>
      </c>
      <c r="AM70" s="68">
        <f t="shared" si="5"/>
        <v>0</v>
      </c>
      <c r="AN70" s="68">
        <f t="shared" ref="AN70:AN133" si="7">IF(AJ70&gt;=0,AJ70,AJ70*$AN$2)</f>
        <v>-0.72000000000000419</v>
      </c>
    </row>
    <row r="71" spans="2:40" x14ac:dyDescent="0.25">
      <c r="B71" s="68"/>
      <c r="AJ71" s="64">
        <f t="shared" ref="AJ71:AJ102" si="8">AJ70+$AI$2</f>
        <v>-3.5000000000000209</v>
      </c>
      <c r="AK71" s="68">
        <f t="shared" ref="AK71:AK134" si="9">1/(1+EXP(-AJ71))</f>
        <v>2.9312230751355722E-2</v>
      </c>
      <c r="AL71" s="68">
        <f t="shared" ref="AL71:AL134" si="10">TANH(AJ71)</f>
        <v>-0.99817789761119868</v>
      </c>
      <c r="AM71" s="68">
        <f t="shared" ref="AM71:AM134" si="11">MAX(AJ71,0)</f>
        <v>0</v>
      </c>
      <c r="AN71" s="68">
        <f t="shared" si="7"/>
        <v>-0.70000000000000417</v>
      </c>
    </row>
    <row r="72" spans="2:40" x14ac:dyDescent="0.25">
      <c r="B72" s="68"/>
      <c r="AJ72" s="64">
        <f t="shared" si="8"/>
        <v>-3.4000000000000208</v>
      </c>
      <c r="AK72" s="68">
        <f t="shared" si="9"/>
        <v>3.2295464698449863E-2</v>
      </c>
      <c r="AL72" s="68">
        <f t="shared" si="10"/>
        <v>-0.99777492793427947</v>
      </c>
      <c r="AM72" s="68">
        <f t="shared" si="11"/>
        <v>0</v>
      </c>
      <c r="AN72" s="68">
        <f t="shared" si="7"/>
        <v>-0.68000000000000416</v>
      </c>
    </row>
    <row r="73" spans="2:40" x14ac:dyDescent="0.25">
      <c r="B73" s="68"/>
      <c r="AJ73" s="64">
        <f t="shared" si="8"/>
        <v>-3.3000000000000207</v>
      </c>
      <c r="AK73" s="68">
        <f t="shared" si="9"/>
        <v>3.5571189272635466E-2</v>
      </c>
      <c r="AL73" s="68">
        <f t="shared" si="10"/>
        <v>-0.99728296009914219</v>
      </c>
      <c r="AM73" s="68">
        <f t="shared" si="11"/>
        <v>0</v>
      </c>
      <c r="AN73" s="68">
        <f t="shared" si="7"/>
        <v>-0.66000000000000414</v>
      </c>
    </row>
    <row r="74" spans="2:40" x14ac:dyDescent="0.25">
      <c r="B74" s="68"/>
      <c r="AJ74" s="64">
        <f t="shared" si="8"/>
        <v>-3.2000000000000206</v>
      </c>
      <c r="AK74" s="68">
        <f t="shared" si="9"/>
        <v>3.9165722796763586E-2</v>
      </c>
      <c r="AL74" s="68">
        <f t="shared" si="10"/>
        <v>-0.9966823978396514</v>
      </c>
      <c r="AM74" s="68">
        <f t="shared" si="11"/>
        <v>0</v>
      </c>
      <c r="AN74" s="68">
        <f t="shared" si="7"/>
        <v>-0.64000000000000412</v>
      </c>
    </row>
    <row r="75" spans="2:40" x14ac:dyDescent="0.25">
      <c r="B75" s="68"/>
      <c r="AJ75" s="64">
        <f t="shared" si="8"/>
        <v>-3.1000000000000205</v>
      </c>
      <c r="AK75" s="68">
        <f t="shared" si="9"/>
        <v>4.3107254941085277E-2</v>
      </c>
      <c r="AL75" s="68">
        <f t="shared" si="10"/>
        <v>-0.99594935922190042</v>
      </c>
      <c r="AM75" s="68">
        <f t="shared" si="11"/>
        <v>0</v>
      </c>
      <c r="AN75" s="68">
        <f t="shared" si="7"/>
        <v>-0.6200000000000041</v>
      </c>
    </row>
    <row r="76" spans="2:40" x14ac:dyDescent="0.25">
      <c r="B76" s="68"/>
      <c r="AJ76" s="64">
        <f t="shared" si="8"/>
        <v>-3.0000000000000204</v>
      </c>
      <c r="AK76" s="68">
        <f t="shared" si="9"/>
        <v>4.7425873177565858E-2</v>
      </c>
      <c r="AL76" s="68">
        <f t="shared" si="10"/>
        <v>-0.99505475368673069</v>
      </c>
      <c r="AM76" s="68">
        <f t="shared" si="11"/>
        <v>0</v>
      </c>
      <c r="AN76" s="68">
        <f t="shared" si="7"/>
        <v>-0.60000000000000409</v>
      </c>
    </row>
    <row r="77" spans="2:40" x14ac:dyDescent="0.25">
      <c r="B77" s="68"/>
      <c r="AJ77" s="64">
        <f t="shared" si="8"/>
        <v>-2.9000000000000203</v>
      </c>
      <c r="AK77" s="68">
        <f t="shared" si="9"/>
        <v>5.2153563078416731E-2</v>
      </c>
      <c r="AL77" s="68">
        <f t="shared" si="10"/>
        <v>-0.99396316735058343</v>
      </c>
      <c r="AM77" s="68">
        <f t="shared" si="11"/>
        <v>0</v>
      </c>
      <c r="AN77" s="68">
        <f t="shared" si="7"/>
        <v>-0.58000000000000407</v>
      </c>
    </row>
    <row r="78" spans="2:40" x14ac:dyDescent="0.25">
      <c r="B78" s="68"/>
      <c r="AJ78" s="64">
        <f t="shared" si="8"/>
        <v>-2.8000000000000203</v>
      </c>
      <c r="AK78" s="68">
        <f t="shared" si="9"/>
        <v>5.7324175898867652E-2</v>
      </c>
      <c r="AL78" s="68">
        <f t="shared" si="10"/>
        <v>-0.99263152020112855</v>
      </c>
      <c r="AM78" s="68">
        <f t="shared" si="11"/>
        <v>0</v>
      </c>
      <c r="AN78" s="68">
        <f t="shared" si="7"/>
        <v>-0.56000000000000405</v>
      </c>
    </row>
    <row r="79" spans="2:40" x14ac:dyDescent="0.25">
      <c r="B79" s="68"/>
      <c r="AJ79" s="64">
        <f t="shared" si="8"/>
        <v>-2.7000000000000202</v>
      </c>
      <c r="AK79" s="68">
        <f t="shared" si="9"/>
        <v>6.2973356056995305E-2</v>
      </c>
      <c r="AL79" s="68">
        <f t="shared" si="10"/>
        <v>-0.99100745367811793</v>
      </c>
      <c r="AM79" s="68">
        <f t="shared" si="11"/>
        <v>0</v>
      </c>
      <c r="AN79" s="68">
        <f t="shared" si="7"/>
        <v>-0.54000000000000403</v>
      </c>
    </row>
    <row r="80" spans="2:40" x14ac:dyDescent="0.25">
      <c r="B80" s="68"/>
      <c r="AJ80" s="64">
        <f t="shared" si="8"/>
        <v>-2.6000000000000201</v>
      </c>
      <c r="AK80" s="68">
        <f t="shared" si="9"/>
        <v>6.9138420343345525E-2</v>
      </c>
      <c r="AL80" s="68">
        <f t="shared" si="10"/>
        <v>-0.98902740220109953</v>
      </c>
      <c r="AM80" s="68">
        <f t="shared" si="11"/>
        <v>0</v>
      </c>
      <c r="AN80" s="68">
        <f t="shared" si="7"/>
        <v>-0.52000000000000401</v>
      </c>
    </row>
    <row r="81" spans="2:40" x14ac:dyDescent="0.25">
      <c r="B81" s="68"/>
      <c r="AJ81" s="64">
        <f t="shared" si="8"/>
        <v>-2.50000000000002</v>
      </c>
      <c r="AK81" s="68">
        <f t="shared" si="9"/>
        <v>7.5858180021242158E-2</v>
      </c>
      <c r="AL81" s="68">
        <f t="shared" si="10"/>
        <v>-0.98661429815143098</v>
      </c>
      <c r="AM81" s="68">
        <f t="shared" si="11"/>
        <v>0</v>
      </c>
      <c r="AN81" s="68">
        <f t="shared" si="7"/>
        <v>-0.500000000000004</v>
      </c>
    </row>
    <row r="82" spans="2:40" x14ac:dyDescent="0.25">
      <c r="B82" s="68"/>
      <c r="AJ82" s="64">
        <f t="shared" si="8"/>
        <v>-2.4000000000000199</v>
      </c>
      <c r="AK82" s="68">
        <f t="shared" si="9"/>
        <v>8.3172696493920853E-2</v>
      </c>
      <c r="AL82" s="68">
        <f t="shared" si="10"/>
        <v>-0.98367485769368068</v>
      </c>
      <c r="AM82" s="68">
        <f t="shared" si="11"/>
        <v>0</v>
      </c>
      <c r="AN82" s="68">
        <f t="shared" si="7"/>
        <v>-0.48000000000000398</v>
      </c>
    </row>
    <row r="83" spans="2:40" x14ac:dyDescent="0.25">
      <c r="B83" s="68"/>
      <c r="AJ83" s="64">
        <f t="shared" si="8"/>
        <v>-2.3000000000000198</v>
      </c>
      <c r="AK83" s="68">
        <f t="shared" si="9"/>
        <v>9.1122961014854495E-2</v>
      </c>
      <c r="AL83" s="68">
        <f t="shared" si="10"/>
        <v>-0.98009639626619205</v>
      </c>
      <c r="AM83" s="68">
        <f t="shared" si="11"/>
        <v>0</v>
      </c>
      <c r="AN83" s="68">
        <f t="shared" si="7"/>
        <v>-0.46000000000000396</v>
      </c>
    </row>
    <row r="84" spans="2:40" x14ac:dyDescent="0.25">
      <c r="B84" s="68"/>
      <c r="AJ84" s="64">
        <f t="shared" si="8"/>
        <v>-2.2000000000000197</v>
      </c>
      <c r="AK84" s="68">
        <f t="shared" si="9"/>
        <v>9.9750489119683372E-2</v>
      </c>
      <c r="AL84" s="68">
        <f t="shared" si="10"/>
        <v>-0.97574313003145241</v>
      </c>
      <c r="AM84" s="68">
        <f t="shared" si="11"/>
        <v>0</v>
      </c>
      <c r="AN84" s="68">
        <f t="shared" si="7"/>
        <v>-0.44000000000000394</v>
      </c>
    </row>
    <row r="85" spans="2:40" x14ac:dyDescent="0.25">
      <c r="B85" s="68"/>
      <c r="AJ85" s="64">
        <f t="shared" si="8"/>
        <v>-2.1000000000000196</v>
      </c>
      <c r="AK85" s="68">
        <f t="shared" si="9"/>
        <v>0.10909682119561104</v>
      </c>
      <c r="AL85" s="68">
        <f t="shared" si="10"/>
        <v>-0.97045193661345508</v>
      </c>
      <c r="AM85" s="68">
        <f t="shared" si="11"/>
        <v>0</v>
      </c>
      <c r="AN85" s="68">
        <f t="shared" si="7"/>
        <v>-0.42000000000000393</v>
      </c>
    </row>
    <row r="86" spans="2:40" x14ac:dyDescent="0.25">
      <c r="B86" s="68"/>
      <c r="AJ86" s="64">
        <f t="shared" si="8"/>
        <v>-2.0000000000000195</v>
      </c>
      <c r="AK86" s="68">
        <f t="shared" si="9"/>
        <v>0.11920292202211551</v>
      </c>
      <c r="AL86" s="68">
        <f t="shared" si="10"/>
        <v>-0.96402758007581835</v>
      </c>
      <c r="AM86" s="68">
        <f t="shared" si="11"/>
        <v>0</v>
      </c>
      <c r="AN86" s="68">
        <f t="shared" si="7"/>
        <v>-0.40000000000000391</v>
      </c>
    </row>
    <row r="87" spans="2:40" x14ac:dyDescent="0.25">
      <c r="B87" s="68"/>
      <c r="AJ87" s="64">
        <f t="shared" si="8"/>
        <v>-1.9000000000000195</v>
      </c>
      <c r="AK87" s="68">
        <f t="shared" si="9"/>
        <v>0.13010847436299566</v>
      </c>
      <c r="AL87" s="68">
        <f t="shared" si="10"/>
        <v>-0.95623745812774086</v>
      </c>
      <c r="AM87" s="68">
        <f t="shared" si="11"/>
        <v>0</v>
      </c>
      <c r="AN87" s="68">
        <f t="shared" si="7"/>
        <v>-0.38000000000000389</v>
      </c>
    </row>
    <row r="88" spans="2:40" x14ac:dyDescent="0.25">
      <c r="B88" s="68"/>
      <c r="AJ88" s="64">
        <f t="shared" si="8"/>
        <v>-1.8000000000000194</v>
      </c>
      <c r="AK88" s="68">
        <f t="shared" si="9"/>
        <v>0.14185106490048544</v>
      </c>
      <c r="AL88" s="68">
        <f t="shared" si="10"/>
        <v>-0.94680601284627031</v>
      </c>
      <c r="AM88" s="68">
        <f t="shared" si="11"/>
        <v>0</v>
      </c>
      <c r="AN88" s="68">
        <f t="shared" si="7"/>
        <v>-0.36000000000000387</v>
      </c>
    </row>
    <row r="89" spans="2:40" x14ac:dyDescent="0.25">
      <c r="B89" s="68"/>
      <c r="AJ89" s="64">
        <f t="shared" si="8"/>
        <v>-1.7000000000000193</v>
      </c>
      <c r="AK89" s="68">
        <f t="shared" si="9"/>
        <v>0.15446526508353217</v>
      </c>
      <c r="AL89" s="68">
        <f t="shared" si="10"/>
        <v>-0.93540907060310141</v>
      </c>
      <c r="AM89" s="68">
        <f t="shared" si="11"/>
        <v>0</v>
      </c>
      <c r="AN89" s="68">
        <f t="shared" si="7"/>
        <v>-0.34000000000000385</v>
      </c>
    </row>
    <row r="90" spans="2:40" x14ac:dyDescent="0.25">
      <c r="B90" s="68"/>
      <c r="AJ90" s="64">
        <f t="shared" si="8"/>
        <v>-1.6000000000000192</v>
      </c>
      <c r="AK90" s="68">
        <f t="shared" si="9"/>
        <v>0.16798161486607283</v>
      </c>
      <c r="AL90" s="68">
        <f t="shared" si="10"/>
        <v>-0.92166855440647433</v>
      </c>
      <c r="AM90" s="68">
        <f t="shared" si="11"/>
        <v>0</v>
      </c>
      <c r="AN90" s="68">
        <f t="shared" si="7"/>
        <v>-0.32000000000000384</v>
      </c>
    </row>
    <row r="91" spans="2:40" x14ac:dyDescent="0.25">
      <c r="B91" s="68"/>
      <c r="AJ91" s="64">
        <f t="shared" si="8"/>
        <v>-1.5000000000000191</v>
      </c>
      <c r="AK91" s="68">
        <f t="shared" si="9"/>
        <v>0.18242552380635349</v>
      </c>
      <c r="AL91" s="68">
        <f t="shared" si="10"/>
        <v>-0.90514825364486995</v>
      </c>
      <c r="AM91" s="68">
        <f t="shared" si="11"/>
        <v>0</v>
      </c>
      <c r="AN91" s="68">
        <f t="shared" si="7"/>
        <v>-0.30000000000000382</v>
      </c>
    </row>
    <row r="92" spans="2:40" x14ac:dyDescent="0.25">
      <c r="B92" s="68"/>
      <c r="AJ92" s="64">
        <f t="shared" si="8"/>
        <v>-1.400000000000019</v>
      </c>
      <c r="AK92" s="68">
        <f t="shared" si="9"/>
        <v>0.19781611144141523</v>
      </c>
      <c r="AL92" s="68">
        <f t="shared" si="10"/>
        <v>-0.88535164820226664</v>
      </c>
      <c r="AM92" s="68">
        <f t="shared" si="11"/>
        <v>0</v>
      </c>
      <c r="AN92" s="68">
        <f t="shared" si="7"/>
        <v>-0.2800000000000038</v>
      </c>
    </row>
    <row r="93" spans="2:40" x14ac:dyDescent="0.25">
      <c r="B93" s="68"/>
      <c r="AJ93" s="64">
        <f t="shared" si="8"/>
        <v>-1.3000000000000189</v>
      </c>
      <c r="AK93" s="68">
        <f t="shared" si="9"/>
        <v>0.2141650169574382</v>
      </c>
      <c r="AL93" s="68">
        <f t="shared" si="10"/>
        <v>-0.86172315931331134</v>
      </c>
      <c r="AM93" s="68">
        <f t="shared" si="11"/>
        <v>0</v>
      </c>
      <c r="AN93" s="68">
        <f t="shared" si="7"/>
        <v>-0.26000000000000378</v>
      </c>
    </row>
    <row r="94" spans="2:40" x14ac:dyDescent="0.25">
      <c r="B94" s="68"/>
      <c r="AJ94" s="64">
        <f t="shared" si="8"/>
        <v>-1.2000000000000188</v>
      </c>
      <c r="AK94" s="68">
        <f t="shared" si="9"/>
        <v>0.23147521650097905</v>
      </c>
      <c r="AL94" s="68">
        <f t="shared" si="10"/>
        <v>-0.83365460701216099</v>
      </c>
      <c r="AM94" s="68">
        <f t="shared" si="11"/>
        <v>0</v>
      </c>
      <c r="AN94" s="68">
        <f t="shared" si="7"/>
        <v>-0.24000000000000377</v>
      </c>
    </row>
    <row r="95" spans="2:40" x14ac:dyDescent="0.25">
      <c r="B95" s="68"/>
      <c r="AJ95" s="64">
        <f t="shared" si="8"/>
        <v>-1.1000000000000187</v>
      </c>
      <c r="AK95" s="68">
        <f t="shared" si="9"/>
        <v>0.24973989440487893</v>
      </c>
      <c r="AL95" s="68">
        <f t="shared" si="10"/>
        <v>-0.80049902176063648</v>
      </c>
      <c r="AM95" s="68">
        <f t="shared" si="11"/>
        <v>0</v>
      </c>
      <c r="AN95" s="68">
        <f t="shared" si="7"/>
        <v>-0.22000000000000375</v>
      </c>
    </row>
    <row r="96" spans="2:40" x14ac:dyDescent="0.25">
      <c r="B96" s="68"/>
      <c r="AJ96" s="64">
        <f t="shared" si="8"/>
        <v>-1.0000000000000187</v>
      </c>
      <c r="AK96" s="68">
        <f t="shared" si="9"/>
        <v>0.2689414213699915</v>
      </c>
      <c r="AL96" s="68">
        <f t="shared" si="10"/>
        <v>-0.76159415595577284</v>
      </c>
      <c r="AM96" s="68">
        <f t="shared" si="11"/>
        <v>0</v>
      </c>
      <c r="AN96" s="68">
        <f t="shared" si="7"/>
        <v>-0.20000000000000373</v>
      </c>
    </row>
    <row r="97" spans="2:40" x14ac:dyDescent="0.25">
      <c r="B97" s="68"/>
      <c r="AJ97" s="64">
        <f t="shared" si="8"/>
        <v>-0.90000000000001867</v>
      </c>
      <c r="AK97" s="68">
        <f t="shared" si="9"/>
        <v>0.28905049737499222</v>
      </c>
      <c r="AL97" s="68">
        <f t="shared" si="10"/>
        <v>-0.71629787019903346</v>
      </c>
      <c r="AM97" s="68">
        <f t="shared" si="11"/>
        <v>0</v>
      </c>
      <c r="AN97" s="68">
        <f t="shared" si="7"/>
        <v>-0.18000000000000374</v>
      </c>
    </row>
    <row r="98" spans="2:40" x14ac:dyDescent="0.25">
      <c r="B98" s="68"/>
      <c r="AJ98" s="64">
        <f t="shared" si="8"/>
        <v>-0.8000000000000187</v>
      </c>
      <c r="AK98" s="68">
        <f t="shared" si="9"/>
        <v>0.31002551887238355</v>
      </c>
      <c r="AL98" s="68">
        <f t="shared" si="10"/>
        <v>-0.66403677026785946</v>
      </c>
      <c r="AM98" s="68">
        <f t="shared" si="11"/>
        <v>0</v>
      </c>
      <c r="AN98" s="68">
        <f t="shared" si="7"/>
        <v>-0.16000000000000375</v>
      </c>
    </row>
    <row r="99" spans="2:40" x14ac:dyDescent="0.25">
      <c r="B99" s="68"/>
      <c r="AJ99" s="64">
        <f t="shared" si="8"/>
        <v>-0.70000000000001872</v>
      </c>
      <c r="AK99" s="68">
        <f t="shared" si="9"/>
        <v>0.33181222783182973</v>
      </c>
      <c r="AL99" s="68">
        <f t="shared" si="10"/>
        <v>-0.60436777711717526</v>
      </c>
      <c r="AM99" s="68">
        <f t="shared" si="11"/>
        <v>0</v>
      </c>
      <c r="AN99" s="68">
        <f t="shared" si="7"/>
        <v>-0.14000000000000376</v>
      </c>
    </row>
    <row r="100" spans="2:40" x14ac:dyDescent="0.25">
      <c r="B100" s="68"/>
      <c r="AJ100" s="64">
        <f t="shared" si="8"/>
        <v>-0.60000000000001874</v>
      </c>
      <c r="AK100" s="68">
        <f t="shared" si="9"/>
        <v>0.35434369377420027</v>
      </c>
      <c r="AL100" s="68">
        <f t="shared" si="10"/>
        <v>-0.53704956699804862</v>
      </c>
      <c r="AM100" s="68">
        <f t="shared" si="11"/>
        <v>0</v>
      </c>
      <c r="AN100" s="68">
        <f t="shared" si="7"/>
        <v>-0.12000000000000376</v>
      </c>
    </row>
    <row r="101" spans="2:40" x14ac:dyDescent="0.25">
      <c r="B101" s="68"/>
      <c r="AJ101" s="64">
        <f t="shared" si="8"/>
        <v>-0.50000000000001876</v>
      </c>
      <c r="AK101" s="68">
        <f t="shared" si="9"/>
        <v>0.37754066879814102</v>
      </c>
      <c r="AL101" s="68">
        <f t="shared" si="10"/>
        <v>-0.4621171572600245</v>
      </c>
      <c r="AM101" s="68">
        <f t="shared" si="11"/>
        <v>0</v>
      </c>
      <c r="AN101" s="68">
        <f t="shared" si="7"/>
        <v>-0.10000000000000375</v>
      </c>
    </row>
    <row r="102" spans="2:40" x14ac:dyDescent="0.25">
      <c r="B102" s="68"/>
      <c r="AJ102" s="64">
        <f t="shared" si="8"/>
        <v>-0.40000000000001878</v>
      </c>
      <c r="AK102" s="68">
        <f t="shared" si="9"/>
        <v>0.4013123398875435</v>
      </c>
      <c r="AL102" s="68">
        <f t="shared" si="10"/>
        <v>-0.37994896225524094</v>
      </c>
      <c r="AM102" s="68">
        <f t="shared" si="11"/>
        <v>0</v>
      </c>
      <c r="AN102" s="68">
        <f t="shared" si="7"/>
        <v>-8.0000000000003763E-2</v>
      </c>
    </row>
    <row r="103" spans="2:40" x14ac:dyDescent="0.25">
      <c r="B103" s="68"/>
      <c r="AJ103" s="64">
        <f t="shared" ref="AJ103:AJ134" si="12">AJ102+$AI$2</f>
        <v>-0.30000000000001881</v>
      </c>
      <c r="AK103" s="68">
        <f t="shared" si="9"/>
        <v>0.42555748318833642</v>
      </c>
      <c r="AL103" s="68">
        <f t="shared" si="10"/>
        <v>-0.29131261245160806</v>
      </c>
      <c r="AM103" s="68">
        <f t="shared" si="11"/>
        <v>0</v>
      </c>
      <c r="AN103" s="68">
        <f t="shared" si="7"/>
        <v>-6.0000000000003766E-2</v>
      </c>
    </row>
    <row r="104" spans="2:40" x14ac:dyDescent="0.25">
      <c r="B104" s="68"/>
      <c r="AJ104" s="64">
        <f t="shared" si="12"/>
        <v>-0.2000000000000188</v>
      </c>
      <c r="AK104" s="68">
        <f t="shared" si="9"/>
        <v>0.45016600268751744</v>
      </c>
      <c r="AL104" s="68">
        <f t="shared" si="10"/>
        <v>-0.19737532022492207</v>
      </c>
      <c r="AM104" s="68">
        <f t="shared" si="11"/>
        <v>0</v>
      </c>
      <c r="AN104" s="68">
        <f t="shared" si="7"/>
        <v>-4.0000000000003762E-2</v>
      </c>
    </row>
    <row r="105" spans="2:40" x14ac:dyDescent="0.25">
      <c r="B105" s="68"/>
      <c r="AJ105" s="64">
        <f t="shared" si="12"/>
        <v>-0.1000000000000188</v>
      </c>
      <c r="AK105" s="68">
        <f t="shared" si="9"/>
        <v>0.47502081252105538</v>
      </c>
      <c r="AL105" s="68">
        <f t="shared" si="10"/>
        <v>-9.9667994624974429E-2</v>
      </c>
      <c r="AM105" s="68">
        <f t="shared" si="11"/>
        <v>0</v>
      </c>
      <c r="AN105" s="68">
        <f t="shared" si="7"/>
        <v>-2.0000000000003761E-2</v>
      </c>
    </row>
    <row r="106" spans="2:40" x14ac:dyDescent="0.25">
      <c r="B106" s="68"/>
      <c r="AJ106" s="64">
        <f t="shared" si="12"/>
        <v>-1.8790524691780774E-14</v>
      </c>
      <c r="AK106" s="68">
        <f t="shared" si="9"/>
        <v>0.49999999999999534</v>
      </c>
      <c r="AL106" s="68">
        <f t="shared" si="10"/>
        <v>-1.8790524691780774E-14</v>
      </c>
      <c r="AM106" s="68">
        <f t="shared" si="11"/>
        <v>0</v>
      </c>
      <c r="AN106" s="68">
        <f t="shared" si="7"/>
        <v>-3.758104938356155E-15</v>
      </c>
    </row>
    <row r="107" spans="2:40" x14ac:dyDescent="0.25">
      <c r="B107" s="68"/>
      <c r="AJ107" s="64">
        <f t="shared" si="12"/>
        <v>9.9999999999981215E-2</v>
      </c>
      <c r="AK107" s="68">
        <f t="shared" si="9"/>
        <v>0.52497918747893524</v>
      </c>
      <c r="AL107" s="68">
        <f t="shared" si="10"/>
        <v>9.9667994624937223E-2</v>
      </c>
      <c r="AM107" s="68">
        <f t="shared" si="11"/>
        <v>9.9999999999981215E-2</v>
      </c>
      <c r="AN107" s="68">
        <f t="shared" si="7"/>
        <v>9.9999999999981215E-2</v>
      </c>
    </row>
    <row r="108" spans="2:40" x14ac:dyDescent="0.25">
      <c r="B108" s="68"/>
      <c r="AJ108" s="64">
        <f t="shared" si="12"/>
        <v>0.19999999999998122</v>
      </c>
      <c r="AK108" s="68">
        <f t="shared" si="9"/>
        <v>0.54983399731247329</v>
      </c>
      <c r="AL108" s="68">
        <f t="shared" si="10"/>
        <v>0.19737532022488594</v>
      </c>
      <c r="AM108" s="68">
        <f t="shared" si="11"/>
        <v>0.19999999999998122</v>
      </c>
      <c r="AN108" s="68">
        <f t="shared" si="7"/>
        <v>0.19999999999998122</v>
      </c>
    </row>
    <row r="109" spans="2:40" x14ac:dyDescent="0.25">
      <c r="B109" s="68"/>
      <c r="AJ109" s="64">
        <f t="shared" si="12"/>
        <v>0.29999999999998123</v>
      </c>
      <c r="AK109" s="68">
        <f t="shared" si="9"/>
        <v>0.57444251681165437</v>
      </c>
      <c r="AL109" s="68">
        <f t="shared" si="10"/>
        <v>0.2913126124515738</v>
      </c>
      <c r="AM109" s="68">
        <f t="shared" si="11"/>
        <v>0.29999999999998123</v>
      </c>
      <c r="AN109" s="68">
        <f t="shared" si="7"/>
        <v>0.29999999999998123</v>
      </c>
    </row>
    <row r="110" spans="2:40" x14ac:dyDescent="0.25">
      <c r="B110" s="68"/>
      <c r="AJ110" s="64">
        <f t="shared" si="12"/>
        <v>0.39999999999998126</v>
      </c>
      <c r="AK110" s="68">
        <f t="shared" si="9"/>
        <v>0.59868766011244745</v>
      </c>
      <c r="AL110" s="68">
        <f t="shared" si="10"/>
        <v>0.3799489622552088</v>
      </c>
      <c r="AM110" s="68">
        <f t="shared" si="11"/>
        <v>0.39999999999998126</v>
      </c>
      <c r="AN110" s="68">
        <f t="shared" si="7"/>
        <v>0.39999999999998126</v>
      </c>
    </row>
    <row r="111" spans="2:40" x14ac:dyDescent="0.25">
      <c r="B111" s="68"/>
      <c r="AJ111" s="64">
        <f t="shared" si="12"/>
        <v>0.49999999999998124</v>
      </c>
      <c r="AK111" s="68">
        <f t="shared" si="9"/>
        <v>0.62245933120185015</v>
      </c>
      <c r="AL111" s="68">
        <f t="shared" si="10"/>
        <v>0.46211715725999503</v>
      </c>
      <c r="AM111" s="68">
        <f t="shared" si="11"/>
        <v>0.49999999999998124</v>
      </c>
      <c r="AN111" s="68">
        <f t="shared" si="7"/>
        <v>0.49999999999998124</v>
      </c>
    </row>
    <row r="112" spans="2:40" x14ac:dyDescent="0.25">
      <c r="B112" s="68"/>
      <c r="AJ112" s="64">
        <f t="shared" si="12"/>
        <v>0.59999999999998122</v>
      </c>
      <c r="AK112" s="68">
        <f t="shared" si="9"/>
        <v>0.64565630622579118</v>
      </c>
      <c r="AL112" s="68">
        <f t="shared" si="10"/>
        <v>0.53704956699802187</v>
      </c>
      <c r="AM112" s="68">
        <f t="shared" si="11"/>
        <v>0.59999999999998122</v>
      </c>
      <c r="AN112" s="68">
        <f t="shared" si="7"/>
        <v>0.59999999999998122</v>
      </c>
    </row>
    <row r="113" spans="2:40" x14ac:dyDescent="0.25">
      <c r="B113" s="68"/>
      <c r="AJ113" s="64">
        <f t="shared" si="12"/>
        <v>0.69999999999998119</v>
      </c>
      <c r="AK113" s="68">
        <f t="shared" si="9"/>
        <v>0.66818777216816194</v>
      </c>
      <c r="AL113" s="68">
        <f t="shared" si="10"/>
        <v>0.60436777711715162</v>
      </c>
      <c r="AM113" s="68">
        <f t="shared" si="11"/>
        <v>0.69999999999998119</v>
      </c>
      <c r="AN113" s="68">
        <f t="shared" si="7"/>
        <v>0.69999999999998119</v>
      </c>
    </row>
    <row r="114" spans="2:40" x14ac:dyDescent="0.25">
      <c r="B114" s="68"/>
      <c r="AJ114" s="64">
        <f t="shared" si="12"/>
        <v>0.79999999999998117</v>
      </c>
      <c r="AK114" s="68">
        <f t="shared" si="9"/>
        <v>0.6899744811276084</v>
      </c>
      <c r="AL114" s="68">
        <f t="shared" si="10"/>
        <v>0.66403677026783847</v>
      </c>
      <c r="AM114" s="68">
        <f t="shared" si="11"/>
        <v>0.79999999999998117</v>
      </c>
      <c r="AN114" s="68">
        <f t="shared" si="7"/>
        <v>0.79999999999998117</v>
      </c>
    </row>
    <row r="115" spans="2:40" x14ac:dyDescent="0.25">
      <c r="B115" s="68"/>
      <c r="AJ115" s="64">
        <f t="shared" si="12"/>
        <v>0.89999999999998115</v>
      </c>
      <c r="AK115" s="68">
        <f t="shared" si="9"/>
        <v>0.71094950262500012</v>
      </c>
      <c r="AL115" s="68">
        <f t="shared" si="10"/>
        <v>0.71629787019901525</v>
      </c>
      <c r="AM115" s="68">
        <f t="shared" si="11"/>
        <v>0.89999999999998115</v>
      </c>
      <c r="AN115" s="68">
        <f t="shared" si="7"/>
        <v>0.89999999999998115</v>
      </c>
    </row>
    <row r="116" spans="2:40" x14ac:dyDescent="0.25">
      <c r="B116" s="68"/>
      <c r="AJ116" s="64">
        <f t="shared" si="12"/>
        <v>0.99999999999998113</v>
      </c>
      <c r="AK116" s="68">
        <f t="shared" si="9"/>
        <v>0.73105857863000123</v>
      </c>
      <c r="AL116" s="68">
        <f t="shared" si="10"/>
        <v>0.76159415595575708</v>
      </c>
      <c r="AM116" s="68">
        <f t="shared" si="11"/>
        <v>0.99999999999998113</v>
      </c>
      <c r="AN116" s="68">
        <f t="shared" si="7"/>
        <v>0.99999999999998113</v>
      </c>
    </row>
    <row r="117" spans="2:40" x14ac:dyDescent="0.25">
      <c r="B117" s="68"/>
      <c r="AJ117" s="64">
        <f t="shared" si="12"/>
        <v>1.0999999999999812</v>
      </c>
      <c r="AK117" s="68">
        <f t="shared" si="9"/>
        <v>0.75026010559511414</v>
      </c>
      <c r="AL117" s="68">
        <f t="shared" si="10"/>
        <v>0.80049902176062304</v>
      </c>
      <c r="AM117" s="68">
        <f t="shared" si="11"/>
        <v>1.0999999999999812</v>
      </c>
      <c r="AN117" s="68">
        <f t="shared" si="7"/>
        <v>1.0999999999999812</v>
      </c>
    </row>
    <row r="118" spans="2:40" x14ac:dyDescent="0.25">
      <c r="B118" s="68"/>
      <c r="AJ118" s="64">
        <f t="shared" si="12"/>
        <v>1.1999999999999813</v>
      </c>
      <c r="AK118" s="68">
        <f t="shared" si="9"/>
        <v>0.76852478349901432</v>
      </c>
      <c r="AL118" s="68">
        <f t="shared" si="10"/>
        <v>0.83365460701214944</v>
      </c>
      <c r="AM118" s="68">
        <f t="shared" si="11"/>
        <v>1.1999999999999813</v>
      </c>
      <c r="AN118" s="68">
        <f t="shared" si="7"/>
        <v>1.1999999999999813</v>
      </c>
    </row>
    <row r="119" spans="2:40" x14ac:dyDescent="0.25">
      <c r="B119" s="68"/>
      <c r="AJ119" s="64">
        <f t="shared" si="12"/>
        <v>1.2999999999999814</v>
      </c>
      <c r="AK119" s="68">
        <f t="shared" si="9"/>
        <v>0.7858349830425555</v>
      </c>
      <c r="AL119" s="68">
        <f t="shared" si="10"/>
        <v>0.86172315931330146</v>
      </c>
      <c r="AM119" s="68">
        <f t="shared" si="11"/>
        <v>1.2999999999999814</v>
      </c>
      <c r="AN119" s="68">
        <f t="shared" si="7"/>
        <v>1.2999999999999814</v>
      </c>
    </row>
    <row r="120" spans="2:40" x14ac:dyDescent="0.25">
      <c r="B120" s="68"/>
      <c r="AJ120" s="64">
        <f t="shared" si="12"/>
        <v>1.3999999999999815</v>
      </c>
      <c r="AK120" s="68">
        <f t="shared" si="9"/>
        <v>0.80218388855857881</v>
      </c>
      <c r="AL120" s="68">
        <f t="shared" si="10"/>
        <v>0.88535164820225842</v>
      </c>
      <c r="AM120" s="68">
        <f t="shared" si="11"/>
        <v>1.3999999999999815</v>
      </c>
      <c r="AN120" s="68">
        <f t="shared" si="7"/>
        <v>1.3999999999999815</v>
      </c>
    </row>
    <row r="121" spans="2:40" x14ac:dyDescent="0.25">
      <c r="B121" s="68"/>
      <c r="AJ121" s="64">
        <f t="shared" si="12"/>
        <v>1.4999999999999816</v>
      </c>
      <c r="AK121" s="68">
        <f t="shared" si="9"/>
        <v>0.81757447619364099</v>
      </c>
      <c r="AL121" s="68">
        <f t="shared" si="10"/>
        <v>0.90514825364486295</v>
      </c>
      <c r="AM121" s="68">
        <f t="shared" si="11"/>
        <v>1.4999999999999816</v>
      </c>
      <c r="AN121" s="68">
        <f t="shared" si="7"/>
        <v>1.4999999999999816</v>
      </c>
    </row>
    <row r="122" spans="2:40" x14ac:dyDescent="0.25">
      <c r="B122" s="68"/>
      <c r="AJ122" s="64">
        <f t="shared" si="12"/>
        <v>1.5999999999999817</v>
      </c>
      <c r="AK122" s="68">
        <f t="shared" si="9"/>
        <v>0.83201838513392201</v>
      </c>
      <c r="AL122" s="68">
        <f t="shared" si="10"/>
        <v>0.92166855440646844</v>
      </c>
      <c r="AM122" s="68">
        <f t="shared" si="11"/>
        <v>1.5999999999999817</v>
      </c>
      <c r="AN122" s="68">
        <f t="shared" si="7"/>
        <v>1.5999999999999817</v>
      </c>
    </row>
    <row r="123" spans="2:40" x14ac:dyDescent="0.25">
      <c r="B123" s="68"/>
      <c r="AJ123" s="64">
        <f t="shared" si="12"/>
        <v>1.6999999999999817</v>
      </c>
      <c r="AK123" s="68">
        <f t="shared" si="9"/>
        <v>0.84553473491646292</v>
      </c>
      <c r="AL123" s="68">
        <f t="shared" si="10"/>
        <v>0.93540907060309664</v>
      </c>
      <c r="AM123" s="68">
        <f t="shared" si="11"/>
        <v>1.6999999999999817</v>
      </c>
      <c r="AN123" s="68">
        <f t="shared" si="7"/>
        <v>1.6999999999999817</v>
      </c>
    </row>
    <row r="124" spans="2:40" x14ac:dyDescent="0.25">
      <c r="B124" s="68"/>
      <c r="AJ124" s="64">
        <f t="shared" si="12"/>
        <v>1.7999999999999818</v>
      </c>
      <c r="AK124" s="68">
        <f t="shared" si="9"/>
        <v>0.85814893509950996</v>
      </c>
      <c r="AL124" s="68">
        <f t="shared" si="10"/>
        <v>0.94680601284626642</v>
      </c>
      <c r="AM124" s="68">
        <f t="shared" si="11"/>
        <v>1.7999999999999818</v>
      </c>
      <c r="AN124" s="68">
        <f t="shared" si="7"/>
        <v>1.7999999999999818</v>
      </c>
    </row>
    <row r="125" spans="2:40" x14ac:dyDescent="0.25">
      <c r="B125" s="68"/>
      <c r="AJ125" s="64">
        <f t="shared" si="12"/>
        <v>1.8999999999999819</v>
      </c>
      <c r="AK125" s="68">
        <f t="shared" si="9"/>
        <v>0.86989152563700012</v>
      </c>
      <c r="AL125" s="68">
        <f t="shared" si="10"/>
        <v>0.95623745812773742</v>
      </c>
      <c r="AM125" s="68">
        <f t="shared" si="11"/>
        <v>1.8999999999999819</v>
      </c>
      <c r="AN125" s="68">
        <f t="shared" si="7"/>
        <v>1.8999999999999819</v>
      </c>
    </row>
    <row r="126" spans="2:40" x14ac:dyDescent="0.25">
      <c r="B126" s="68"/>
      <c r="AJ126" s="64">
        <f t="shared" si="12"/>
        <v>1.999999999999982</v>
      </c>
      <c r="AK126" s="68">
        <f t="shared" si="9"/>
        <v>0.88079707797788065</v>
      </c>
      <c r="AL126" s="68">
        <f t="shared" si="10"/>
        <v>0.96402758007581568</v>
      </c>
      <c r="AM126" s="68">
        <f t="shared" si="11"/>
        <v>1.999999999999982</v>
      </c>
      <c r="AN126" s="68">
        <f t="shared" si="7"/>
        <v>1.999999999999982</v>
      </c>
    </row>
    <row r="127" spans="2:40" x14ac:dyDescent="0.25">
      <c r="B127" s="68"/>
      <c r="AJ127" s="64">
        <f t="shared" si="12"/>
        <v>2.0999999999999819</v>
      </c>
      <c r="AK127" s="68">
        <f t="shared" si="9"/>
        <v>0.8909031788043853</v>
      </c>
      <c r="AL127" s="68">
        <f t="shared" si="10"/>
        <v>0.97045193661345264</v>
      </c>
      <c r="AM127" s="68">
        <f t="shared" si="11"/>
        <v>2.0999999999999819</v>
      </c>
      <c r="AN127" s="68">
        <f t="shared" si="7"/>
        <v>2.0999999999999819</v>
      </c>
    </row>
    <row r="128" spans="2:40" x14ac:dyDescent="0.25">
      <c r="B128" s="68"/>
      <c r="AJ128" s="64">
        <f t="shared" si="12"/>
        <v>2.199999999999982</v>
      </c>
      <c r="AK128" s="68">
        <f t="shared" si="9"/>
        <v>0.90024951088031324</v>
      </c>
      <c r="AL128" s="68">
        <f t="shared" si="10"/>
        <v>0.97574313003145074</v>
      </c>
      <c r="AM128" s="68">
        <f t="shared" si="11"/>
        <v>2.199999999999982</v>
      </c>
      <c r="AN128" s="68">
        <f t="shared" si="7"/>
        <v>2.199999999999982</v>
      </c>
    </row>
    <row r="129" spans="2:40" x14ac:dyDescent="0.25">
      <c r="B129" s="68"/>
      <c r="AJ129" s="64">
        <f t="shared" si="12"/>
        <v>2.2999999999999821</v>
      </c>
      <c r="AK129" s="68">
        <f t="shared" si="9"/>
        <v>0.90887703898514238</v>
      </c>
      <c r="AL129" s="68">
        <f t="shared" si="10"/>
        <v>0.98009639626619061</v>
      </c>
      <c r="AM129" s="68">
        <f t="shared" si="11"/>
        <v>2.2999999999999821</v>
      </c>
      <c r="AN129" s="68">
        <f t="shared" si="7"/>
        <v>2.2999999999999821</v>
      </c>
    </row>
    <row r="130" spans="2:40" x14ac:dyDescent="0.25">
      <c r="B130" s="68"/>
      <c r="AJ130" s="64">
        <f t="shared" si="12"/>
        <v>2.3999999999999821</v>
      </c>
      <c r="AK130" s="68">
        <f t="shared" si="9"/>
        <v>0.91682730350607622</v>
      </c>
      <c r="AL130" s="68">
        <f t="shared" si="10"/>
        <v>0.98367485769367979</v>
      </c>
      <c r="AM130" s="68">
        <f t="shared" si="11"/>
        <v>2.3999999999999821</v>
      </c>
      <c r="AN130" s="68">
        <f t="shared" si="7"/>
        <v>2.3999999999999821</v>
      </c>
    </row>
    <row r="131" spans="2:40" x14ac:dyDescent="0.25">
      <c r="B131" s="68"/>
      <c r="AJ131" s="64">
        <f t="shared" si="12"/>
        <v>2.4999999999999822</v>
      </c>
      <c r="AK131" s="68">
        <f t="shared" si="9"/>
        <v>0.92414181997875522</v>
      </c>
      <c r="AL131" s="68">
        <f t="shared" si="10"/>
        <v>0.98661429815142987</v>
      </c>
      <c r="AM131" s="68">
        <f t="shared" si="11"/>
        <v>2.4999999999999822</v>
      </c>
      <c r="AN131" s="68">
        <f t="shared" si="7"/>
        <v>2.4999999999999822</v>
      </c>
    </row>
    <row r="132" spans="2:40" x14ac:dyDescent="0.25">
      <c r="B132" s="68"/>
      <c r="AJ132" s="64">
        <f t="shared" si="12"/>
        <v>2.5999999999999823</v>
      </c>
      <c r="AK132" s="68">
        <f t="shared" si="9"/>
        <v>0.93086157965665206</v>
      </c>
      <c r="AL132" s="68">
        <f t="shared" si="10"/>
        <v>0.98902740220109886</v>
      </c>
      <c r="AM132" s="68">
        <f t="shared" si="11"/>
        <v>2.5999999999999823</v>
      </c>
      <c r="AN132" s="68">
        <f t="shared" si="7"/>
        <v>2.5999999999999823</v>
      </c>
    </row>
    <row r="133" spans="2:40" x14ac:dyDescent="0.25">
      <c r="B133" s="68"/>
      <c r="AJ133" s="64">
        <f t="shared" si="12"/>
        <v>2.6999999999999824</v>
      </c>
      <c r="AK133" s="68">
        <f t="shared" si="9"/>
        <v>0.93702664394300239</v>
      </c>
      <c r="AL133" s="68">
        <f t="shared" si="10"/>
        <v>0.99100745367811738</v>
      </c>
      <c r="AM133" s="68">
        <f t="shared" si="11"/>
        <v>2.6999999999999824</v>
      </c>
      <c r="AN133" s="68">
        <f t="shared" si="7"/>
        <v>2.6999999999999824</v>
      </c>
    </row>
    <row r="134" spans="2:40" x14ac:dyDescent="0.25">
      <c r="B134" s="68"/>
      <c r="AJ134" s="64">
        <f t="shared" si="12"/>
        <v>2.7999999999999825</v>
      </c>
      <c r="AK134" s="68">
        <f t="shared" si="9"/>
        <v>0.94267582410113027</v>
      </c>
      <c r="AL134" s="68">
        <f t="shared" si="10"/>
        <v>0.99263152020112777</v>
      </c>
      <c r="AM134" s="68">
        <f t="shared" si="11"/>
        <v>2.7999999999999825</v>
      </c>
      <c r="AN134" s="68">
        <f t="shared" ref="AN134:AN197" si="13">IF(AJ134&gt;=0,AJ134,AJ134*$AN$2)</f>
        <v>2.7999999999999825</v>
      </c>
    </row>
    <row r="135" spans="2:40" x14ac:dyDescent="0.25">
      <c r="B135" s="68"/>
      <c r="AJ135" s="64">
        <f t="shared" ref="AJ135:AJ166" si="14">AJ134+$AI$2</f>
        <v>2.8999999999999826</v>
      </c>
      <c r="AK135" s="68">
        <f t="shared" ref="AK135:AK198" si="15">1/(1+EXP(-AJ135))</f>
        <v>0.94784643692158133</v>
      </c>
      <c r="AL135" s="68">
        <f t="shared" ref="AL135:AL198" si="16">TANH(AJ135)</f>
        <v>0.99396316735058288</v>
      </c>
      <c r="AM135" s="68">
        <f t="shared" ref="AM135:AM198" si="17">MAX(AJ135,0)</f>
        <v>2.8999999999999826</v>
      </c>
      <c r="AN135" s="68">
        <f t="shared" si="13"/>
        <v>2.8999999999999826</v>
      </c>
    </row>
    <row r="136" spans="2:40" x14ac:dyDescent="0.25">
      <c r="B136" s="68"/>
      <c r="AJ136" s="64">
        <f t="shared" si="14"/>
        <v>2.9999999999999827</v>
      </c>
      <c r="AK136" s="68">
        <f t="shared" si="15"/>
        <v>0.95257412682243248</v>
      </c>
      <c r="AL136" s="68">
        <f t="shared" si="16"/>
        <v>0.99505475368673013</v>
      </c>
      <c r="AM136" s="68">
        <f t="shared" si="17"/>
        <v>2.9999999999999827</v>
      </c>
      <c r="AN136" s="68">
        <f t="shared" si="13"/>
        <v>2.9999999999999827</v>
      </c>
    </row>
    <row r="137" spans="2:40" x14ac:dyDescent="0.25">
      <c r="B137" s="68"/>
      <c r="AJ137" s="64">
        <f t="shared" si="14"/>
        <v>3.0999999999999828</v>
      </c>
      <c r="AK137" s="68">
        <f t="shared" si="15"/>
        <v>0.95689274505891331</v>
      </c>
      <c r="AL137" s="68">
        <f t="shared" si="16"/>
        <v>0.99594935922189998</v>
      </c>
      <c r="AM137" s="68">
        <f t="shared" si="17"/>
        <v>3.0999999999999828</v>
      </c>
      <c r="AN137" s="68">
        <f t="shared" si="13"/>
        <v>3.0999999999999828</v>
      </c>
    </row>
    <row r="138" spans="2:40" x14ac:dyDescent="0.25">
      <c r="B138" s="68"/>
      <c r="AJ138" s="64">
        <f t="shared" si="14"/>
        <v>3.1999999999999829</v>
      </c>
      <c r="AK138" s="68">
        <f t="shared" si="15"/>
        <v>0.96083427720323511</v>
      </c>
      <c r="AL138" s="68">
        <f t="shared" si="16"/>
        <v>0.99668239783965096</v>
      </c>
      <c r="AM138" s="68">
        <f t="shared" si="17"/>
        <v>3.1999999999999829</v>
      </c>
      <c r="AN138" s="68">
        <f t="shared" si="13"/>
        <v>3.1999999999999829</v>
      </c>
    </row>
    <row r="139" spans="2:40" x14ac:dyDescent="0.25">
      <c r="B139" s="68"/>
      <c r="AJ139" s="64">
        <f t="shared" si="14"/>
        <v>3.2999999999999829</v>
      </c>
      <c r="AK139" s="68">
        <f t="shared" si="15"/>
        <v>0.96442881072736319</v>
      </c>
      <c r="AL139" s="68">
        <f t="shared" si="16"/>
        <v>0.99728296009914208</v>
      </c>
      <c r="AM139" s="68">
        <f t="shared" si="17"/>
        <v>3.2999999999999829</v>
      </c>
      <c r="AN139" s="68">
        <f t="shared" si="13"/>
        <v>3.2999999999999829</v>
      </c>
    </row>
    <row r="140" spans="2:40" x14ac:dyDescent="0.25">
      <c r="B140" s="68"/>
      <c r="AJ140" s="64">
        <f t="shared" si="14"/>
        <v>3.399999999999983</v>
      </c>
      <c r="AK140" s="68">
        <f t="shared" si="15"/>
        <v>0.96770453530154898</v>
      </c>
      <c r="AL140" s="68">
        <f t="shared" si="16"/>
        <v>0.99777492793427935</v>
      </c>
      <c r="AM140" s="68">
        <f t="shared" si="17"/>
        <v>3.399999999999983</v>
      </c>
      <c r="AN140" s="68">
        <f t="shared" si="13"/>
        <v>3.399999999999983</v>
      </c>
    </row>
    <row r="141" spans="2:40" x14ac:dyDescent="0.25">
      <c r="B141" s="68"/>
      <c r="AJ141" s="64">
        <f t="shared" si="14"/>
        <v>3.4999999999999831</v>
      </c>
      <c r="AK141" s="68">
        <f t="shared" si="15"/>
        <v>0.9706877692486432</v>
      </c>
      <c r="AL141" s="68">
        <f t="shared" si="16"/>
        <v>0.99817789761119868</v>
      </c>
      <c r="AM141" s="68">
        <f t="shared" si="17"/>
        <v>3.4999999999999831</v>
      </c>
      <c r="AN141" s="68">
        <f t="shared" si="13"/>
        <v>3.4999999999999831</v>
      </c>
    </row>
    <row r="142" spans="2:40" x14ac:dyDescent="0.25">
      <c r="B142" s="68"/>
      <c r="AJ142" s="64">
        <f t="shared" si="14"/>
        <v>3.5999999999999832</v>
      </c>
      <c r="AK142" s="68">
        <f t="shared" si="15"/>
        <v>0.9734030064231336</v>
      </c>
      <c r="AL142" s="68">
        <f t="shared" si="16"/>
        <v>0.99850794233232665</v>
      </c>
      <c r="AM142" s="68">
        <f t="shared" si="17"/>
        <v>3.5999999999999832</v>
      </c>
      <c r="AN142" s="68">
        <f t="shared" si="13"/>
        <v>3.5999999999999832</v>
      </c>
    </row>
    <row r="143" spans="2:40" x14ac:dyDescent="0.25">
      <c r="B143" s="68"/>
      <c r="AJ143" s="64">
        <f t="shared" si="14"/>
        <v>3.6999999999999833</v>
      </c>
      <c r="AK143" s="68">
        <f t="shared" si="15"/>
        <v>0.97587297858233035</v>
      </c>
      <c r="AL143" s="68">
        <f t="shared" si="16"/>
        <v>0.99877824128113124</v>
      </c>
      <c r="AM143" s="68">
        <f t="shared" si="17"/>
        <v>3.6999999999999833</v>
      </c>
      <c r="AN143" s="68">
        <f t="shared" si="13"/>
        <v>3.6999999999999833</v>
      </c>
    </row>
    <row r="144" spans="2:40" x14ac:dyDescent="0.25">
      <c r="B144" s="68"/>
      <c r="AJ144" s="64">
        <f t="shared" si="14"/>
        <v>3.7999999999999834</v>
      </c>
      <c r="AK144" s="68">
        <f t="shared" si="15"/>
        <v>0.97811872906386921</v>
      </c>
      <c r="AL144" s="68">
        <f t="shared" si="16"/>
        <v>0.9989995977858408</v>
      </c>
      <c r="AM144" s="68">
        <f t="shared" si="17"/>
        <v>3.7999999999999834</v>
      </c>
      <c r="AN144" s="68">
        <f t="shared" si="13"/>
        <v>3.7999999999999834</v>
      </c>
    </row>
    <row r="145" spans="2:40" x14ac:dyDescent="0.25">
      <c r="B145" s="68"/>
      <c r="AJ145" s="64">
        <f t="shared" si="14"/>
        <v>3.8999999999999835</v>
      </c>
      <c r="AK145" s="68">
        <f t="shared" si="15"/>
        <v>0.98015969426592209</v>
      </c>
      <c r="AL145" s="68">
        <f t="shared" si="16"/>
        <v>0.99918086567002773</v>
      </c>
      <c r="AM145" s="68">
        <f t="shared" si="17"/>
        <v>3.8999999999999835</v>
      </c>
      <c r="AN145" s="68">
        <f t="shared" si="13"/>
        <v>3.8999999999999835</v>
      </c>
    </row>
    <row r="146" spans="2:40" x14ac:dyDescent="0.25">
      <c r="B146" s="68"/>
      <c r="AJ146" s="64">
        <f t="shared" si="14"/>
        <v>3.9999999999999836</v>
      </c>
      <c r="AK146" s="68">
        <f t="shared" si="15"/>
        <v>0.98201379003790823</v>
      </c>
      <c r="AL146" s="68">
        <f t="shared" si="16"/>
        <v>0.99932929973906692</v>
      </c>
      <c r="AM146" s="68">
        <f t="shared" si="17"/>
        <v>3.9999999999999836</v>
      </c>
      <c r="AN146" s="68">
        <f t="shared" si="13"/>
        <v>3.9999999999999836</v>
      </c>
    </row>
    <row r="147" spans="2:40" x14ac:dyDescent="0.25">
      <c r="B147" s="68"/>
      <c r="AJ147" s="64">
        <f t="shared" si="14"/>
        <v>4.0999999999999837</v>
      </c>
      <c r="AK147" s="68">
        <f t="shared" si="15"/>
        <v>0.98369750062855887</v>
      </c>
      <c r="AL147" s="68">
        <f t="shared" si="16"/>
        <v>0.99945084368779735</v>
      </c>
      <c r="AM147" s="68">
        <f t="shared" si="17"/>
        <v>4.0999999999999837</v>
      </c>
      <c r="AN147" s="68">
        <f t="shared" si="13"/>
        <v>4.0999999999999837</v>
      </c>
    </row>
    <row r="148" spans="2:40" x14ac:dyDescent="0.25">
      <c r="B148" s="68"/>
      <c r="AJ148" s="64">
        <f t="shared" si="14"/>
        <v>4.1999999999999833</v>
      </c>
      <c r="AK148" s="68">
        <f t="shared" si="15"/>
        <v>0.98522596830672671</v>
      </c>
      <c r="AL148" s="68">
        <f t="shared" si="16"/>
        <v>0.99955036645953332</v>
      </c>
      <c r="AM148" s="68">
        <f t="shared" si="17"/>
        <v>4.1999999999999833</v>
      </c>
      <c r="AN148" s="68">
        <f t="shared" si="13"/>
        <v>4.1999999999999833</v>
      </c>
    </row>
    <row r="149" spans="2:40" x14ac:dyDescent="0.25">
      <c r="B149" s="68"/>
      <c r="AJ149" s="64">
        <f t="shared" si="14"/>
        <v>4.2999999999999829</v>
      </c>
      <c r="AK149" s="68">
        <f t="shared" si="15"/>
        <v>0.9866130821723349</v>
      </c>
      <c r="AL149" s="68">
        <f t="shared" si="16"/>
        <v>0.99963185619007322</v>
      </c>
      <c r="AM149" s="68">
        <f t="shared" si="17"/>
        <v>4.2999999999999829</v>
      </c>
      <c r="AN149" s="68">
        <f t="shared" si="13"/>
        <v>4.2999999999999829</v>
      </c>
    </row>
    <row r="150" spans="2:40" x14ac:dyDescent="0.25">
      <c r="B150" s="68"/>
      <c r="AJ150" s="64">
        <f t="shared" si="14"/>
        <v>4.3999999999999826</v>
      </c>
      <c r="AK150" s="68">
        <f t="shared" si="15"/>
        <v>0.98787156501572548</v>
      </c>
      <c r="AL150" s="68">
        <f t="shared" si="16"/>
        <v>0.99969857928388062</v>
      </c>
      <c r="AM150" s="68">
        <f t="shared" si="17"/>
        <v>4.3999999999999826</v>
      </c>
      <c r="AN150" s="68">
        <f t="shared" si="13"/>
        <v>4.3999999999999826</v>
      </c>
    </row>
    <row r="151" spans="2:40" x14ac:dyDescent="0.25">
      <c r="B151" s="68"/>
      <c r="AJ151" s="64">
        <f t="shared" si="14"/>
        <v>4.4999999999999822</v>
      </c>
      <c r="AK151" s="68">
        <f t="shared" si="15"/>
        <v>0.98901305736940659</v>
      </c>
      <c r="AL151" s="68">
        <f t="shared" si="16"/>
        <v>0.9997532108480276</v>
      </c>
      <c r="AM151" s="68">
        <f t="shared" si="17"/>
        <v>4.4999999999999822</v>
      </c>
      <c r="AN151" s="68">
        <f t="shared" si="13"/>
        <v>4.4999999999999822</v>
      </c>
    </row>
    <row r="152" spans="2:40" x14ac:dyDescent="0.25">
      <c r="B152" s="68"/>
      <c r="AJ152" s="64">
        <f t="shared" si="14"/>
        <v>4.5999999999999819</v>
      </c>
      <c r="AK152" s="68">
        <f t="shared" si="15"/>
        <v>0.99004819813309553</v>
      </c>
      <c r="AL152" s="68">
        <f t="shared" si="16"/>
        <v>0.99979794161218449</v>
      </c>
      <c r="AM152" s="68">
        <f t="shared" si="17"/>
        <v>4.5999999999999819</v>
      </c>
      <c r="AN152" s="68">
        <f t="shared" si="13"/>
        <v>4.5999999999999819</v>
      </c>
    </row>
    <row r="153" spans="2:40" x14ac:dyDescent="0.25">
      <c r="B153" s="68"/>
      <c r="AJ153" s="64">
        <f t="shared" si="14"/>
        <v>4.6999999999999815</v>
      </c>
      <c r="AK153" s="68">
        <f t="shared" si="15"/>
        <v>0.99098670134715205</v>
      </c>
      <c r="AL153" s="68">
        <f t="shared" si="16"/>
        <v>0.99983456555429673</v>
      </c>
      <c r="AM153" s="68">
        <f t="shared" si="17"/>
        <v>4.6999999999999815</v>
      </c>
      <c r="AN153" s="68">
        <f t="shared" si="13"/>
        <v>4.6999999999999815</v>
      </c>
    </row>
    <row r="154" spans="2:40" x14ac:dyDescent="0.25">
      <c r="B154" s="68"/>
      <c r="AJ154" s="64">
        <f t="shared" si="14"/>
        <v>4.7999999999999812</v>
      </c>
      <c r="AK154" s="68">
        <f t="shared" si="15"/>
        <v>0.9918374288468399</v>
      </c>
      <c r="AL154" s="68">
        <f t="shared" si="16"/>
        <v>0.9998645517007605</v>
      </c>
      <c r="AM154" s="68">
        <f t="shared" si="17"/>
        <v>4.7999999999999812</v>
      </c>
      <c r="AN154" s="68">
        <f t="shared" si="13"/>
        <v>4.7999999999999812</v>
      </c>
    </row>
    <row r="155" spans="2:40" x14ac:dyDescent="0.25">
      <c r="B155" s="68"/>
      <c r="AJ155" s="64">
        <f t="shared" si="14"/>
        <v>4.8999999999999808</v>
      </c>
      <c r="AK155" s="68">
        <f t="shared" si="15"/>
        <v>0.9926084586557179</v>
      </c>
      <c r="AL155" s="68">
        <f t="shared" si="16"/>
        <v>0.99988910295055433</v>
      </c>
      <c r="AM155" s="68">
        <f t="shared" si="17"/>
        <v>4.8999999999999808</v>
      </c>
      <c r="AN155" s="68">
        <f t="shared" si="13"/>
        <v>4.8999999999999808</v>
      </c>
    </row>
    <row r="156" spans="2:40" x14ac:dyDescent="0.25">
      <c r="B156" s="68"/>
      <c r="AJ156" s="64">
        <f t="shared" si="14"/>
        <v>4.9999999999999805</v>
      </c>
      <c r="AK156" s="68">
        <f t="shared" si="15"/>
        <v>0.99330714907571505</v>
      </c>
      <c r="AL156" s="68">
        <f t="shared" si="16"/>
        <v>0.999909204262595</v>
      </c>
      <c r="AM156" s="68">
        <f t="shared" si="17"/>
        <v>4.9999999999999805</v>
      </c>
      <c r="AN156" s="68">
        <f t="shared" si="13"/>
        <v>4.9999999999999805</v>
      </c>
    </row>
    <row r="157" spans="2:40" x14ac:dyDescent="0.25">
      <c r="B157" s="68"/>
      <c r="AJ157" s="64">
        <f t="shared" si="14"/>
        <v>5.0999999999999801</v>
      </c>
      <c r="AK157" s="68">
        <f t="shared" si="15"/>
        <v>0.99394019850841575</v>
      </c>
      <c r="AL157" s="68">
        <f t="shared" si="16"/>
        <v>0.99992566212579437</v>
      </c>
      <c r="AM157" s="68">
        <f t="shared" si="17"/>
        <v>5.0999999999999801</v>
      </c>
      <c r="AN157" s="68">
        <f t="shared" si="13"/>
        <v>5.0999999999999801</v>
      </c>
    </row>
    <row r="158" spans="2:40" x14ac:dyDescent="0.25">
      <c r="B158" s="68"/>
      <c r="AJ158" s="64">
        <f t="shared" si="14"/>
        <v>5.1999999999999797</v>
      </c>
      <c r="AK158" s="68">
        <f t="shared" si="15"/>
        <v>0.99451370110054949</v>
      </c>
      <c r="AL158" s="68">
        <f t="shared" si="16"/>
        <v>0.99993913688619884</v>
      </c>
      <c r="AM158" s="68">
        <f t="shared" si="17"/>
        <v>5.1999999999999797</v>
      </c>
      <c r="AN158" s="68">
        <f t="shared" si="13"/>
        <v>5.1999999999999797</v>
      </c>
    </row>
    <row r="159" spans="2:40" x14ac:dyDescent="0.25">
      <c r="B159" s="68"/>
      <c r="AJ159" s="64">
        <f t="shared" si="14"/>
        <v>5.2999999999999794</v>
      </c>
      <c r="AK159" s="68">
        <f t="shared" si="15"/>
        <v>0.99503319834994297</v>
      </c>
      <c r="AL159" s="68">
        <f t="shared" si="16"/>
        <v>0.99995016922212121</v>
      </c>
      <c r="AM159" s="68">
        <f t="shared" si="17"/>
        <v>5.2999999999999794</v>
      </c>
      <c r="AN159" s="68">
        <f t="shared" si="13"/>
        <v>5.2999999999999794</v>
      </c>
    </row>
    <row r="160" spans="2:40" x14ac:dyDescent="0.25">
      <c r="B160" s="68"/>
      <c r="AJ160" s="64">
        <f t="shared" si="14"/>
        <v>5.399999999999979</v>
      </c>
      <c r="AK160" s="68">
        <f t="shared" si="15"/>
        <v>0.99550372683905863</v>
      </c>
      <c r="AL160" s="68">
        <f t="shared" si="16"/>
        <v>0.99995920182544018</v>
      </c>
      <c r="AM160" s="68">
        <f t="shared" si="17"/>
        <v>5.399999999999979</v>
      </c>
      <c r="AN160" s="68">
        <f t="shared" si="13"/>
        <v>5.399999999999979</v>
      </c>
    </row>
    <row r="161" spans="2:40" x14ac:dyDescent="0.25">
      <c r="B161" s="68"/>
      <c r="AJ161" s="64">
        <f t="shared" si="14"/>
        <v>5.4999999999999787</v>
      </c>
      <c r="AK161" s="68">
        <f t="shared" si="15"/>
        <v>0.99592986228410374</v>
      </c>
      <c r="AL161" s="68">
        <f t="shared" si="16"/>
        <v>0.99996659715630376</v>
      </c>
      <c r="AM161" s="68">
        <f t="shared" si="17"/>
        <v>5.4999999999999787</v>
      </c>
      <c r="AN161" s="68">
        <f t="shared" si="13"/>
        <v>5.4999999999999787</v>
      </c>
    </row>
    <row r="162" spans="2:40" x14ac:dyDescent="0.25">
      <c r="B162" s="68"/>
      <c r="AJ162" s="64">
        <f t="shared" si="14"/>
        <v>5.5999999999999783</v>
      </c>
      <c r="AK162" s="68">
        <f t="shared" si="15"/>
        <v>0.99631576010056389</v>
      </c>
      <c r="AL162" s="68">
        <f t="shared" si="16"/>
        <v>0.99997265198183094</v>
      </c>
      <c r="AM162" s="68">
        <f t="shared" si="17"/>
        <v>5.5999999999999783</v>
      </c>
      <c r="AN162" s="68">
        <f t="shared" si="13"/>
        <v>5.5999999999999783</v>
      </c>
    </row>
    <row r="163" spans="2:40" x14ac:dyDescent="0.25">
      <c r="B163" s="68"/>
      <c r="AJ163" s="64">
        <f t="shared" si="14"/>
        <v>5.699999999999978</v>
      </c>
      <c r="AK163" s="68">
        <f t="shared" si="15"/>
        <v>0.99666519269258647</v>
      </c>
      <c r="AL163" s="68">
        <f t="shared" si="16"/>
        <v>0.99997760928098978</v>
      </c>
      <c r="AM163" s="68">
        <f t="shared" si="17"/>
        <v>5.699999999999978</v>
      </c>
      <c r="AN163" s="68">
        <f t="shared" si="13"/>
        <v>5.699999999999978</v>
      </c>
    </row>
    <row r="164" spans="2:40" x14ac:dyDescent="0.25">
      <c r="B164" s="68"/>
      <c r="AJ164" s="64">
        <f t="shared" si="14"/>
        <v>5.7999999999999776</v>
      </c>
      <c r="AK164" s="68">
        <f t="shared" si="15"/>
        <v>0.99698158367529144</v>
      </c>
      <c r="AL164" s="68">
        <f t="shared" si="16"/>
        <v>0.99998166799256039</v>
      </c>
      <c r="AM164" s="68">
        <f t="shared" si="17"/>
        <v>5.7999999999999776</v>
      </c>
      <c r="AN164" s="68">
        <f t="shared" si="13"/>
        <v>5.7999999999999776</v>
      </c>
    </row>
    <row r="165" spans="2:40" x14ac:dyDescent="0.25">
      <c r="B165" s="68"/>
      <c r="AJ165" s="64">
        <f t="shared" si="14"/>
        <v>5.8999999999999773</v>
      </c>
      <c r="AK165" s="68">
        <f t="shared" si="15"/>
        <v>0.99726803923698881</v>
      </c>
      <c r="AL165" s="68">
        <f t="shared" si="16"/>
        <v>0.99998499099680582</v>
      </c>
      <c r="AM165" s="68">
        <f t="shared" si="17"/>
        <v>5.8999999999999773</v>
      </c>
      <c r="AN165" s="68">
        <f t="shared" si="13"/>
        <v>5.8999999999999773</v>
      </c>
    </row>
    <row r="166" spans="2:40" x14ac:dyDescent="0.25">
      <c r="B166" s="68"/>
      <c r="AJ166" s="64">
        <f t="shared" si="14"/>
        <v>5.9999999999999769</v>
      </c>
      <c r="AK166" s="68">
        <f t="shared" si="15"/>
        <v>0.99752737684336512</v>
      </c>
      <c r="AL166" s="68">
        <f t="shared" si="16"/>
        <v>0.99998771165079559</v>
      </c>
      <c r="AM166" s="68">
        <f t="shared" si="17"/>
        <v>5.9999999999999769</v>
      </c>
      <c r="AN166" s="68">
        <f t="shared" si="13"/>
        <v>5.9999999999999769</v>
      </c>
    </row>
    <row r="167" spans="2:40" x14ac:dyDescent="0.25">
      <c r="B167" s="68"/>
      <c r="AJ167" s="64">
        <f t="shared" ref="AJ167:AJ198" si="18">AJ166+$AI$2</f>
        <v>6.0999999999999766</v>
      </c>
      <c r="AK167" s="68">
        <f t="shared" si="15"/>
        <v>0.9977621514787236</v>
      </c>
      <c r="AL167" s="68">
        <f t="shared" si="16"/>
        <v>0.99998993913939649</v>
      </c>
      <c r="AM167" s="68">
        <f t="shared" si="17"/>
        <v>6.0999999999999766</v>
      </c>
      <c r="AN167" s="68">
        <f t="shared" si="13"/>
        <v>6.0999999999999766</v>
      </c>
    </row>
    <row r="168" spans="2:40" x14ac:dyDescent="0.25">
      <c r="B168" s="68"/>
      <c r="AJ168" s="64">
        <f t="shared" si="18"/>
        <v>6.1999999999999762</v>
      </c>
      <c r="AK168" s="68">
        <f t="shared" si="15"/>
        <v>0.9979746796109501</v>
      </c>
      <c r="AL168" s="68">
        <f t="shared" si="16"/>
        <v>0.99999176285651037</v>
      </c>
      <c r="AM168" s="68">
        <f t="shared" si="17"/>
        <v>6.1999999999999762</v>
      </c>
      <c r="AN168" s="68">
        <f t="shared" si="13"/>
        <v>6.1999999999999762</v>
      </c>
    </row>
    <row r="169" spans="2:40" x14ac:dyDescent="0.25">
      <c r="B169" s="68"/>
      <c r="AJ169" s="64">
        <f t="shared" si="18"/>
        <v>6.2999999999999758</v>
      </c>
      <c r="AK169" s="68">
        <f t="shared" si="15"/>
        <v>0.99816706105750719</v>
      </c>
      <c r="AL169" s="68">
        <f t="shared" si="16"/>
        <v>0.99999325599227251</v>
      </c>
      <c r="AM169" s="68">
        <f t="shared" si="17"/>
        <v>6.2999999999999758</v>
      </c>
      <c r="AN169" s="68">
        <f t="shared" si="13"/>
        <v>6.2999999999999758</v>
      </c>
    </row>
    <row r="170" spans="2:40" x14ac:dyDescent="0.25">
      <c r="B170" s="68"/>
      <c r="AJ170" s="64">
        <f t="shared" si="18"/>
        <v>6.3999999999999755</v>
      </c>
      <c r="AK170" s="68">
        <f t="shared" si="15"/>
        <v>0.99834119891982553</v>
      </c>
      <c r="AL170" s="68">
        <f t="shared" si="16"/>
        <v>0.99999447847009948</v>
      </c>
      <c r="AM170" s="68">
        <f t="shared" si="17"/>
        <v>6.3999999999999755</v>
      </c>
      <c r="AN170" s="68">
        <f t="shared" si="13"/>
        <v>6.3999999999999755</v>
      </c>
    </row>
    <row r="171" spans="2:40" x14ac:dyDescent="0.25">
      <c r="B171" s="68"/>
      <c r="AJ171" s="64">
        <f t="shared" si="18"/>
        <v>6.4999999999999751</v>
      </c>
      <c r="AK171" s="68">
        <f t="shared" si="15"/>
        <v>0.99849881774326299</v>
      </c>
      <c r="AL171" s="68">
        <f t="shared" si="16"/>
        <v>0.99999547935140409</v>
      </c>
      <c r="AM171" s="68">
        <f t="shared" si="17"/>
        <v>6.4999999999999751</v>
      </c>
      <c r="AN171" s="68">
        <f t="shared" si="13"/>
        <v>6.4999999999999751</v>
      </c>
    </row>
    <row r="172" spans="2:40" x14ac:dyDescent="0.25">
      <c r="B172" s="68"/>
      <c r="AJ172" s="64">
        <f t="shared" si="18"/>
        <v>6.5999999999999748</v>
      </c>
      <c r="AK172" s="68">
        <f t="shared" si="15"/>
        <v>0.99864148004957087</v>
      </c>
      <c r="AL172" s="68">
        <f t="shared" si="16"/>
        <v>0.99999629880445418</v>
      </c>
      <c r="AM172" s="68">
        <f t="shared" si="17"/>
        <v>6.5999999999999748</v>
      </c>
      <c r="AN172" s="68">
        <f t="shared" si="13"/>
        <v>6.5999999999999748</v>
      </c>
    </row>
    <row r="173" spans="2:40" x14ac:dyDescent="0.25">
      <c r="B173" s="68"/>
      <c r="AJ173" s="64">
        <f t="shared" si="18"/>
        <v>6.6999999999999744</v>
      </c>
      <c r="AK173" s="68">
        <f t="shared" si="15"/>
        <v>0.99877060137872264</v>
      </c>
      <c r="AL173" s="68">
        <f t="shared" si="16"/>
        <v>0.99999696971636709</v>
      </c>
      <c r="AM173" s="68">
        <f t="shared" si="17"/>
        <v>6.6999999999999744</v>
      </c>
      <c r="AN173" s="68">
        <f t="shared" si="13"/>
        <v>6.6999999999999744</v>
      </c>
    </row>
    <row r="174" spans="2:40" x14ac:dyDescent="0.25">
      <c r="B174" s="68"/>
      <c r="AJ174" s="64">
        <f t="shared" si="18"/>
        <v>6.7999999999999741</v>
      </c>
      <c r="AK174" s="68">
        <f t="shared" si="15"/>
        <v>0.99888746396713957</v>
      </c>
      <c r="AL174" s="68">
        <f t="shared" si="16"/>
        <v>0.99999751901291778</v>
      </c>
      <c r="AM174" s="68">
        <f t="shared" si="17"/>
        <v>6.7999999999999741</v>
      </c>
      <c r="AN174" s="68">
        <f t="shared" si="13"/>
        <v>6.7999999999999741</v>
      </c>
    </row>
    <row r="175" spans="2:40" x14ac:dyDescent="0.25">
      <c r="B175" s="68"/>
      <c r="AJ175" s="64">
        <f t="shared" si="18"/>
        <v>6.8999999999999737</v>
      </c>
      <c r="AK175" s="68">
        <f t="shared" si="15"/>
        <v>0.9989932291799144</v>
      </c>
      <c r="AL175" s="68">
        <f t="shared" si="16"/>
        <v>0.99999796873912106</v>
      </c>
      <c r="AM175" s="68">
        <f t="shared" si="17"/>
        <v>6.8999999999999737</v>
      </c>
      <c r="AN175" s="68">
        <f t="shared" si="13"/>
        <v>6.8999999999999737</v>
      </c>
    </row>
    <row r="176" spans="2:40" x14ac:dyDescent="0.25">
      <c r="B176" s="68"/>
      <c r="AJ176" s="64">
        <f t="shared" si="18"/>
        <v>6.9999999999999734</v>
      </c>
      <c r="AK176" s="68">
        <f t="shared" si="15"/>
        <v>0.9990889488055994</v>
      </c>
      <c r="AL176" s="68">
        <f t="shared" si="16"/>
        <v>0.99999833694394469</v>
      </c>
      <c r="AM176" s="68">
        <f t="shared" si="17"/>
        <v>6.9999999999999734</v>
      </c>
      <c r="AN176" s="68">
        <f t="shared" si="13"/>
        <v>6.9999999999999734</v>
      </c>
    </row>
    <row r="177" spans="2:40" x14ac:dyDescent="0.25">
      <c r="B177" s="68"/>
      <c r="AJ177" s="64">
        <f t="shared" si="18"/>
        <v>7.099999999999973</v>
      </c>
      <c r="AK177" s="68">
        <f t="shared" si="15"/>
        <v>0.99917557531360168</v>
      </c>
      <c r="AL177" s="68">
        <f t="shared" si="16"/>
        <v>0.99999863840465819</v>
      </c>
      <c r="AM177" s="68">
        <f t="shared" si="17"/>
        <v>7.099999999999973</v>
      </c>
      <c r="AN177" s="68">
        <f t="shared" si="13"/>
        <v>7.099999999999973</v>
      </c>
    </row>
    <row r="178" spans="2:40" x14ac:dyDescent="0.25">
      <c r="B178" s="68"/>
      <c r="AJ178" s="64">
        <f t="shared" si="18"/>
        <v>7.1999999999999726</v>
      </c>
      <c r="AK178" s="68">
        <f t="shared" si="15"/>
        <v>0.99925397116616332</v>
      </c>
      <c r="AL178" s="68">
        <f t="shared" si="16"/>
        <v>0.99999888521988278</v>
      </c>
      <c r="AM178" s="68">
        <f t="shared" si="17"/>
        <v>7.1999999999999726</v>
      </c>
      <c r="AN178" s="68">
        <f t="shared" si="13"/>
        <v>7.1999999999999726</v>
      </c>
    </row>
    <row r="179" spans="2:40" x14ac:dyDescent="0.25">
      <c r="B179" s="68"/>
      <c r="AJ179" s="64">
        <f t="shared" si="18"/>
        <v>7.2999999999999723</v>
      </c>
      <c r="AK179" s="68">
        <f t="shared" si="15"/>
        <v>0.99932491726936723</v>
      </c>
      <c r="AL179" s="68">
        <f t="shared" si="16"/>
        <v>0.99999908729514309</v>
      </c>
      <c r="AM179" s="68">
        <f t="shared" si="17"/>
        <v>7.2999999999999723</v>
      </c>
      <c r="AN179" s="68">
        <f t="shared" si="13"/>
        <v>7.2999999999999723</v>
      </c>
    </row>
    <row r="180" spans="2:40" x14ac:dyDescent="0.25">
      <c r="B180" s="68"/>
      <c r="AJ180" s="64">
        <f t="shared" si="18"/>
        <v>7.3999999999999719</v>
      </c>
      <c r="AK180" s="68">
        <f t="shared" si="15"/>
        <v>0.99938912064056562</v>
      </c>
      <c r="AL180" s="68">
        <f t="shared" si="16"/>
        <v>0.99999925274040335</v>
      </c>
      <c r="AM180" s="68">
        <f t="shared" si="17"/>
        <v>7.3999999999999719</v>
      </c>
      <c r="AN180" s="68">
        <f t="shared" si="13"/>
        <v>7.3999999999999719</v>
      </c>
    </row>
    <row r="181" spans="2:40" x14ac:dyDescent="0.25">
      <c r="B181" s="68"/>
      <c r="AJ181" s="64">
        <f t="shared" si="18"/>
        <v>7.4999999999999716</v>
      </c>
      <c r="AK181" s="68">
        <f t="shared" si="15"/>
        <v>0.9994472213630764</v>
      </c>
      <c r="AL181" s="68">
        <f t="shared" si="16"/>
        <v>0.99999938819554623</v>
      </c>
      <c r="AM181" s="68">
        <f t="shared" si="17"/>
        <v>7.4999999999999716</v>
      </c>
      <c r="AN181" s="68">
        <f t="shared" si="13"/>
        <v>7.4999999999999716</v>
      </c>
    </row>
    <row r="182" spans="2:40" x14ac:dyDescent="0.25">
      <c r="B182" s="68"/>
      <c r="AJ182" s="64">
        <f t="shared" si="18"/>
        <v>7.5999999999999712</v>
      </c>
      <c r="AK182" s="68">
        <f t="shared" si="15"/>
        <v>0.99949979889292051</v>
      </c>
      <c r="AL182" s="68">
        <f t="shared" si="16"/>
        <v>0.99999949909685093</v>
      </c>
      <c r="AM182" s="68">
        <f t="shared" si="17"/>
        <v>7.5999999999999712</v>
      </c>
      <c r="AN182" s="68">
        <f t="shared" si="13"/>
        <v>7.5999999999999712</v>
      </c>
    </row>
    <row r="183" spans="2:40" x14ac:dyDescent="0.25">
      <c r="B183" s="68"/>
      <c r="AJ183" s="64">
        <f t="shared" si="18"/>
        <v>7.6999999999999709</v>
      </c>
      <c r="AK183" s="68">
        <f t="shared" si="15"/>
        <v>0.9995473777767595</v>
      </c>
      <c r="AL183" s="68">
        <f t="shared" si="16"/>
        <v>0.99999958989516891</v>
      </c>
      <c r="AM183" s="68">
        <f t="shared" si="17"/>
        <v>7.6999999999999709</v>
      </c>
      <c r="AN183" s="68">
        <f t="shared" si="13"/>
        <v>7.6999999999999709</v>
      </c>
    </row>
    <row r="184" spans="2:40" x14ac:dyDescent="0.25">
      <c r="B184" s="68"/>
      <c r="AJ184" s="64">
        <f t="shared" si="18"/>
        <v>7.7999999999999705</v>
      </c>
      <c r="AK184" s="68">
        <f t="shared" si="15"/>
        <v>0.99959043283501392</v>
      </c>
      <c r="AL184" s="68">
        <f t="shared" si="16"/>
        <v>0.99999966423455056</v>
      </c>
      <c r="AM184" s="68">
        <f t="shared" si="17"/>
        <v>7.7999999999999705</v>
      </c>
      <c r="AN184" s="68">
        <f t="shared" si="13"/>
        <v>7.7999999999999705</v>
      </c>
    </row>
    <row r="185" spans="2:40" x14ac:dyDescent="0.25">
      <c r="B185" s="68"/>
      <c r="AJ185" s="64">
        <f t="shared" si="18"/>
        <v>7.8999999999999702</v>
      </c>
      <c r="AK185" s="68">
        <f t="shared" si="15"/>
        <v>0.99962939385937355</v>
      </c>
      <c r="AL185" s="68">
        <f t="shared" si="16"/>
        <v>0.99999972509849233</v>
      </c>
      <c r="AM185" s="68">
        <f t="shared" si="17"/>
        <v>7.8999999999999702</v>
      </c>
      <c r="AN185" s="68">
        <f t="shared" si="13"/>
        <v>7.8999999999999702</v>
      </c>
    </row>
    <row r="186" spans="2:40" x14ac:dyDescent="0.25">
      <c r="B186" s="68"/>
      <c r="AJ186" s="64">
        <f t="shared" si="18"/>
        <v>7.9999999999999698</v>
      </c>
      <c r="AK186" s="68">
        <f t="shared" si="15"/>
        <v>0.99966464986953341</v>
      </c>
      <c r="AL186" s="68">
        <f t="shared" si="16"/>
        <v>0.99999977492967596</v>
      </c>
      <c r="AM186" s="68">
        <f t="shared" si="17"/>
        <v>7.9999999999999698</v>
      </c>
      <c r="AN186" s="68">
        <f t="shared" si="13"/>
        <v>7.9999999999999698</v>
      </c>
    </row>
    <row r="187" spans="2:40" x14ac:dyDescent="0.25">
      <c r="B187" s="68"/>
      <c r="AJ187" s="64">
        <f t="shared" si="18"/>
        <v>8.0999999999999694</v>
      </c>
      <c r="AK187" s="68">
        <f t="shared" si="15"/>
        <v>0.99969655296997117</v>
      </c>
      <c r="AL187" s="68">
        <f t="shared" si="16"/>
        <v>0.99999981572800023</v>
      </c>
      <c r="AM187" s="68">
        <f t="shared" si="17"/>
        <v>8.0999999999999694</v>
      </c>
      <c r="AN187" s="68">
        <f t="shared" si="13"/>
        <v>8.0999999999999694</v>
      </c>
    </row>
    <row r="188" spans="2:40" x14ac:dyDescent="0.25">
      <c r="B188" s="68"/>
      <c r="AJ188" s="64">
        <f t="shared" si="18"/>
        <v>8.1999999999999691</v>
      </c>
      <c r="AK188" s="68">
        <f t="shared" si="15"/>
        <v>0.99972542184389857</v>
      </c>
      <c r="AL188" s="68">
        <f t="shared" si="16"/>
        <v>0.99999984913084428</v>
      </c>
      <c r="AM188" s="68">
        <f t="shared" si="17"/>
        <v>8.1999999999999691</v>
      </c>
      <c r="AN188" s="68">
        <f t="shared" si="13"/>
        <v>8.1999999999999691</v>
      </c>
    </row>
    <row r="189" spans="2:40" x14ac:dyDescent="0.25">
      <c r="B189" s="68"/>
      <c r="AJ189" s="64">
        <f t="shared" si="18"/>
        <v>8.2999999999999687</v>
      </c>
      <c r="AK189" s="68">
        <f t="shared" si="15"/>
        <v>0.99975154491816054</v>
      </c>
      <c r="AL189" s="68">
        <f t="shared" si="16"/>
        <v>0.99999987647878097</v>
      </c>
      <c r="AM189" s="68">
        <f t="shared" si="17"/>
        <v>8.2999999999999687</v>
      </c>
      <c r="AN189" s="68">
        <f t="shared" si="13"/>
        <v>8.2999999999999687</v>
      </c>
    </row>
    <row r="190" spans="2:40" x14ac:dyDescent="0.25">
      <c r="B190" s="68"/>
      <c r="AJ190" s="64">
        <f t="shared" si="18"/>
        <v>8.3999999999999684</v>
      </c>
      <c r="AK190" s="68">
        <f t="shared" si="15"/>
        <v>0.99977518322976666</v>
      </c>
      <c r="AL190" s="68">
        <f t="shared" si="16"/>
        <v>0.99999989886937801</v>
      </c>
      <c r="AM190" s="68">
        <f t="shared" si="17"/>
        <v>8.3999999999999684</v>
      </c>
      <c r="AN190" s="68">
        <f t="shared" si="13"/>
        <v>8.3999999999999684</v>
      </c>
    </row>
    <row r="191" spans="2:40" x14ac:dyDescent="0.25">
      <c r="B191" s="68"/>
      <c r="AJ191" s="64">
        <f t="shared" si="18"/>
        <v>8.499999999999968</v>
      </c>
      <c r="AK191" s="68">
        <f t="shared" si="15"/>
        <v>0.9997965730219448</v>
      </c>
      <c r="AL191" s="68">
        <f t="shared" si="16"/>
        <v>0.99999991720124892</v>
      </c>
      <c r="AM191" s="68">
        <f t="shared" si="17"/>
        <v>8.499999999999968</v>
      </c>
      <c r="AN191" s="68">
        <f t="shared" si="13"/>
        <v>8.499999999999968</v>
      </c>
    </row>
    <row r="192" spans="2:40" x14ac:dyDescent="0.25">
      <c r="B192" s="68"/>
      <c r="AJ192" s="64">
        <f t="shared" si="18"/>
        <v>8.5999999999999677</v>
      </c>
      <c r="AK192" s="68">
        <f t="shared" si="15"/>
        <v>0.99981592809503661</v>
      </c>
      <c r="AL192" s="68">
        <f t="shared" si="16"/>
        <v>0.99999993221011574</v>
      </c>
      <c r="AM192" s="68">
        <f t="shared" si="17"/>
        <v>8.5999999999999677</v>
      </c>
      <c r="AN192" s="68">
        <f t="shared" si="13"/>
        <v>8.5999999999999677</v>
      </c>
    </row>
    <row r="193" spans="2:40" x14ac:dyDescent="0.25">
      <c r="B193" s="68"/>
      <c r="AJ193" s="64">
        <f t="shared" si="18"/>
        <v>8.6999999999999673</v>
      </c>
      <c r="AK193" s="68">
        <f t="shared" si="15"/>
        <v>0.99983344193522272</v>
      </c>
      <c r="AL193" s="68">
        <f t="shared" si="16"/>
        <v>0.99999994449833673</v>
      </c>
      <c r="AM193" s="68">
        <f t="shared" si="17"/>
        <v>8.6999999999999673</v>
      </c>
      <c r="AN193" s="68">
        <f t="shared" si="13"/>
        <v>8.6999999999999673</v>
      </c>
    </row>
    <row r="194" spans="2:40" x14ac:dyDescent="0.25">
      <c r="B194" s="68"/>
      <c r="AJ194" s="64">
        <f t="shared" si="18"/>
        <v>8.799999999999967</v>
      </c>
      <c r="AK194" s="68">
        <f t="shared" si="15"/>
        <v>0.99984928964194031</v>
      </c>
      <c r="AL194" s="68">
        <f t="shared" si="16"/>
        <v>0.99999995455908108</v>
      </c>
      <c r="AM194" s="68">
        <f t="shared" si="17"/>
        <v>8.799999999999967</v>
      </c>
      <c r="AN194" s="68">
        <f t="shared" si="13"/>
        <v>8.799999999999967</v>
      </c>
    </row>
    <row r="195" spans="2:40" x14ac:dyDescent="0.25">
      <c r="B195" s="68"/>
      <c r="AJ195" s="64">
        <f t="shared" si="18"/>
        <v>8.8999999999999666</v>
      </c>
      <c r="AK195" s="68">
        <f t="shared" si="15"/>
        <v>0.99986362967292042</v>
      </c>
      <c r="AL195" s="68">
        <f t="shared" si="16"/>
        <v>0.99999996279612202</v>
      </c>
      <c r="AM195" s="68">
        <f t="shared" si="17"/>
        <v>8.8999999999999666</v>
      </c>
      <c r="AN195" s="68">
        <f t="shared" si="13"/>
        <v>8.8999999999999666</v>
      </c>
    </row>
    <row r="196" spans="2:40" x14ac:dyDescent="0.25">
      <c r="B196" s="68"/>
      <c r="AJ196" s="64">
        <f t="shared" si="18"/>
        <v>8.9999999999999662</v>
      </c>
      <c r="AK196" s="68">
        <f t="shared" si="15"/>
        <v>0.99987660542401369</v>
      </c>
      <c r="AL196" s="68">
        <f t="shared" si="16"/>
        <v>0.99999996954004089</v>
      </c>
      <c r="AM196" s="68">
        <f t="shared" si="17"/>
        <v>8.9999999999999662</v>
      </c>
      <c r="AN196" s="68">
        <f t="shared" si="13"/>
        <v>8.9999999999999662</v>
      </c>
    </row>
    <row r="197" spans="2:40" x14ac:dyDescent="0.25">
      <c r="B197" s="68"/>
      <c r="AJ197" s="64">
        <f t="shared" si="18"/>
        <v>9.0999999999999659</v>
      </c>
      <c r="AK197" s="68">
        <f t="shared" si="15"/>
        <v>0.99988834665937043</v>
      </c>
      <c r="AL197" s="68">
        <f t="shared" si="16"/>
        <v>0.99999997506149496</v>
      </c>
      <c r="AM197" s="68">
        <f t="shared" si="17"/>
        <v>9.0999999999999659</v>
      </c>
      <c r="AN197" s="68">
        <f t="shared" si="13"/>
        <v>9.0999999999999659</v>
      </c>
    </row>
    <row r="198" spans="2:40" x14ac:dyDescent="0.25">
      <c r="B198" s="68"/>
      <c r="AJ198" s="64">
        <f t="shared" si="18"/>
        <v>9.1999999999999655</v>
      </c>
      <c r="AK198" s="68">
        <f t="shared" si="15"/>
        <v>0.99989897080609225</v>
      </c>
      <c r="AL198" s="68">
        <f t="shared" si="16"/>
        <v>0.99999997958207865</v>
      </c>
      <c r="AM198" s="68">
        <f t="shared" si="17"/>
        <v>9.1999999999999655</v>
      </c>
      <c r="AN198" s="68">
        <f t="shared" ref="AN198:AN206" si="19">IF(AJ198&gt;=0,AJ198,AJ198*$AN$2)</f>
        <v>9.1999999999999655</v>
      </c>
    </row>
    <row r="199" spans="2:40" x14ac:dyDescent="0.25">
      <c r="B199" s="68"/>
      <c r="AJ199" s="64">
        <f t="shared" ref="AJ199:AJ206" si="20">AJ198+$AI$2</f>
        <v>9.2999999999999652</v>
      </c>
      <c r="AK199" s="68">
        <f t="shared" ref="AK199:AK206" si="21">1/(1+EXP(-AJ199))</f>
        <v>0.9999085841261478</v>
      </c>
      <c r="AL199" s="68">
        <f t="shared" ref="AL199:AL206" si="22">TANH(AJ199)</f>
        <v>0.99999998328321982</v>
      </c>
      <c r="AM199" s="68">
        <f t="shared" ref="AM199:AM206" si="23">MAX(AJ199,0)</f>
        <v>9.2999999999999652</v>
      </c>
      <c r="AN199" s="68">
        <f t="shared" si="19"/>
        <v>9.2999999999999652</v>
      </c>
    </row>
    <row r="200" spans="2:40" x14ac:dyDescent="0.25">
      <c r="B200" s="68"/>
      <c r="AJ200" s="64">
        <f t="shared" si="20"/>
        <v>9.3999999999999648</v>
      </c>
      <c r="AK200" s="68">
        <f t="shared" si="21"/>
        <v>0.99991728277714842</v>
      </c>
      <c r="AL200" s="68">
        <f t="shared" si="22"/>
        <v>0.9999999863134581</v>
      </c>
      <c r="AM200" s="68">
        <f t="shared" si="23"/>
        <v>9.3999999999999648</v>
      </c>
      <c r="AN200" s="68">
        <f t="shared" si="19"/>
        <v>9.3999999999999648</v>
      </c>
    </row>
    <row r="201" spans="2:40" x14ac:dyDescent="0.25">
      <c r="B201" s="68"/>
      <c r="AJ201" s="64">
        <f t="shared" si="20"/>
        <v>9.4999999999999645</v>
      </c>
      <c r="AK201" s="68">
        <f t="shared" si="21"/>
        <v>0.99992515377248947</v>
      </c>
      <c r="AL201" s="68">
        <f t="shared" si="22"/>
        <v>0.9999999887944071</v>
      </c>
      <c r="AM201" s="68">
        <f t="shared" si="23"/>
        <v>9.4999999999999645</v>
      </c>
      <c r="AN201" s="68">
        <f t="shared" si="19"/>
        <v>9.4999999999999645</v>
      </c>
    </row>
    <row r="202" spans="2:40" x14ac:dyDescent="0.25">
      <c r="B202" s="68"/>
      <c r="AJ202" s="64">
        <f t="shared" si="20"/>
        <v>9.5999999999999641</v>
      </c>
      <c r="AK202" s="68">
        <f t="shared" si="21"/>
        <v>0.99993227585038036</v>
      </c>
      <c r="AL202" s="68">
        <f t="shared" si="22"/>
        <v>0.99999999082563651</v>
      </c>
      <c r="AM202" s="68">
        <f t="shared" si="23"/>
        <v>9.5999999999999641</v>
      </c>
      <c r="AN202" s="68">
        <f t="shared" si="19"/>
        <v>9.5999999999999641</v>
      </c>
    </row>
    <row r="203" spans="2:40" x14ac:dyDescent="0.25">
      <c r="B203" s="68"/>
      <c r="AJ203" s="64">
        <f t="shared" si="20"/>
        <v>9.6999999999999638</v>
      </c>
      <c r="AK203" s="68">
        <f t="shared" si="21"/>
        <v>0.99993872026038333</v>
      </c>
      <c r="AL203" s="68">
        <f t="shared" si="22"/>
        <v>0.99999999248866644</v>
      </c>
      <c r="AM203" s="68">
        <f t="shared" si="23"/>
        <v>9.6999999999999638</v>
      </c>
      <c r="AN203" s="68">
        <f t="shared" si="19"/>
        <v>9.6999999999999638</v>
      </c>
    </row>
    <row r="204" spans="2:40" x14ac:dyDescent="0.25">
      <c r="B204" s="68"/>
      <c r="AJ204" s="64">
        <f t="shared" si="20"/>
        <v>9.7999999999999634</v>
      </c>
      <c r="AK204" s="68">
        <f t="shared" si="21"/>
        <v>0.99994455147527717</v>
      </c>
      <c r="AL204" s="68">
        <f t="shared" si="22"/>
        <v>0.99999999385024008</v>
      </c>
      <c r="AM204" s="68">
        <f t="shared" si="23"/>
        <v>9.7999999999999634</v>
      </c>
      <c r="AN204" s="68">
        <f t="shared" si="19"/>
        <v>9.7999999999999634</v>
      </c>
    </row>
    <row r="205" spans="2:40" x14ac:dyDescent="0.25">
      <c r="B205" s="68"/>
      <c r="AJ205" s="64">
        <f t="shared" si="20"/>
        <v>9.8999999999999631</v>
      </c>
      <c r="AK205" s="68">
        <f t="shared" si="21"/>
        <v>0.99994982783531616</v>
      </c>
      <c r="AL205" s="68">
        <f t="shared" si="22"/>
        <v>0.99999999496500247</v>
      </c>
      <c r="AM205" s="68">
        <f t="shared" si="23"/>
        <v>9.8999999999999631</v>
      </c>
      <c r="AN205" s="68">
        <f t="shared" si="19"/>
        <v>9.8999999999999631</v>
      </c>
    </row>
    <row r="206" spans="2:40" x14ac:dyDescent="0.25">
      <c r="B206" s="68"/>
      <c r="AJ206" s="64">
        <f t="shared" si="20"/>
        <v>9.9999999999999627</v>
      </c>
      <c r="AK206" s="68">
        <f t="shared" si="21"/>
        <v>0.99995460213129761</v>
      </c>
      <c r="AL206" s="68">
        <f t="shared" si="22"/>
        <v>0.99999999587769262</v>
      </c>
      <c r="AM206" s="68">
        <f t="shared" si="23"/>
        <v>9.9999999999999627</v>
      </c>
      <c r="AN206" s="68">
        <f t="shared" si="19"/>
        <v>9.9999999999999627</v>
      </c>
    </row>
  </sheetData>
  <conditionalFormatting sqref="B3">
    <cfRule type="dataBar" priority="4">
      <dataBar>
        <cfvo type="num" val="-5"/>
        <cfvo type="num" val="5"/>
        <color rgb="FF638EC6"/>
      </dataBar>
      <extLst>
        <ext xmlns:x14="http://schemas.microsoft.com/office/spreadsheetml/2009/9/main" uri="{B025F937-C7B1-47D3-B67F-A62EFF666E3E}">
          <x14:id>{562EACB1-D2CD-4CF3-918C-DF512E4FB3E9}</x14:id>
        </ext>
      </extLst>
    </cfRule>
  </conditionalFormatting>
  <conditionalFormatting sqref="C3"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{5081CEB3-62D8-4857-B97B-FBC56F543ADB}</x14:id>
        </ext>
      </extLst>
    </cfRule>
  </conditionalFormatting>
  <conditionalFormatting sqref="D3">
    <cfRule type="dataBar" priority="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{ED3FFE35-BAE4-45DD-87A5-14DD9B940AEB}</x14:id>
        </ext>
      </extLst>
    </cfRule>
  </conditionalFormatting>
  <conditionalFormatting sqref="E3:F3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{E0A7328A-AC3F-45A6-BDA5-F89B6BF48E02}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Scroll Bar 1">
              <controlPr defaultSize="0" autoPict="0">
                <anchor moveWithCells="1">
                  <from>
                    <xdr:col>0</xdr:col>
                    <xdr:colOff>381000</xdr:colOff>
                    <xdr:row>4</xdr:row>
                    <xdr:rowOff>142875</xdr:rowOff>
                  </from>
                  <to>
                    <xdr:col>1</xdr:col>
                    <xdr:colOff>542925</xdr:colOff>
                    <xdr:row>42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2EACB1-D2CD-4CF3-918C-DF512E4FB3E9}">
            <x14:dataBar minLength="0" maxLength="100" gradient="0">
              <x14:cfvo type="num">
                <xm:f>-5</xm:f>
              </x14:cfvo>
              <x14:cfvo type="num">
                <xm:f>5</xm:f>
              </x14:cfvo>
              <x14:negativeFill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5081CEB3-62D8-4857-B97B-FBC56F543A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C3</xm:sqref>
        </x14:conditionalFormatting>
        <x14:conditionalFormatting xmlns:xm="http://schemas.microsoft.com/office/excel/2006/main">
          <x14:cfRule type="dataBar" id="{ED3FFE35-BAE4-45DD-87A5-14DD9B940A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D3</xm:sqref>
        </x14:conditionalFormatting>
        <x14:conditionalFormatting xmlns:xm="http://schemas.microsoft.com/office/excel/2006/main">
          <x14:cfRule type="dataBar" id="{E0A7328A-AC3F-45A6-BDA5-F89B6BF48E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E3:F3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O34"/>
  <sheetViews>
    <sheetView showGridLines="0" tabSelected="1" zoomScale="80" zoomScaleNormal="80" workbookViewId="0">
      <selection activeCell="N7" sqref="N7"/>
    </sheetView>
  </sheetViews>
  <sheetFormatPr defaultRowHeight="15" x14ac:dyDescent="0.25"/>
  <cols>
    <col min="1" max="1" width="5.28515625" customWidth="1"/>
    <col min="6" max="6" width="13.42578125" customWidth="1"/>
    <col min="7" max="7" width="15.85546875" bestFit="1" customWidth="1"/>
    <col min="8" max="8" width="7.5703125" customWidth="1"/>
    <col min="9" max="10" width="9.42578125" customWidth="1"/>
    <col min="11" max="11" width="25" customWidth="1"/>
    <col min="12" max="14" width="15.28515625" customWidth="1"/>
    <col min="15" max="15" width="16.140625" customWidth="1"/>
    <col min="16" max="16" width="14.140625" customWidth="1"/>
    <col min="17" max="19" width="15.28515625" customWidth="1"/>
    <col min="20" max="20" width="14.7109375" customWidth="1"/>
    <col min="21" max="21" width="16.140625" customWidth="1"/>
    <col min="28" max="32" width="53.28515625" customWidth="1"/>
    <col min="35" max="35" width="68.42578125" customWidth="1"/>
    <col min="36" max="41" width="13.42578125" customWidth="1"/>
    <col min="42" max="42" width="10.85546875" customWidth="1"/>
  </cols>
  <sheetData>
    <row r="1" spans="2:38" ht="27" customHeight="1" x14ac:dyDescent="0.3">
      <c r="K1" s="24"/>
      <c r="L1" s="113" t="s">
        <v>8</v>
      </c>
      <c r="M1" s="113"/>
      <c r="N1" s="113"/>
      <c r="O1" s="24"/>
    </row>
    <row r="2" spans="2:38" ht="23.25" customHeight="1" thickBot="1" x14ac:dyDescent="0.35"/>
    <row r="3" spans="2:38" ht="32.25" customHeight="1" thickBot="1" x14ac:dyDescent="0.35">
      <c r="L3" s="98" t="s">
        <v>9</v>
      </c>
      <c r="M3" s="99"/>
      <c r="N3" s="100"/>
    </row>
    <row r="4" spans="2:38" ht="32.25" customHeight="1" x14ac:dyDescent="0.25">
      <c r="C4" s="83"/>
      <c r="G4" s="118" t="str">
        <f>IF(AND(E14=F14,E15=F15,E16=F16,E17=F17),"J", "L")</f>
        <v>L</v>
      </c>
      <c r="H4" s="119"/>
      <c r="I4" s="120"/>
      <c r="L4" s="21" t="s">
        <v>22</v>
      </c>
      <c r="M4" s="18" t="s">
        <v>11</v>
      </c>
      <c r="N4" s="22" t="s">
        <v>0</v>
      </c>
    </row>
    <row r="5" spans="2:38" ht="32.25" customHeight="1" x14ac:dyDescent="0.25">
      <c r="G5" s="121"/>
      <c r="H5" s="122"/>
      <c r="I5" s="123"/>
      <c r="L5" s="6" t="s">
        <v>36</v>
      </c>
      <c r="M5" s="25">
        <f>(AK17-100)/5</f>
        <v>-20</v>
      </c>
      <c r="N5" s="23"/>
    </row>
    <row r="6" spans="2:38" ht="32.25" customHeight="1" x14ac:dyDescent="0.25">
      <c r="G6" s="121"/>
      <c r="H6" s="122"/>
      <c r="I6" s="123"/>
      <c r="L6" s="6" t="s">
        <v>28</v>
      </c>
      <c r="M6" s="25">
        <f t="shared" ref="M6:M7" si="0">(AK18-100)/5</f>
        <v>-20</v>
      </c>
      <c r="N6" s="30">
        <f ca="1">($J$14*M6)+($J$17*M7)+M5</f>
        <v>-20</v>
      </c>
      <c r="Q6" s="51" t="s">
        <v>27</v>
      </c>
      <c r="R6" s="51"/>
      <c r="S6" s="51"/>
    </row>
    <row r="7" spans="2:38" ht="32.25" customHeight="1" thickBot="1" x14ac:dyDescent="0.3">
      <c r="G7" s="121"/>
      <c r="H7" s="122"/>
      <c r="I7" s="123"/>
      <c r="L7" s="7" t="s">
        <v>29</v>
      </c>
      <c r="M7" s="44">
        <f t="shared" si="0"/>
        <v>-19.600000000000001</v>
      </c>
      <c r="N7" s="45">
        <f ca="1">1/(1+EXP(-sigmoid_slope *N6))</f>
        <v>1.2470445538772557E-15</v>
      </c>
      <c r="R7" s="5"/>
      <c r="S7" s="5"/>
      <c r="U7" s="4"/>
    </row>
    <row r="8" spans="2:38" ht="32.25" customHeight="1" thickBot="1" x14ac:dyDescent="0.3">
      <c r="G8" s="124"/>
      <c r="H8" s="125"/>
      <c r="I8" s="126"/>
      <c r="Q8" s="109" t="s">
        <v>23</v>
      </c>
      <c r="R8" s="110"/>
      <c r="S8" s="111"/>
    </row>
    <row r="9" spans="2:38" ht="32.25" customHeight="1" thickBot="1" x14ac:dyDescent="0.35">
      <c r="L9" s="93" t="s">
        <v>24</v>
      </c>
      <c r="M9" s="94"/>
      <c r="N9" s="94"/>
      <c r="O9" s="95"/>
      <c r="Q9" s="21" t="s">
        <v>22</v>
      </c>
      <c r="R9" s="18" t="s">
        <v>11</v>
      </c>
      <c r="S9" s="22" t="s">
        <v>0</v>
      </c>
      <c r="U9" s="27" t="s">
        <v>14</v>
      </c>
      <c r="V9" s="28">
        <f ca="1">E13</f>
        <v>0</v>
      </c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</row>
    <row r="10" spans="2:38" ht="32.25" customHeight="1" thickBot="1" x14ac:dyDescent="0.35">
      <c r="C10" s="114" t="s">
        <v>15</v>
      </c>
      <c r="D10" s="115"/>
      <c r="E10" s="56">
        <v>1</v>
      </c>
      <c r="L10" s="6" t="s">
        <v>36</v>
      </c>
      <c r="M10" s="103"/>
      <c r="N10" s="104"/>
      <c r="O10" s="105"/>
      <c r="Q10" s="6" t="s">
        <v>33</v>
      </c>
      <c r="R10" s="25">
        <f>(AK23-100)/5</f>
        <v>-20</v>
      </c>
      <c r="S10" s="30"/>
      <c r="U10" s="27" t="s">
        <v>13</v>
      </c>
      <c r="V10" s="29">
        <f ca="1">S12</f>
        <v>1.2470445538771492E-15</v>
      </c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</row>
    <row r="11" spans="2:38" ht="32.25" customHeight="1" thickBot="1" x14ac:dyDescent="0.35">
      <c r="C11" s="116" t="s">
        <v>18</v>
      </c>
      <c r="D11" s="117"/>
      <c r="E11" s="60" t="s">
        <v>2</v>
      </c>
      <c r="I11" s="112" t="s">
        <v>7</v>
      </c>
      <c r="J11" s="112"/>
      <c r="L11" s="6" t="s">
        <v>28</v>
      </c>
      <c r="M11" s="91"/>
      <c r="N11" s="91"/>
      <c r="O11" s="92"/>
      <c r="Q11" s="6" t="s">
        <v>34</v>
      </c>
      <c r="R11" s="25">
        <f>(AK24-100)/5</f>
        <v>-20</v>
      </c>
      <c r="S11" s="30">
        <f ca="1">($N$7*R11)+($N$19*R12)+R10</f>
        <v>-20.00000000000005</v>
      </c>
      <c r="U11" s="27" t="s">
        <v>12</v>
      </c>
      <c r="V11" s="29">
        <f ca="1">V9-V10</f>
        <v>-1.2470445538771492E-15</v>
      </c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</row>
    <row r="12" spans="2:38" ht="32.25" customHeight="1" thickBot="1" x14ac:dyDescent="0.35">
      <c r="B12" s="47" t="s">
        <v>21</v>
      </c>
      <c r="C12" s="57" t="s">
        <v>5</v>
      </c>
      <c r="D12" s="58" t="s">
        <v>6</v>
      </c>
      <c r="E12" s="61" t="s">
        <v>4</v>
      </c>
      <c r="F12" s="47" t="s">
        <v>1</v>
      </c>
      <c r="G12" s="49" t="s">
        <v>19</v>
      </c>
      <c r="L12" s="7" t="s">
        <v>29</v>
      </c>
      <c r="M12" s="106"/>
      <c r="N12" s="107"/>
      <c r="O12" s="108"/>
      <c r="Q12" s="7" t="s">
        <v>35</v>
      </c>
      <c r="R12" s="44">
        <f>(AK25-100)/5</f>
        <v>-20</v>
      </c>
      <c r="S12" s="45">
        <f ca="1">1/(1+EXP(-sigmoid_slope * S11))</f>
        <v>1.2470445538771492E-15</v>
      </c>
    </row>
    <row r="13" spans="2:38" ht="32.25" hidden="1" customHeight="1" thickBot="1" x14ac:dyDescent="0.4">
      <c r="B13" s="48"/>
      <c r="C13" s="43">
        <f ca="1">OFFSET(C12,current_Row+1,0)</f>
        <v>0</v>
      </c>
      <c r="D13" s="59">
        <f ca="1">OFFSET(D12,current_Row+1,0)</f>
        <v>0</v>
      </c>
      <c r="E13" s="62">
        <f ca="1">OFFSET(E12,current_Row+1,0)</f>
        <v>0</v>
      </c>
      <c r="F13" s="48"/>
      <c r="G13" s="50"/>
      <c r="I13" s="17"/>
      <c r="J13" s="17"/>
    </row>
    <row r="14" spans="2:38" ht="32.25" customHeight="1" thickBot="1" x14ac:dyDescent="0.35">
      <c r="B14" s="52">
        <v>1</v>
      </c>
      <c r="C14" s="36">
        <v>0</v>
      </c>
      <c r="D14" s="37">
        <v>0</v>
      </c>
      <c r="E14" s="38">
        <v>0</v>
      </c>
      <c r="F14" s="54">
        <f>IF(F24&gt;0.5,1,0)</f>
        <v>0</v>
      </c>
      <c r="G14" s="42" t="str">
        <f>IF(E14=F14,"ü", "û")</f>
        <v>ü</v>
      </c>
      <c r="I14" s="20" t="s">
        <v>5</v>
      </c>
      <c r="J14" s="19">
        <f ca="1">C13</f>
        <v>0</v>
      </c>
    </row>
    <row r="15" spans="2:38" ht="32.25" customHeight="1" x14ac:dyDescent="0.25">
      <c r="B15" s="52">
        <v>2</v>
      </c>
      <c r="C15" s="36">
        <v>1</v>
      </c>
      <c r="D15" s="37">
        <v>0</v>
      </c>
      <c r="E15" s="38">
        <v>1</v>
      </c>
      <c r="F15" s="54">
        <f>IF(F25&gt;0.5,1,0)</f>
        <v>0</v>
      </c>
      <c r="G15" s="42" t="str">
        <f t="shared" ref="G15:G17" si="1">IF(E15=F15,"ü", "û")</f>
        <v>û</v>
      </c>
      <c r="I15" s="101" t="str">
        <f ca="1">IF(J14=J17,"Same", "Different")</f>
        <v>Same</v>
      </c>
      <c r="J15" s="101"/>
      <c r="L15" s="98" t="s">
        <v>10</v>
      </c>
      <c r="M15" s="99"/>
      <c r="N15" s="100"/>
      <c r="Q15" s="88" t="s">
        <v>26</v>
      </c>
      <c r="R15" s="89"/>
      <c r="S15" s="89"/>
      <c r="T15" s="90"/>
    </row>
    <row r="16" spans="2:38" ht="32.25" customHeight="1" thickBot="1" x14ac:dyDescent="0.3">
      <c r="B16" s="52">
        <v>3</v>
      </c>
      <c r="C16" s="36">
        <v>0</v>
      </c>
      <c r="D16" s="37">
        <v>1</v>
      </c>
      <c r="E16" s="38">
        <v>1</v>
      </c>
      <c r="F16" s="54">
        <f>IF(F26&gt;0.5,1,0)</f>
        <v>0</v>
      </c>
      <c r="G16" s="42" t="str">
        <f t="shared" si="1"/>
        <v>û</v>
      </c>
      <c r="I16" s="102"/>
      <c r="J16" s="102"/>
      <c r="L16" s="21" t="s">
        <v>22</v>
      </c>
      <c r="M16" s="18" t="s">
        <v>11</v>
      </c>
      <c r="N16" s="22" t="s">
        <v>0</v>
      </c>
      <c r="Q16" s="6" t="s">
        <v>33</v>
      </c>
      <c r="R16" s="103"/>
      <c r="S16" s="104"/>
      <c r="T16" s="105"/>
      <c r="AK16" s="16" t="s">
        <v>37</v>
      </c>
      <c r="AL16" s="16" t="s">
        <v>11</v>
      </c>
    </row>
    <row r="17" spans="2:41" ht="32.25" customHeight="1" thickBot="1" x14ac:dyDescent="0.35">
      <c r="B17" s="53">
        <v>4</v>
      </c>
      <c r="C17" s="39">
        <v>1</v>
      </c>
      <c r="D17" s="40">
        <v>1</v>
      </c>
      <c r="E17" s="41">
        <v>0</v>
      </c>
      <c r="F17" s="55">
        <f>IF(F27&gt;0.5,1,0)</f>
        <v>0</v>
      </c>
      <c r="G17" s="42" t="str">
        <f t="shared" si="1"/>
        <v>ü</v>
      </c>
      <c r="I17" s="20" t="s">
        <v>6</v>
      </c>
      <c r="J17" s="19">
        <f ca="1">D13</f>
        <v>0</v>
      </c>
      <c r="L17" s="6" t="s">
        <v>30</v>
      </c>
      <c r="M17" s="25">
        <f>(AK20-100)/5</f>
        <v>-20</v>
      </c>
      <c r="N17" s="23"/>
      <c r="Q17" s="6" t="s">
        <v>34</v>
      </c>
      <c r="R17" s="103"/>
      <c r="S17" s="104"/>
      <c r="T17" s="105"/>
      <c r="AJ17" s="1" t="s">
        <v>36</v>
      </c>
      <c r="AK17" s="26">
        <v>0</v>
      </c>
      <c r="AL17" s="25">
        <f>(AK17-100)/5</f>
        <v>-20</v>
      </c>
      <c r="AN17" s="26">
        <v>122</v>
      </c>
      <c r="AO17" s="25">
        <f>(AN17-100)/5</f>
        <v>4.4000000000000004</v>
      </c>
    </row>
    <row r="18" spans="2:41" ht="32.25" customHeight="1" thickBot="1" x14ac:dyDescent="0.35">
      <c r="L18" s="6" t="s">
        <v>31</v>
      </c>
      <c r="M18" s="25">
        <f>(AK21-100)/5</f>
        <v>-20</v>
      </c>
      <c r="N18" s="31">
        <f ca="1">($J$14*M18)+($J$17*M19)+M17</f>
        <v>-20</v>
      </c>
      <c r="Q18" s="7" t="s">
        <v>35</v>
      </c>
      <c r="R18" s="106"/>
      <c r="S18" s="107"/>
      <c r="T18" s="108"/>
      <c r="AJ18" s="1" t="s">
        <v>28</v>
      </c>
      <c r="AK18" s="26">
        <v>0</v>
      </c>
      <c r="AL18" s="25">
        <f t="shared" ref="AL18:AL25" si="2">(AK18-100)/5</f>
        <v>-20</v>
      </c>
      <c r="AN18" s="26">
        <v>62</v>
      </c>
      <c r="AO18" s="25">
        <f t="shared" ref="AO18:AO25" si="3">(AN18-100)/5</f>
        <v>-7.6</v>
      </c>
    </row>
    <row r="19" spans="2:41" ht="32.25" customHeight="1" thickBot="1" x14ac:dyDescent="0.35">
      <c r="L19" s="7" t="s">
        <v>32</v>
      </c>
      <c r="M19" s="44">
        <f>(AK22-100)/5</f>
        <v>-20</v>
      </c>
      <c r="N19" s="46">
        <f ca="1">1/(1+EXP(-sigmoid_slope*N18))</f>
        <v>1.2470445538772557E-15</v>
      </c>
      <c r="AJ19" s="1" t="s">
        <v>29</v>
      </c>
      <c r="AK19" s="26">
        <v>2</v>
      </c>
      <c r="AL19" s="25">
        <f t="shared" si="2"/>
        <v>-19.600000000000001</v>
      </c>
      <c r="AN19" s="26">
        <v>56</v>
      </c>
      <c r="AO19" s="25">
        <f t="shared" si="3"/>
        <v>-8.8000000000000007</v>
      </c>
    </row>
    <row r="20" spans="2:41" ht="32.25" customHeight="1" thickBot="1" x14ac:dyDescent="0.35">
      <c r="AJ20" s="1" t="s">
        <v>30</v>
      </c>
      <c r="AK20" s="26">
        <v>0</v>
      </c>
      <c r="AL20" s="25">
        <f t="shared" si="2"/>
        <v>-20</v>
      </c>
      <c r="AN20" s="26">
        <v>184</v>
      </c>
      <c r="AO20" s="25">
        <f t="shared" si="3"/>
        <v>16.8</v>
      </c>
    </row>
    <row r="21" spans="2:41" ht="32.25" customHeight="1" thickBot="1" x14ac:dyDescent="0.35">
      <c r="L21" s="93" t="s">
        <v>25</v>
      </c>
      <c r="M21" s="94"/>
      <c r="N21" s="94"/>
      <c r="O21" s="95"/>
      <c r="AJ21" s="1" t="s">
        <v>31</v>
      </c>
      <c r="AK21" s="26">
        <v>0</v>
      </c>
      <c r="AL21" s="25">
        <f t="shared" si="2"/>
        <v>-20</v>
      </c>
      <c r="AN21" s="26">
        <v>59</v>
      </c>
      <c r="AO21" s="25">
        <f t="shared" si="3"/>
        <v>-8.1999999999999993</v>
      </c>
    </row>
    <row r="22" spans="2:41" ht="32.25" customHeight="1" x14ac:dyDescent="0.3">
      <c r="E22" s="8" t="s">
        <v>21</v>
      </c>
      <c r="F22" s="9" t="s">
        <v>3</v>
      </c>
      <c r="G22" s="10" t="s">
        <v>16</v>
      </c>
      <c r="L22" s="6" t="s">
        <v>30</v>
      </c>
      <c r="M22" s="103"/>
      <c r="N22" s="104"/>
      <c r="O22" s="105"/>
      <c r="AJ22" s="1" t="s">
        <v>32</v>
      </c>
      <c r="AK22" s="26">
        <v>0</v>
      </c>
      <c r="AL22" s="25">
        <f t="shared" si="2"/>
        <v>-20</v>
      </c>
      <c r="AN22" s="26">
        <v>50</v>
      </c>
      <c r="AO22" s="25">
        <f t="shared" si="3"/>
        <v>-10</v>
      </c>
    </row>
    <row r="23" spans="2:41" ht="32.25" customHeight="1" x14ac:dyDescent="0.3">
      <c r="E23" s="11"/>
      <c r="F23" s="34">
        <f ca="1">S12</f>
        <v>1.2470445538771492E-15</v>
      </c>
      <c r="G23" s="12">
        <f ca="1">V11^2</f>
        <v>1.5551201193546581E-30</v>
      </c>
      <c r="L23" s="6" t="s">
        <v>31</v>
      </c>
      <c r="M23" s="91"/>
      <c r="N23" s="91"/>
      <c r="O23" s="92"/>
      <c r="AJ23" s="1" t="s">
        <v>33</v>
      </c>
      <c r="AK23" s="26">
        <v>0</v>
      </c>
      <c r="AL23" s="25">
        <f t="shared" si="2"/>
        <v>-20</v>
      </c>
      <c r="AN23" s="26">
        <v>54</v>
      </c>
      <c r="AO23" s="25">
        <f t="shared" si="3"/>
        <v>-9.1999999999999993</v>
      </c>
    </row>
    <row r="24" spans="2:41" ht="32.25" customHeight="1" thickBot="1" x14ac:dyDescent="0.3">
      <c r="E24" s="13">
        <v>1</v>
      </c>
      <c r="F24" s="26">
        <f t="dataTable" ref="F24:G27" dt2D="0" dtr="0" r1="E10" ca="1"/>
        <v>1.2470445538771492E-15</v>
      </c>
      <c r="G24" s="32">
        <v>1.5551201193546581E-30</v>
      </c>
      <c r="L24" s="7" t="s">
        <v>32</v>
      </c>
      <c r="M24" s="106"/>
      <c r="N24" s="107"/>
      <c r="O24" s="108"/>
      <c r="AJ24" s="1" t="s">
        <v>34</v>
      </c>
      <c r="AK24" s="26">
        <v>0</v>
      </c>
      <c r="AL24" s="25">
        <f t="shared" si="2"/>
        <v>-20</v>
      </c>
      <c r="AN24" s="26">
        <v>50</v>
      </c>
      <c r="AO24" s="25">
        <f t="shared" si="3"/>
        <v>-10</v>
      </c>
    </row>
    <row r="25" spans="2:41" ht="32.25" customHeight="1" x14ac:dyDescent="0.25">
      <c r="E25" s="13">
        <v>2</v>
      </c>
      <c r="F25" s="26">
        <v>1.2470445538772557E-15</v>
      </c>
      <c r="G25" s="32">
        <v>0.99999999999999756</v>
      </c>
      <c r="AJ25" s="1" t="s">
        <v>35</v>
      </c>
      <c r="AK25" s="26">
        <v>0</v>
      </c>
      <c r="AL25" s="25">
        <f t="shared" si="2"/>
        <v>-20</v>
      </c>
      <c r="AN25" s="26">
        <v>175</v>
      </c>
      <c r="AO25" s="25">
        <f t="shared" si="3"/>
        <v>15</v>
      </c>
    </row>
    <row r="26" spans="2:41" ht="32.25" customHeight="1" x14ac:dyDescent="0.25">
      <c r="E26" s="13">
        <v>3</v>
      </c>
      <c r="F26" s="26">
        <v>1.2470445538772557E-15</v>
      </c>
      <c r="G26" s="32">
        <v>0.99999999999999756</v>
      </c>
    </row>
    <row r="27" spans="2:41" ht="32.25" customHeight="1" thickBot="1" x14ac:dyDescent="0.3">
      <c r="E27" s="14">
        <v>4</v>
      </c>
      <c r="F27" s="35">
        <v>1.2470445538772557E-15</v>
      </c>
      <c r="G27" s="33">
        <v>1.5551201193549237E-30</v>
      </c>
    </row>
    <row r="28" spans="2:41" ht="27" customHeight="1" x14ac:dyDescent="0.25">
      <c r="F28" s="3"/>
    </row>
    <row r="29" spans="2:41" ht="27" customHeight="1" x14ac:dyDescent="0.25">
      <c r="E29" s="96" t="s">
        <v>20</v>
      </c>
      <c r="F29" s="96"/>
      <c r="G29" s="97">
        <f>SUM(G24:G27)</f>
        <v>1.9999999999999951</v>
      </c>
      <c r="H29" s="97"/>
      <c r="I29" s="97"/>
      <c r="J29" s="97"/>
    </row>
    <row r="34" spans="12:13" x14ac:dyDescent="0.25">
      <c r="L34" s="2" t="s">
        <v>17</v>
      </c>
      <c r="M34" s="15">
        <v>1.7159</v>
      </c>
    </row>
  </sheetData>
  <mergeCells count="23">
    <mergeCell ref="Q8:S8"/>
    <mergeCell ref="L9:O9"/>
    <mergeCell ref="I11:J11"/>
    <mergeCell ref="L1:N1"/>
    <mergeCell ref="C10:D10"/>
    <mergeCell ref="C11:D11"/>
    <mergeCell ref="L3:N3"/>
    <mergeCell ref="M10:O10"/>
    <mergeCell ref="G4:I8"/>
    <mergeCell ref="Q15:T15"/>
    <mergeCell ref="M11:O11"/>
    <mergeCell ref="L21:O21"/>
    <mergeCell ref="M23:O23"/>
    <mergeCell ref="E29:F29"/>
    <mergeCell ref="G29:J29"/>
    <mergeCell ref="L15:N15"/>
    <mergeCell ref="I15:J16"/>
    <mergeCell ref="M22:O22"/>
    <mergeCell ref="M24:O24"/>
    <mergeCell ref="R16:T16"/>
    <mergeCell ref="R17:T17"/>
    <mergeCell ref="R18:T18"/>
    <mergeCell ref="M12:O12"/>
  </mergeCells>
  <conditionalFormatting sqref="G29">
    <cfRule type="dataBar" priority="17">
      <dataBar>
        <cfvo type="num" val="0"/>
        <cfvo type="num" val="2"/>
        <color rgb="FF638EC6"/>
      </dataBar>
      <extLst>
        <ext xmlns:x14="http://schemas.microsoft.com/office/spreadsheetml/2009/9/main" uri="{B025F937-C7B1-47D3-B67F-A62EFF666E3E}">
          <x14:id>{232AD113-38D5-4E44-A8D3-1880EF7BF8DD}</x14:id>
        </ext>
      </extLst>
    </cfRule>
  </conditionalFormatting>
  <conditionalFormatting sqref="G23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{1FFC2B00-4E01-4873-8367-7EC119C7DAAA}</x14:id>
        </ext>
      </extLst>
    </cfRule>
  </conditionalFormatting>
  <conditionalFormatting sqref="AL17:AL25 M17:M19 M5:M7 R10:R12">
    <cfRule type="dataBar" priority="15">
      <dataBar>
        <cfvo type="num" val="-20"/>
        <cfvo type="num" val="20"/>
        <color rgb="FF638EC6"/>
      </dataBar>
      <extLst>
        <ext xmlns:x14="http://schemas.microsoft.com/office/spreadsheetml/2009/9/main" uri="{B025F937-C7B1-47D3-B67F-A62EFF666E3E}">
          <x14:id>{63CF5540-5AED-4F02-84E0-882E7E5D071D}</x14:id>
        </ext>
      </extLst>
    </cfRule>
  </conditionalFormatting>
  <conditionalFormatting sqref="G14:G17">
    <cfRule type="cellIs" dxfId="6" priority="13" operator="equal">
      <formula>"û"</formula>
    </cfRule>
    <cfRule type="cellIs" dxfId="5" priority="14" operator="equal">
      <formula>"ü"</formula>
    </cfRule>
  </conditionalFormatting>
  <conditionalFormatting sqref="J14 J17">
    <cfRule type="cellIs" dxfId="4" priority="10" operator="equal">
      <formula>0</formula>
    </cfRule>
    <cfRule type="cellIs" dxfId="3" priority="11" operator="equal">
      <formula>1</formula>
    </cfRule>
  </conditionalFormatting>
  <conditionalFormatting sqref="B14:F17">
    <cfRule type="expression" dxfId="2" priority="71">
      <formula>($B14=$E$10)</formula>
    </cfRule>
  </conditionalFormatting>
  <conditionalFormatting sqref="AO17:AO25">
    <cfRule type="dataBar" priority="3">
      <dataBar>
        <cfvo type="num" val="-5"/>
        <cfvo type="num" val="5"/>
        <color rgb="FF638EC6"/>
      </dataBar>
      <extLst>
        <ext xmlns:x14="http://schemas.microsoft.com/office/spreadsheetml/2009/9/main" uri="{B025F937-C7B1-47D3-B67F-A62EFF666E3E}">
          <x14:id>{B1B9B2CA-688E-48AF-AC09-46F1CAEC2CF3}</x14:id>
        </ext>
      </extLst>
    </cfRule>
  </conditionalFormatting>
  <conditionalFormatting sqref="G4">
    <cfRule type="cellIs" dxfId="1" priority="1" operator="equal">
      <formula>"L"</formula>
    </cfRule>
    <cfRule type="cellIs" dxfId="0" priority="2" operator="equal">
      <formula>"J"</formula>
    </cfRule>
  </conditionalFormatting>
  <dataValidations disablePrompts="1" count="1">
    <dataValidation type="list" allowBlank="1" showInputMessage="1" showErrorMessage="1" sqref="E10">
      <formula1>$B$12:$B$18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WorkingSolution">
                <anchor moveWithCells="1" sizeWithCells="1">
                  <from>
                    <xdr:col>35</xdr:col>
                    <xdr:colOff>619125</xdr:colOff>
                    <xdr:row>13</xdr:row>
                    <xdr:rowOff>57150</xdr:rowOff>
                  </from>
                  <to>
                    <xdr:col>37</xdr:col>
                    <xdr:colOff>581025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" r:id="rId5" name="Scroll Bar 1">
              <controlPr defaultSize="0" autoPict="0">
                <anchor moveWithCells="1">
                  <from>
                    <xdr:col>12</xdr:col>
                    <xdr:colOff>38100</xdr:colOff>
                    <xdr:row>10</xdr:row>
                    <xdr:rowOff>66675</xdr:rowOff>
                  </from>
                  <to>
                    <xdr:col>14</xdr:col>
                    <xdr:colOff>904875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Scroll Bar 2">
              <controlPr defaultSize="0" autoPict="0">
                <anchor moveWithCells="1">
                  <from>
                    <xdr:col>12</xdr:col>
                    <xdr:colOff>38100</xdr:colOff>
                    <xdr:row>11</xdr:row>
                    <xdr:rowOff>47625</xdr:rowOff>
                  </from>
                  <to>
                    <xdr:col>14</xdr:col>
                    <xdr:colOff>895350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Scroll Bar 3">
              <controlPr defaultSize="0" autoPict="0">
                <anchor moveWithCells="1">
                  <from>
                    <xdr:col>12</xdr:col>
                    <xdr:colOff>38100</xdr:colOff>
                    <xdr:row>9</xdr:row>
                    <xdr:rowOff>76200</xdr:rowOff>
                  </from>
                  <to>
                    <xdr:col>14</xdr:col>
                    <xdr:colOff>904875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8" name="Scroll Bar 11">
              <controlPr defaultSize="0" autoPict="0">
                <anchor moveWithCells="1">
                  <from>
                    <xdr:col>12</xdr:col>
                    <xdr:colOff>104775</xdr:colOff>
                    <xdr:row>21</xdr:row>
                    <xdr:rowOff>133350</xdr:rowOff>
                  </from>
                  <to>
                    <xdr:col>14</xdr:col>
                    <xdr:colOff>971550</xdr:colOff>
                    <xdr:row>21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9" name="Scroll Bar 12">
              <controlPr defaultSize="0" autoPict="0">
                <anchor moveWithCells="1">
                  <from>
                    <xdr:col>12</xdr:col>
                    <xdr:colOff>95250</xdr:colOff>
                    <xdr:row>22</xdr:row>
                    <xdr:rowOff>85725</xdr:rowOff>
                  </from>
                  <to>
                    <xdr:col>14</xdr:col>
                    <xdr:colOff>971550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0" name="Scroll Bar 13">
              <controlPr defaultSize="0" autoPict="0">
                <anchor moveWithCells="1">
                  <from>
                    <xdr:col>12</xdr:col>
                    <xdr:colOff>104775</xdr:colOff>
                    <xdr:row>23</xdr:row>
                    <xdr:rowOff>95250</xdr:rowOff>
                  </from>
                  <to>
                    <xdr:col>14</xdr:col>
                    <xdr:colOff>971550</xdr:colOff>
                    <xdr:row>23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1" name="Scroll Bar 14">
              <controlPr defaultSize="0" autoPict="0">
                <anchor moveWithCells="1">
                  <from>
                    <xdr:col>17</xdr:col>
                    <xdr:colOff>47625</xdr:colOff>
                    <xdr:row>15</xdr:row>
                    <xdr:rowOff>114300</xdr:rowOff>
                  </from>
                  <to>
                    <xdr:col>19</xdr:col>
                    <xdr:colOff>923925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2" name="Scroll Bar 15">
              <controlPr defaultSize="0" autoPict="0">
                <anchor moveWithCells="1">
                  <from>
                    <xdr:col>17</xdr:col>
                    <xdr:colOff>38100</xdr:colOff>
                    <xdr:row>16</xdr:row>
                    <xdr:rowOff>104775</xdr:rowOff>
                  </from>
                  <to>
                    <xdr:col>19</xdr:col>
                    <xdr:colOff>923925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3" name="Scroll Bar 16">
              <controlPr defaultSize="0" autoPict="0">
                <anchor moveWithCells="1">
                  <from>
                    <xdr:col>17</xdr:col>
                    <xdr:colOff>47625</xdr:colOff>
                    <xdr:row>17</xdr:row>
                    <xdr:rowOff>95250</xdr:rowOff>
                  </from>
                  <to>
                    <xdr:col>19</xdr:col>
                    <xdr:colOff>933450</xdr:colOff>
                    <xdr:row>17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2AD113-38D5-4E44-A8D3-1880EF7BF8DD}">
            <x14:dataBar minLength="0" maxLength="100" border="1" gradient="0" negativeBarBorderColorSameAsPositive="0">
              <x14:cfvo type="num">
                <xm:f>0</xm:f>
              </x14:cfvo>
              <x14:cfvo type="num">
                <xm:f>2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</xm:sqref>
        </x14:conditionalFormatting>
        <x14:conditionalFormatting xmlns:xm="http://schemas.microsoft.com/office/excel/2006/main">
          <x14:cfRule type="dataBar" id="{1FFC2B00-4E01-4873-8367-7EC119C7D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63CF5540-5AED-4F02-84E0-882E7E5D071D}">
            <x14:dataBar minLength="0" maxLength="100" border="1" negativeBarBorderColorSameAsPositive="0">
              <x14:cfvo type="num">
                <xm:f>-20</xm:f>
              </x14:cfvo>
              <x14:cfvo type="num">
                <xm:f>20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AL17:AL25 M17:M19 M5:M7 R10:R12</xm:sqref>
        </x14:conditionalFormatting>
        <x14:conditionalFormatting xmlns:xm="http://schemas.microsoft.com/office/excel/2006/main">
          <x14:cfRule type="dataBar" id="{B1B9B2CA-688E-48AF-AC09-46F1CAEC2CF3}">
            <x14:dataBar minLength="0" maxLength="100" border="1" negativeBarBorderColorSameAsPositive="0">
              <x14:cfvo type="num">
                <xm:f>-5</xm:f>
              </x14:cfvo>
              <x14:cfvo type="num">
                <xm:f>5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AO17:AO25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V57"/>
  <sheetViews>
    <sheetView zoomScale="50" zoomScaleNormal="50" workbookViewId="0">
      <selection activeCell="DR30" sqref="DR30"/>
    </sheetView>
  </sheetViews>
  <sheetFormatPr defaultColWidth="4.7109375" defaultRowHeight="27.75" customHeight="1" x14ac:dyDescent="0.25"/>
  <cols>
    <col min="1" max="1" width="4.28515625" customWidth="1"/>
    <col min="90" max="112" width="0" hidden="1" customWidth="1"/>
    <col min="113" max="115" width="4.7109375" hidden="1" customWidth="1"/>
    <col min="116" max="116" width="0" hidden="1" customWidth="1"/>
    <col min="147" max="147" width="9.5703125" customWidth="1"/>
    <col min="173" max="173" width="11.5703125" customWidth="1"/>
  </cols>
  <sheetData>
    <row r="1" spans="1:204" ht="22.5" customHeight="1" x14ac:dyDescent="0.25">
      <c r="A1" s="2" t="s">
        <v>45</v>
      </c>
      <c r="AH1" s="2" t="s">
        <v>46</v>
      </c>
      <c r="BK1" s="2" t="s">
        <v>41</v>
      </c>
      <c r="DS1" s="2" t="s">
        <v>47</v>
      </c>
      <c r="ES1" s="2" t="s">
        <v>48</v>
      </c>
      <c r="FT1" s="2" t="s">
        <v>49</v>
      </c>
      <c r="GT1" s="2" t="s">
        <v>50</v>
      </c>
      <c r="GV1" s="2"/>
    </row>
    <row r="2" spans="1:204" ht="27.75" customHeight="1" x14ac:dyDescent="0.25">
      <c r="A2" s="78">
        <v>0</v>
      </c>
      <c r="B2" s="78">
        <v>0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78">
        <v>0</v>
      </c>
      <c r="L2" s="78">
        <v>0</v>
      </c>
      <c r="M2" s="78">
        <v>0</v>
      </c>
      <c r="N2" s="78">
        <v>0</v>
      </c>
      <c r="O2" s="78">
        <v>0</v>
      </c>
      <c r="P2" s="78">
        <v>0</v>
      </c>
      <c r="Q2" s="78">
        <v>0</v>
      </c>
      <c r="R2" s="78">
        <v>0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FT2" s="80" t="s">
        <v>51</v>
      </c>
      <c r="GT2" s="80" t="s">
        <v>52</v>
      </c>
    </row>
    <row r="3" spans="1:204" ht="27.75" customHeight="1" x14ac:dyDescent="0.3">
      <c r="A3" s="78">
        <v>0</v>
      </c>
      <c r="B3" s="78">
        <v>0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78">
        <v>0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9"/>
      <c r="AD3" s="79"/>
      <c r="AE3" s="79"/>
      <c r="AF3" s="79"/>
      <c r="AG3" s="79"/>
      <c r="AH3" s="1">
        <f t="array" ref="AH3">SUM(A2:C4*$AD$11:$AF$13)</f>
        <v>0</v>
      </c>
      <c r="AI3" s="1">
        <f t="array" ref="AI3">SUM(B2:D4*$AD$11:$AF$13)</f>
        <v>0</v>
      </c>
      <c r="AJ3" s="1">
        <f t="array" ref="AJ3">SUM(C2:E4*$AD$11:$AF$13)</f>
        <v>0</v>
      </c>
      <c r="AK3" s="1">
        <f t="array" ref="AK3">SUM(D2:F4*$AD$11:$AF$13)</f>
        <v>0</v>
      </c>
      <c r="AL3" s="1">
        <f t="array" ref="AL3">SUM(E2:G4*$AD$11:$AF$13)</f>
        <v>0</v>
      </c>
      <c r="AM3" s="1">
        <f t="array" ref="AM3">SUM(F2:H4*$AD$11:$AF$13)</f>
        <v>0</v>
      </c>
      <c r="AN3" s="1">
        <f t="array" ref="AN3">SUM(G2:I4*$AD$11:$AF$13)</f>
        <v>0</v>
      </c>
      <c r="AO3" s="1">
        <f t="array" ref="AO3">SUM(H2:J4*$AD$11:$AF$13)</f>
        <v>0</v>
      </c>
      <c r="AP3" s="1">
        <f t="array" ref="AP3">SUM(I2:K4*$AD$11:$AF$13)</f>
        <v>0</v>
      </c>
      <c r="AQ3" s="1">
        <f t="array" ref="AQ3">SUM(J2:L4*$AD$11:$AF$13)</f>
        <v>0</v>
      </c>
      <c r="AR3" s="1">
        <f t="array" ref="AR3">SUM(K2:M4*$AD$11:$AF$13)</f>
        <v>0</v>
      </c>
      <c r="AS3" s="1">
        <f t="array" ref="AS3">SUM(L2:N4*$AD$11:$AF$13)</f>
        <v>0</v>
      </c>
      <c r="AT3" s="1">
        <f t="array" ref="AT3">SUM(M2:O4*$AD$11:$AF$13)</f>
        <v>0</v>
      </c>
      <c r="AU3" s="1">
        <f t="array" ref="AU3">SUM(N2:P4*$AD$11:$AF$13)</f>
        <v>0</v>
      </c>
      <c r="AV3" s="1">
        <f t="array" ref="AV3">SUM(O2:Q4*$AD$11:$AF$13)</f>
        <v>0</v>
      </c>
      <c r="AW3" s="1">
        <f t="array" ref="AW3">SUM(P2:R4*$AD$11:$AF$13)</f>
        <v>0</v>
      </c>
      <c r="AX3" s="1">
        <f t="array" ref="AX3">SUM(Q2:S4*$AD$11:$AF$13)</f>
        <v>0</v>
      </c>
      <c r="AY3" s="1">
        <f t="array" ref="AY3">SUM(R2:T4*$AD$11:$AF$13)</f>
        <v>0</v>
      </c>
      <c r="AZ3" s="1">
        <f t="array" ref="AZ3">SUM(S2:U4*$AD$11:$AF$13)</f>
        <v>0</v>
      </c>
      <c r="BA3" s="1">
        <f t="array" ref="BA3">SUM(T2:V4*$AD$11:$AF$13)</f>
        <v>0</v>
      </c>
      <c r="BB3" s="1">
        <f t="array" ref="BB3">SUM(U2:W4*$AD$11:$AF$13)</f>
        <v>0</v>
      </c>
      <c r="BC3" s="1">
        <f t="array" ref="BC3">SUM(V2:X4*$AD$11:$AF$13)</f>
        <v>0</v>
      </c>
      <c r="BD3" s="1">
        <f t="array" ref="BD3">SUM(W2:Y4*$AD$11:$AF$13)</f>
        <v>0</v>
      </c>
      <c r="BE3" s="1">
        <f t="array" ref="BE3">SUM(X2:Z4*$AD$11:$AF$13)</f>
        <v>0</v>
      </c>
      <c r="BF3" s="1">
        <f t="array" ref="BF3">SUM(Y2:AA4*$AD$11:$AF$13)</f>
        <v>0</v>
      </c>
      <c r="BG3" s="1">
        <f t="array" ref="BG3">SUM(Z2:AB4*$AD$11:$AF$13)</f>
        <v>0</v>
      </c>
      <c r="BH3" s="79"/>
      <c r="BI3" s="79"/>
      <c r="BJ3" s="79"/>
      <c r="BK3" s="1">
        <f>MAX(0,AH3)</f>
        <v>0</v>
      </c>
      <c r="BL3" s="1">
        <f t="shared" ref="BL3:CD16" si="0">MAX(0,AI3)</f>
        <v>0</v>
      </c>
      <c r="BM3" s="1">
        <f t="shared" si="0"/>
        <v>0</v>
      </c>
      <c r="BN3" s="1">
        <f t="shared" si="0"/>
        <v>0</v>
      </c>
      <c r="BO3" s="1">
        <f t="shared" si="0"/>
        <v>0</v>
      </c>
      <c r="BP3" s="1">
        <f t="shared" si="0"/>
        <v>0</v>
      </c>
      <c r="BQ3" s="1">
        <f t="shared" si="0"/>
        <v>0</v>
      </c>
      <c r="BR3" s="1">
        <f t="shared" si="0"/>
        <v>0</v>
      </c>
      <c r="BS3" s="1">
        <f t="shared" si="0"/>
        <v>0</v>
      </c>
      <c r="BT3" s="1">
        <f t="shared" si="0"/>
        <v>0</v>
      </c>
      <c r="BU3" s="1">
        <f t="shared" si="0"/>
        <v>0</v>
      </c>
      <c r="BV3" s="1">
        <f t="shared" si="0"/>
        <v>0</v>
      </c>
      <c r="BW3" s="1">
        <f t="shared" si="0"/>
        <v>0</v>
      </c>
      <c r="BX3" s="1">
        <f t="shared" si="0"/>
        <v>0</v>
      </c>
      <c r="BY3" s="1">
        <f t="shared" si="0"/>
        <v>0</v>
      </c>
      <c r="BZ3" s="1">
        <f t="shared" si="0"/>
        <v>0</v>
      </c>
      <c r="CA3" s="1">
        <f t="shared" si="0"/>
        <v>0</v>
      </c>
      <c r="CB3" s="1">
        <f t="shared" si="0"/>
        <v>0</v>
      </c>
      <c r="CC3" s="1">
        <f t="shared" si="0"/>
        <v>0</v>
      </c>
      <c r="CD3" s="1">
        <f t="shared" si="0"/>
        <v>0</v>
      </c>
      <c r="CE3" s="1">
        <f>MAX(0,BB3)</f>
        <v>0</v>
      </c>
      <c r="CF3" s="1">
        <f t="shared" ref="CF3:CG18" si="1">MAX(0,BC3)</f>
        <v>0</v>
      </c>
      <c r="CG3" s="1">
        <f>MAX(0,BD3)</f>
        <v>0</v>
      </c>
      <c r="CH3" s="1">
        <f t="shared" ref="CH3:CJ18" si="2">MAX(0,BE3)</f>
        <v>0</v>
      </c>
      <c r="CI3" s="1">
        <f t="shared" si="2"/>
        <v>0</v>
      </c>
      <c r="CJ3" s="1">
        <f>MAX(0,BG3)</f>
        <v>0</v>
      </c>
    </row>
    <row r="4" spans="1:204" ht="27.75" customHeight="1" x14ac:dyDescent="0.25">
      <c r="A4" s="78">
        <v>0</v>
      </c>
      <c r="B4" s="78">
        <v>0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9"/>
      <c r="AD4" s="79"/>
      <c r="AE4" s="79"/>
      <c r="AF4" s="79"/>
      <c r="AG4" s="79"/>
      <c r="AH4" s="1">
        <f t="array" ref="AH4">SUM(A3:C5*$AD$11:$AF$13)</f>
        <v>0</v>
      </c>
      <c r="AI4" s="1">
        <f t="array" ref="AI4">SUM(B3:D5*$AD$11:$AF$13)</f>
        <v>0</v>
      </c>
      <c r="AJ4" s="1">
        <f t="array" ref="AJ4">SUM(C3:E5*$AD$11:$AF$13)</f>
        <v>0</v>
      </c>
      <c r="AK4" s="1">
        <f t="array" ref="AK4">SUM(D3:F5*$AD$11:$AF$13)</f>
        <v>0</v>
      </c>
      <c r="AL4" s="1">
        <f t="array" ref="AL4">SUM(E3:G5*$AD$11:$AF$13)</f>
        <v>0</v>
      </c>
      <c r="AM4" s="1">
        <f t="array" ref="AM4">SUM(F3:H5*$AD$11:$AF$13)</f>
        <v>0</v>
      </c>
      <c r="AN4" s="1">
        <f t="array" ref="AN4">SUM(G3:I5*$AD$11:$AF$13)</f>
        <v>0</v>
      </c>
      <c r="AO4" s="1">
        <f t="array" ref="AO4">SUM(H3:J5*$AD$11:$AF$13)</f>
        <v>0</v>
      </c>
      <c r="AP4" s="1">
        <f t="array" ref="AP4">SUM(I3:K5*$AD$11:$AF$13)</f>
        <v>0</v>
      </c>
      <c r="AQ4" s="1">
        <f t="array" ref="AQ4">SUM(J3:L5*$AD$11:$AF$13)</f>
        <v>0</v>
      </c>
      <c r="AR4" s="1">
        <f t="array" ref="AR4">SUM(K3:M5*$AD$11:$AF$13)</f>
        <v>0</v>
      </c>
      <c r="AS4" s="1">
        <f t="array" ref="AS4">SUM(L3:N5*$AD$11:$AF$13)</f>
        <v>0</v>
      </c>
      <c r="AT4" s="1">
        <f t="array" ref="AT4">SUM(M3:O5*$AD$11:$AF$13)</f>
        <v>0</v>
      </c>
      <c r="AU4" s="1">
        <f t="array" ref="AU4">SUM(N3:P5*$AD$11:$AF$13)</f>
        <v>0</v>
      </c>
      <c r="AV4" s="1">
        <f t="array" ref="AV4">SUM(O3:Q5*$AD$11:$AF$13)</f>
        <v>0</v>
      </c>
      <c r="AW4" s="1">
        <f t="array" ref="AW4">SUM(P3:R5*$AD$11:$AF$13)</f>
        <v>0</v>
      </c>
      <c r="AX4" s="1">
        <f t="array" ref="AX4">SUM(Q3:S5*$AD$11:$AF$13)</f>
        <v>0</v>
      </c>
      <c r="AY4" s="1">
        <f t="array" ref="AY4">SUM(R3:T5*$AD$11:$AF$13)</f>
        <v>0</v>
      </c>
      <c r="AZ4" s="1">
        <f t="array" ref="AZ4">SUM(S3:U5*$AD$11:$AF$13)</f>
        <v>0</v>
      </c>
      <c r="BA4" s="1">
        <f t="array" ref="BA4">SUM(T3:V5*$AD$11:$AF$13)</f>
        <v>0</v>
      </c>
      <c r="BB4" s="1">
        <f t="array" ref="BB4">SUM(U3:W5*$AD$11:$AF$13)</f>
        <v>0</v>
      </c>
      <c r="BC4" s="1">
        <f t="array" ref="BC4">SUM(V3:X5*$AD$11:$AF$13)</f>
        <v>0</v>
      </c>
      <c r="BD4" s="1">
        <f t="array" ref="BD4">SUM(W3:Y5*$AD$11:$AF$13)</f>
        <v>0</v>
      </c>
      <c r="BE4" s="1">
        <f t="array" ref="BE4">SUM(X3:Z5*$AD$11:$AF$13)</f>
        <v>0</v>
      </c>
      <c r="BF4" s="1">
        <f t="array" ref="BF4">SUM(Y3:AA5*$AD$11:$AF$13)</f>
        <v>0</v>
      </c>
      <c r="BG4" s="1">
        <f t="array" ref="BG4">SUM(Z3:AB5*$AD$11:$AF$13)</f>
        <v>0</v>
      </c>
      <c r="BH4" s="79"/>
      <c r="BI4" s="79"/>
      <c r="BJ4" s="79"/>
      <c r="BK4" s="1">
        <f t="shared" ref="BK4:BS28" si="3">MAX(0,AH4)</f>
        <v>0</v>
      </c>
      <c r="BL4" s="1">
        <f t="shared" si="0"/>
        <v>0</v>
      </c>
      <c r="BM4" s="1">
        <f t="shared" si="0"/>
        <v>0</v>
      </c>
      <c r="BN4" s="1">
        <f t="shared" si="0"/>
        <v>0</v>
      </c>
      <c r="BO4" s="1">
        <f t="shared" si="0"/>
        <v>0</v>
      </c>
      <c r="BP4" s="1">
        <f t="shared" si="0"/>
        <v>0</v>
      </c>
      <c r="BQ4" s="1">
        <f t="shared" si="0"/>
        <v>0</v>
      </c>
      <c r="BR4" s="1">
        <f t="shared" si="0"/>
        <v>0</v>
      </c>
      <c r="BS4" s="1">
        <f t="shared" si="0"/>
        <v>0</v>
      </c>
      <c r="BT4" s="1">
        <f t="shared" si="0"/>
        <v>0</v>
      </c>
      <c r="BU4" s="1">
        <f t="shared" si="0"/>
        <v>0</v>
      </c>
      <c r="BV4" s="1">
        <f t="shared" si="0"/>
        <v>0</v>
      </c>
      <c r="BW4" s="1">
        <f t="shared" si="0"/>
        <v>0</v>
      </c>
      <c r="BX4" s="1">
        <f t="shared" si="0"/>
        <v>0</v>
      </c>
      <c r="BY4" s="1">
        <f t="shared" si="0"/>
        <v>0</v>
      </c>
      <c r="BZ4" s="1">
        <f t="shared" si="0"/>
        <v>0</v>
      </c>
      <c r="CA4" s="1">
        <f t="shared" si="0"/>
        <v>0</v>
      </c>
      <c r="CB4" s="1">
        <f t="shared" si="0"/>
        <v>0</v>
      </c>
      <c r="CC4" s="1">
        <f t="shared" si="0"/>
        <v>0</v>
      </c>
      <c r="CD4" s="1">
        <f t="shared" si="0"/>
        <v>0</v>
      </c>
      <c r="CE4" s="1">
        <f t="shared" ref="CE4:CJ28" si="4">MAX(0,BB4)</f>
        <v>0</v>
      </c>
      <c r="CF4" s="1">
        <f t="shared" si="1"/>
        <v>0</v>
      </c>
      <c r="CG4" s="1">
        <f t="shared" si="1"/>
        <v>0</v>
      </c>
      <c r="CH4" s="1">
        <f t="shared" si="2"/>
        <v>0</v>
      </c>
      <c r="CI4" s="1">
        <f t="shared" si="2"/>
        <v>0</v>
      </c>
      <c r="CJ4" s="1">
        <f t="shared" si="2"/>
        <v>0</v>
      </c>
      <c r="DS4">
        <f t="array" ref="DS4">SUM(AH3:AJ5*$DO$11:$DQ$13)+SUM(AH32:AJ34*$DO$15:$DQ$17)</f>
        <v>0</v>
      </c>
      <c r="DT4">
        <f t="array" ref="DT4">SUM(AI3:AK5*$DO$11:$DQ$13)+SUM(AI32:AK34*$DO$15:$DQ$17)</f>
        <v>0</v>
      </c>
      <c r="DU4">
        <f t="array" ref="DU4">SUM(AJ3:AL5*$DO$11:$DQ$13)+SUM(AJ32:AL34*$DO$15:$DQ$17)</f>
        <v>0</v>
      </c>
      <c r="DV4">
        <f t="array" ref="DV4">SUM(AK3:AM5*$DO$11:$DQ$13)+SUM(AK32:AM34*$DO$15:$DQ$17)</f>
        <v>0</v>
      </c>
      <c r="DW4">
        <f t="array" ref="DW4">SUM(AL3:AN5*$DO$11:$DQ$13)+SUM(AL32:AN34*$DO$15:$DQ$17)</f>
        <v>0</v>
      </c>
      <c r="DX4">
        <f t="array" ref="DX4">SUM(AM3:AO5*$DO$11:$DQ$13)+SUM(AM32:AO34*$DO$15:$DQ$17)</f>
        <v>0</v>
      </c>
      <c r="DY4">
        <f t="array" ref="DY4">SUM(AN3:AP5*$DO$11:$DQ$13)+SUM(AN32:AP34*$DO$15:$DQ$17)</f>
        <v>0</v>
      </c>
      <c r="DZ4">
        <f t="array" ref="DZ4">SUM(AO3:AQ5*$DO$11:$DQ$13)+SUM(AO32:AQ34*$DO$15:$DQ$17)</f>
        <v>0</v>
      </c>
      <c r="EA4">
        <f t="array" ref="EA4">SUM(AP3:AR5*$DO$11:$DQ$13)+SUM(AP32:AR34*$DO$15:$DQ$17)</f>
        <v>0</v>
      </c>
      <c r="EB4">
        <f t="array" ref="EB4">SUM(AQ3:AS5*$DO$11:$DQ$13)+SUM(AQ32:AS34*$DO$15:$DQ$17)</f>
        <v>0</v>
      </c>
      <c r="EC4">
        <f t="array" ref="EC4">SUM(AR3:AT5*$DO$11:$DQ$13)+SUM(AR32:AT34*$DO$15:$DQ$17)</f>
        <v>0</v>
      </c>
      <c r="ED4">
        <f t="array" ref="ED4">SUM(AS3:AU5*$DO$11:$DQ$13)+SUM(AS32:AU34*$DO$15:$DQ$17)</f>
        <v>0</v>
      </c>
      <c r="EE4">
        <f t="array" ref="EE4">SUM(AT3:AV5*$DO$11:$DQ$13)+SUM(AT32:AV34*$DO$15:$DQ$17)</f>
        <v>0</v>
      </c>
      <c r="EF4">
        <f t="array" ref="EF4">SUM(AU3:AW5*$DO$11:$DQ$13)+SUM(AU32:AW34*$DO$15:$DQ$17)</f>
        <v>0</v>
      </c>
      <c r="EG4">
        <f t="array" ref="EG4">SUM(AV3:AX5*$DO$11:$DQ$13)+SUM(AV32:AX34*$DO$15:$DQ$17)</f>
        <v>0</v>
      </c>
      <c r="EH4">
        <f t="array" ref="EH4">SUM(AW3:AY5*$DO$11:$DQ$13)+SUM(AW32:AY34*$DO$15:$DQ$17)</f>
        <v>0</v>
      </c>
      <c r="EI4">
        <f t="array" ref="EI4">SUM(AX3:AZ5*$DO$11:$DQ$13)+SUM(AX32:AZ34*$DO$15:$DQ$17)</f>
        <v>0</v>
      </c>
      <c r="EJ4">
        <f t="array" ref="EJ4">SUM(AY3:BA5*$DO$11:$DQ$13)+SUM(AY32:BA34*$DO$15:$DQ$17)</f>
        <v>0</v>
      </c>
      <c r="EK4">
        <f t="array" ref="EK4">SUM(AZ3:BB5*$DO$11:$DQ$13)+SUM(AZ32:BB34*$DO$15:$DQ$17)</f>
        <v>0</v>
      </c>
      <c r="EL4">
        <f t="array" ref="EL4">SUM(BA3:BC5*$DO$11:$DQ$13)+SUM(BA32:BC34*$DO$15:$DQ$17)</f>
        <v>0</v>
      </c>
      <c r="EM4">
        <f t="array" ref="EM4">SUM(BB3:BD5*$DO$11:$DQ$13)+SUM(BB32:BD34*$DO$15:$DQ$17)</f>
        <v>0</v>
      </c>
      <c r="EN4">
        <f t="array" ref="EN4">SUM(BC3:BE5*$DO$11:$DQ$13)+SUM(BC32:BE34*$DO$15:$DQ$17)</f>
        <v>0</v>
      </c>
      <c r="EO4">
        <f t="array" ref="EO4">SUM(BD3:BF5*$DO$11:$DQ$13)+SUM(BD32:BF34*$DO$15:$DQ$17)</f>
        <v>0</v>
      </c>
      <c r="EP4">
        <f t="array" ref="EP4">SUM(BE3:BG5*$DO$11:$DQ$13)+SUM(BE32:BG34*$DO$15:$DQ$17)</f>
        <v>0</v>
      </c>
      <c r="ES4" s="127">
        <f>MAX(DS4:DT5)</f>
        <v>0</v>
      </c>
      <c r="ET4" s="127"/>
      <c r="EU4" s="127">
        <f t="shared" ref="EU4:FO4" si="5">MAX(DU4:DV5)</f>
        <v>0</v>
      </c>
      <c r="EV4" s="127"/>
      <c r="EW4" s="127">
        <f t="shared" si="5"/>
        <v>0</v>
      </c>
      <c r="EX4" s="127"/>
      <c r="EY4" s="127">
        <f t="shared" si="5"/>
        <v>0</v>
      </c>
      <c r="EZ4" s="127"/>
      <c r="FA4" s="127">
        <f t="shared" si="5"/>
        <v>0</v>
      </c>
      <c r="FB4" s="127"/>
      <c r="FC4" s="127">
        <f t="shared" si="5"/>
        <v>0</v>
      </c>
      <c r="FD4" s="127"/>
      <c r="FE4" s="127">
        <f t="shared" si="5"/>
        <v>0</v>
      </c>
      <c r="FF4" s="127"/>
      <c r="FG4" s="127">
        <f t="shared" si="5"/>
        <v>0</v>
      </c>
      <c r="FH4" s="127"/>
      <c r="FI4" s="127">
        <f t="shared" si="5"/>
        <v>0</v>
      </c>
      <c r="FJ4" s="127"/>
      <c r="FK4" s="127">
        <f t="shared" si="5"/>
        <v>0</v>
      </c>
      <c r="FL4" s="127"/>
      <c r="FM4" s="127">
        <f t="shared" si="5"/>
        <v>0</v>
      </c>
      <c r="FN4" s="127"/>
      <c r="FO4" s="127">
        <f t="shared" si="5"/>
        <v>0</v>
      </c>
      <c r="FP4" s="127"/>
      <c r="FT4">
        <v>0.5837521573679082</v>
      </c>
      <c r="FV4">
        <v>0.59357721841280431</v>
      </c>
      <c r="FX4">
        <v>0.77077078307025415</v>
      </c>
      <c r="FZ4">
        <v>2.3712407352139642E-2</v>
      </c>
      <c r="GB4">
        <v>0.18993960973294088</v>
      </c>
      <c r="GD4">
        <v>0.81180870745283984</v>
      </c>
      <c r="GF4">
        <v>0.80418740149046875</v>
      </c>
      <c r="GH4">
        <v>0.93236123651012681</v>
      </c>
      <c r="GJ4">
        <v>0.94613102100689195</v>
      </c>
      <c r="GL4">
        <v>0.57271514600785511</v>
      </c>
      <c r="GN4">
        <v>0.28274328875893762</v>
      </c>
      <c r="GP4">
        <v>0.40746679906794869</v>
      </c>
      <c r="GR4">
        <v>0.45601621126176828</v>
      </c>
      <c r="GT4" s="81">
        <f>SUMPRODUCT(FT4:GR26,ES4:FQ26)+SUMPRODUCT(FT33:GR55,ES33:FQ55)</f>
        <v>200.29436970412988</v>
      </c>
    </row>
    <row r="5" spans="1:204" ht="27.75" customHeight="1" x14ac:dyDescent="0.25">
      <c r="A5" s="78">
        <v>0</v>
      </c>
      <c r="B5" s="78">
        <v>0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9"/>
      <c r="AD5" s="79"/>
      <c r="AE5" s="79"/>
      <c r="AF5" s="79"/>
      <c r="AG5" s="79"/>
      <c r="AH5" s="1">
        <f t="array" ref="AH5">SUM(A4:C6*$AD$11:$AF$13)</f>
        <v>0</v>
      </c>
      <c r="AI5" s="1">
        <f t="array" ref="AI5">SUM(B4:D6*$AD$11:$AF$13)</f>
        <v>0</v>
      </c>
      <c r="AJ5" s="1">
        <f t="array" ref="AJ5">SUM(C4:E6*$AD$11:$AF$13)</f>
        <v>0</v>
      </c>
      <c r="AK5" s="1">
        <f t="array" ref="AK5">SUM(D4:F6*$AD$11:$AF$13)</f>
        <v>0</v>
      </c>
      <c r="AL5" s="1">
        <f t="array" ref="AL5">SUM(E4:G6*$AD$11:$AF$13)</f>
        <v>0</v>
      </c>
      <c r="AM5" s="1">
        <f t="array" ref="AM5">SUM(F4:H6*$AD$11:$AF$13)</f>
        <v>0</v>
      </c>
      <c r="AN5" s="1">
        <f t="array" ref="AN5">SUM(G4:I6*$AD$11:$AF$13)</f>
        <v>0</v>
      </c>
      <c r="AO5" s="1">
        <f t="array" ref="AO5">SUM(H4:J6*$AD$11:$AF$13)</f>
        <v>0</v>
      </c>
      <c r="AP5" s="1">
        <f t="array" ref="AP5">SUM(I4:K6*$AD$11:$AF$13)</f>
        <v>0</v>
      </c>
      <c r="AQ5" s="1">
        <f t="array" ref="AQ5">SUM(J4:L6*$AD$11:$AF$13)</f>
        <v>0</v>
      </c>
      <c r="AR5" s="1">
        <f t="array" ref="AR5">SUM(K4:M6*$AD$11:$AF$13)</f>
        <v>0</v>
      </c>
      <c r="AS5" s="1">
        <f t="array" ref="AS5">SUM(L4:N6*$AD$11:$AF$13)</f>
        <v>0</v>
      </c>
      <c r="AT5" s="1">
        <f t="array" ref="AT5">SUM(M4:O6*$AD$11:$AF$13)</f>
        <v>0</v>
      </c>
      <c r="AU5" s="1">
        <f t="array" ref="AU5">SUM(N4:P6*$AD$11:$AF$13)</f>
        <v>0</v>
      </c>
      <c r="AV5" s="1">
        <f t="array" ref="AV5">SUM(O4:Q6*$AD$11:$AF$13)</f>
        <v>0</v>
      </c>
      <c r="AW5" s="1">
        <f t="array" ref="AW5">SUM(P4:R6*$AD$11:$AF$13)</f>
        <v>0</v>
      </c>
      <c r="AX5" s="1">
        <f t="array" ref="AX5">SUM(Q4:S6*$AD$11:$AF$13)</f>
        <v>0</v>
      </c>
      <c r="AY5" s="1">
        <f t="array" ref="AY5">SUM(R4:T6*$AD$11:$AF$13)</f>
        <v>0</v>
      </c>
      <c r="AZ5" s="1">
        <f t="array" ref="AZ5">SUM(S4:U6*$AD$11:$AF$13)</f>
        <v>0</v>
      </c>
      <c r="BA5" s="1">
        <f t="array" ref="BA5">SUM(T4:V6*$AD$11:$AF$13)</f>
        <v>0</v>
      </c>
      <c r="BB5" s="1">
        <f t="array" ref="BB5">SUM(U4:W6*$AD$11:$AF$13)</f>
        <v>0</v>
      </c>
      <c r="BC5" s="1">
        <f t="array" ref="BC5">SUM(V4:X6*$AD$11:$AF$13)</f>
        <v>0</v>
      </c>
      <c r="BD5" s="1">
        <f t="array" ref="BD5">SUM(W4:Y6*$AD$11:$AF$13)</f>
        <v>0</v>
      </c>
      <c r="BE5" s="1">
        <f t="array" ref="BE5">SUM(X4:Z6*$AD$11:$AF$13)</f>
        <v>0</v>
      </c>
      <c r="BF5" s="1">
        <f t="array" ref="BF5">SUM(Y4:AA6*$AD$11:$AF$13)</f>
        <v>0</v>
      </c>
      <c r="BG5" s="1">
        <f t="array" ref="BG5">SUM(Z4:AB6*$AD$11:$AF$13)</f>
        <v>0</v>
      </c>
      <c r="BH5" s="79"/>
      <c r="BI5" s="79"/>
      <c r="BJ5" s="79"/>
      <c r="BK5" s="1">
        <f t="shared" si="3"/>
        <v>0</v>
      </c>
      <c r="BL5" s="1">
        <f t="shared" si="0"/>
        <v>0</v>
      </c>
      <c r="BM5" s="1">
        <f t="shared" si="0"/>
        <v>0</v>
      </c>
      <c r="BN5" s="1">
        <f t="shared" si="0"/>
        <v>0</v>
      </c>
      <c r="BO5" s="1">
        <f t="shared" si="0"/>
        <v>0</v>
      </c>
      <c r="BP5" s="1">
        <f t="shared" si="0"/>
        <v>0</v>
      </c>
      <c r="BQ5" s="1">
        <f t="shared" si="0"/>
        <v>0</v>
      </c>
      <c r="BR5" s="1">
        <f t="shared" si="0"/>
        <v>0</v>
      </c>
      <c r="BS5" s="1">
        <f t="shared" si="0"/>
        <v>0</v>
      </c>
      <c r="BT5" s="1">
        <f t="shared" si="0"/>
        <v>0</v>
      </c>
      <c r="BU5" s="1">
        <f t="shared" si="0"/>
        <v>0</v>
      </c>
      <c r="BV5" s="1">
        <f t="shared" si="0"/>
        <v>0</v>
      </c>
      <c r="BW5" s="1">
        <f t="shared" si="0"/>
        <v>0</v>
      </c>
      <c r="BX5" s="1">
        <f t="shared" si="0"/>
        <v>0</v>
      </c>
      <c r="BY5" s="1">
        <f t="shared" si="0"/>
        <v>0</v>
      </c>
      <c r="BZ5" s="1">
        <f t="shared" si="0"/>
        <v>0</v>
      </c>
      <c r="CA5" s="1">
        <f t="shared" si="0"/>
        <v>0</v>
      </c>
      <c r="CB5" s="1">
        <f t="shared" si="0"/>
        <v>0</v>
      </c>
      <c r="CC5" s="1">
        <f t="shared" si="0"/>
        <v>0</v>
      </c>
      <c r="CD5" s="1">
        <f t="shared" si="0"/>
        <v>0</v>
      </c>
      <c r="CE5" s="1">
        <f t="shared" si="4"/>
        <v>0</v>
      </c>
      <c r="CF5" s="1">
        <f t="shared" si="1"/>
        <v>0</v>
      </c>
      <c r="CG5" s="1">
        <f t="shared" si="1"/>
        <v>0</v>
      </c>
      <c r="CH5" s="1">
        <f t="shared" si="2"/>
        <v>0</v>
      </c>
      <c r="CI5" s="1">
        <f t="shared" si="2"/>
        <v>0</v>
      </c>
      <c r="CJ5" s="1">
        <f t="shared" si="2"/>
        <v>0</v>
      </c>
      <c r="DS5">
        <f t="array" ref="DS5">SUM(AH4:AJ6*$DO$11:$DQ$13)+SUM(AH33:AJ35*$DO$15:$DQ$17)</f>
        <v>0</v>
      </c>
      <c r="DT5">
        <f t="array" ref="DT5">SUM(AI4:AK6*$DO$11:$DQ$13)+SUM(AI33:AK35*$DO$15:$DQ$17)</f>
        <v>0</v>
      </c>
      <c r="DU5">
        <f t="array" ref="DU5">SUM(AJ4:AL6*$DO$11:$DQ$13)+SUM(AJ33:AL35*$DO$15:$DQ$17)</f>
        <v>0</v>
      </c>
      <c r="DV5">
        <f t="array" ref="DV5">SUM(AK4:AM6*$DO$11:$DQ$13)+SUM(AK33:AM35*$DO$15:$DQ$17)</f>
        <v>0</v>
      </c>
      <c r="DW5">
        <f t="array" ref="DW5">SUM(AL4:AN6*$DO$11:$DQ$13)+SUM(AL33:AN35*$DO$15:$DQ$17)</f>
        <v>0</v>
      </c>
      <c r="DX5">
        <f t="array" ref="DX5">SUM(AM4:AO6*$DO$11:$DQ$13)+SUM(AM33:AO35*$DO$15:$DQ$17)</f>
        <v>0</v>
      </c>
      <c r="DY5">
        <f t="array" ref="DY5">SUM(AN4:AP6*$DO$11:$DQ$13)+SUM(AN33:AP35*$DO$15:$DQ$17)</f>
        <v>0</v>
      </c>
      <c r="DZ5">
        <f t="array" ref="DZ5">SUM(AO4:AQ6*$DO$11:$DQ$13)+SUM(AO33:AQ35*$DO$15:$DQ$17)</f>
        <v>0</v>
      </c>
      <c r="EA5">
        <f t="array" ref="EA5">SUM(AP4:AR6*$DO$11:$DQ$13)+SUM(AP33:AR35*$DO$15:$DQ$17)</f>
        <v>0</v>
      </c>
      <c r="EB5">
        <f t="array" ref="EB5">SUM(AQ4:AS6*$DO$11:$DQ$13)+SUM(AQ33:AS35*$DO$15:$DQ$17)</f>
        <v>0</v>
      </c>
      <c r="EC5">
        <f t="array" ref="EC5">SUM(AR4:AT6*$DO$11:$DQ$13)+SUM(AR33:AT35*$DO$15:$DQ$17)</f>
        <v>0</v>
      </c>
      <c r="ED5">
        <f t="array" ref="ED5">SUM(AS4:AU6*$DO$11:$DQ$13)+SUM(AS33:AU35*$DO$15:$DQ$17)</f>
        <v>0</v>
      </c>
      <c r="EE5">
        <f t="array" ref="EE5">SUM(AT4:AV6*$DO$11:$DQ$13)+SUM(AT33:AV35*$DO$15:$DQ$17)</f>
        <v>0</v>
      </c>
      <c r="EF5">
        <f t="array" ref="EF5">SUM(AU4:AW6*$DO$11:$DQ$13)+SUM(AU33:AW35*$DO$15:$DQ$17)</f>
        <v>0</v>
      </c>
      <c r="EG5">
        <f t="array" ref="EG5">SUM(AV4:AX6*$DO$11:$DQ$13)+SUM(AV33:AX35*$DO$15:$DQ$17)</f>
        <v>0</v>
      </c>
      <c r="EH5">
        <f t="array" ref="EH5">SUM(AW4:AY6*$DO$11:$DQ$13)+SUM(AW33:AY35*$DO$15:$DQ$17)</f>
        <v>0</v>
      </c>
      <c r="EI5">
        <f t="array" ref="EI5">SUM(AX4:AZ6*$DO$11:$DQ$13)+SUM(AX33:AZ35*$DO$15:$DQ$17)</f>
        <v>0</v>
      </c>
      <c r="EJ5">
        <f t="array" ref="EJ5">SUM(AY4:BA6*$DO$11:$DQ$13)+SUM(AY33:BA35*$DO$15:$DQ$17)</f>
        <v>0</v>
      </c>
      <c r="EK5">
        <f t="array" ref="EK5">SUM(AZ4:BB6*$DO$11:$DQ$13)+SUM(AZ33:BB35*$DO$15:$DQ$17)</f>
        <v>0</v>
      </c>
      <c r="EL5">
        <f t="array" ref="EL5">SUM(BA4:BC6*$DO$11:$DQ$13)+SUM(BA33:BC35*$DO$15:$DQ$17)</f>
        <v>0</v>
      </c>
      <c r="EM5">
        <f t="array" ref="EM5">SUM(BB4:BD6*$DO$11:$DQ$13)+SUM(BB33:BD35*$DO$15:$DQ$17)</f>
        <v>0</v>
      </c>
      <c r="EN5">
        <f t="array" ref="EN5">SUM(BC4:BE6*$DO$11:$DQ$13)+SUM(BC33:BE35*$DO$15:$DQ$17)</f>
        <v>0</v>
      </c>
      <c r="EO5">
        <f t="array" ref="EO5">SUM(BD4:BF6*$DO$11:$DQ$13)+SUM(BD33:BF35*$DO$15:$DQ$17)</f>
        <v>0</v>
      </c>
      <c r="EP5">
        <f t="array" ref="EP5">SUM(BE4:BG6*$DO$11:$DQ$13)+SUM(BE33:BG35*$DO$15:$DQ$17)</f>
        <v>0</v>
      </c>
      <c r="ES5" s="127"/>
      <c r="ET5" s="127"/>
      <c r="EU5" s="127"/>
      <c r="EV5" s="127"/>
      <c r="EW5" s="127"/>
      <c r="EX5" s="127"/>
      <c r="EY5" s="127"/>
      <c r="EZ5" s="127"/>
      <c r="FA5" s="127"/>
      <c r="FB5" s="127"/>
      <c r="FC5" s="127"/>
      <c r="FD5" s="127"/>
      <c r="FE5" s="127"/>
      <c r="FF5" s="127"/>
      <c r="FG5" s="127"/>
      <c r="FH5" s="127"/>
      <c r="FI5" s="127"/>
      <c r="FJ5" s="127"/>
      <c r="FK5" s="127"/>
      <c r="FL5" s="127"/>
      <c r="FM5" s="127"/>
      <c r="FN5" s="127"/>
      <c r="FO5" s="127"/>
      <c r="FP5" s="127"/>
    </row>
    <row r="6" spans="1:204" ht="27.75" customHeight="1" x14ac:dyDescent="0.25">
      <c r="A6" s="78">
        <v>0</v>
      </c>
      <c r="B6" s="78">
        <v>0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78">
        <v>0</v>
      </c>
      <c r="Z6" s="78">
        <v>0</v>
      </c>
      <c r="AA6" s="78">
        <v>0</v>
      </c>
      <c r="AB6" s="78">
        <v>0</v>
      </c>
      <c r="AC6" s="79"/>
      <c r="AD6" s="79"/>
      <c r="AE6" s="79"/>
      <c r="AF6" s="79"/>
      <c r="AG6" s="79"/>
      <c r="AH6" s="1">
        <f t="array" ref="AH6">SUM(A5:C7*$AD$11:$AF$13)</f>
        <v>0</v>
      </c>
      <c r="AI6" s="1">
        <f t="array" ref="AI6">SUM(B5:D7*$AD$11:$AF$13)</f>
        <v>0</v>
      </c>
      <c r="AJ6" s="1">
        <f t="array" ref="AJ6">SUM(C5:E7*$AD$11:$AF$13)</f>
        <v>0</v>
      </c>
      <c r="AK6" s="1">
        <f t="array" ref="AK6">SUM(D5:F7*$AD$11:$AF$13)</f>
        <v>0</v>
      </c>
      <c r="AL6" s="1">
        <f t="array" ref="AL6">SUM(E5:G7*$AD$11:$AF$13)</f>
        <v>0</v>
      </c>
      <c r="AM6" s="1">
        <f t="array" ref="AM6">SUM(F5:H7*$AD$11:$AF$13)</f>
        <v>0</v>
      </c>
      <c r="AN6" s="1">
        <f t="array" ref="AN6">SUM(G5:I7*$AD$11:$AF$13)</f>
        <v>0</v>
      </c>
      <c r="AO6" s="1">
        <f t="array" ref="AO6">SUM(H5:J7*$AD$11:$AF$13)</f>
        <v>0</v>
      </c>
      <c r="AP6" s="1">
        <f t="array" ref="AP6">SUM(I5:K7*$AD$11:$AF$13)</f>
        <v>0</v>
      </c>
      <c r="AQ6" s="1">
        <f t="array" ref="AQ6">SUM(J5:L7*$AD$11:$AF$13)</f>
        <v>0</v>
      </c>
      <c r="AR6" s="1">
        <f t="array" ref="AR6">SUM(K5:M7*$AD$11:$AF$13)</f>
        <v>0</v>
      </c>
      <c r="AS6" s="1">
        <f t="array" ref="AS6">SUM(L5:N7*$AD$11:$AF$13)</f>
        <v>0</v>
      </c>
      <c r="AT6" s="1">
        <f t="array" ref="AT6">SUM(M5:O7*$AD$11:$AF$13)</f>
        <v>0</v>
      </c>
      <c r="AU6" s="1">
        <f t="array" ref="AU6">SUM(N5:P7*$AD$11:$AF$13)</f>
        <v>0</v>
      </c>
      <c r="AV6" s="1">
        <f t="array" ref="AV6">SUM(O5:Q7*$AD$11:$AF$13)</f>
        <v>0</v>
      </c>
      <c r="AW6" s="1">
        <f t="array" ref="AW6">SUM(P5:R7*$AD$11:$AF$13)</f>
        <v>0</v>
      </c>
      <c r="AX6" s="1">
        <f t="array" ref="AX6">SUM(Q5:S7*$AD$11:$AF$13)</f>
        <v>0</v>
      </c>
      <c r="AY6" s="1">
        <f t="array" ref="AY6">SUM(R5:T7*$AD$11:$AF$13)</f>
        <v>0</v>
      </c>
      <c r="AZ6" s="1">
        <f t="array" ref="AZ6">SUM(S5:U7*$AD$11:$AF$13)</f>
        <v>0</v>
      </c>
      <c r="BA6" s="1">
        <f t="array" ref="BA6">SUM(T5:V7*$AD$11:$AF$13)</f>
        <v>0</v>
      </c>
      <c r="BB6" s="1">
        <f t="array" ref="BB6">SUM(U5:W7*$AD$11:$AF$13)</f>
        <v>0</v>
      </c>
      <c r="BC6" s="1">
        <f t="array" ref="BC6">SUM(V5:X7*$AD$11:$AF$13)</f>
        <v>0</v>
      </c>
      <c r="BD6" s="1">
        <f t="array" ref="BD6">SUM(W5:Y7*$AD$11:$AF$13)</f>
        <v>0</v>
      </c>
      <c r="BE6" s="1">
        <f t="array" ref="BE6">SUM(X5:Z7*$AD$11:$AF$13)</f>
        <v>0</v>
      </c>
      <c r="BF6" s="1">
        <f t="array" ref="BF6">SUM(Y5:AA7*$AD$11:$AF$13)</f>
        <v>0</v>
      </c>
      <c r="BG6" s="1">
        <f t="array" ref="BG6">SUM(Z5:AB7*$AD$11:$AF$13)</f>
        <v>0</v>
      </c>
      <c r="BH6" s="79"/>
      <c r="BI6" s="79"/>
      <c r="BJ6" s="79"/>
      <c r="BK6" s="1">
        <f t="shared" si="3"/>
        <v>0</v>
      </c>
      <c r="BL6" s="1">
        <f t="shared" si="0"/>
        <v>0</v>
      </c>
      <c r="BM6" s="1">
        <f t="shared" si="0"/>
        <v>0</v>
      </c>
      <c r="BN6" s="1">
        <f t="shared" si="0"/>
        <v>0</v>
      </c>
      <c r="BO6" s="1">
        <f t="shared" si="0"/>
        <v>0</v>
      </c>
      <c r="BP6" s="1">
        <f t="shared" si="0"/>
        <v>0</v>
      </c>
      <c r="BQ6" s="1">
        <f t="shared" si="0"/>
        <v>0</v>
      </c>
      <c r="BR6" s="1">
        <f t="shared" si="0"/>
        <v>0</v>
      </c>
      <c r="BS6" s="1">
        <f t="shared" si="0"/>
        <v>0</v>
      </c>
      <c r="BT6" s="1">
        <f t="shared" si="0"/>
        <v>0</v>
      </c>
      <c r="BU6" s="1">
        <f t="shared" si="0"/>
        <v>0</v>
      </c>
      <c r="BV6" s="1">
        <f t="shared" si="0"/>
        <v>0</v>
      </c>
      <c r="BW6" s="1">
        <f t="shared" si="0"/>
        <v>0</v>
      </c>
      <c r="BX6" s="1">
        <f t="shared" si="0"/>
        <v>0</v>
      </c>
      <c r="BY6" s="1">
        <f t="shared" si="0"/>
        <v>0</v>
      </c>
      <c r="BZ6" s="1">
        <f t="shared" si="0"/>
        <v>0</v>
      </c>
      <c r="CA6" s="1">
        <f t="shared" si="0"/>
        <v>0</v>
      </c>
      <c r="CB6" s="1">
        <f t="shared" si="0"/>
        <v>0</v>
      </c>
      <c r="CC6" s="1">
        <f t="shared" si="0"/>
        <v>0</v>
      </c>
      <c r="CD6" s="1">
        <f t="shared" si="0"/>
        <v>0</v>
      </c>
      <c r="CE6" s="1">
        <f t="shared" si="4"/>
        <v>0</v>
      </c>
      <c r="CF6" s="1">
        <f t="shared" si="1"/>
        <v>0</v>
      </c>
      <c r="CG6" s="1">
        <f t="shared" si="1"/>
        <v>0</v>
      </c>
      <c r="CH6" s="1">
        <f t="shared" si="2"/>
        <v>0</v>
      </c>
      <c r="CI6" s="1">
        <f t="shared" si="2"/>
        <v>0</v>
      </c>
      <c r="CJ6" s="1">
        <f t="shared" si="2"/>
        <v>0</v>
      </c>
      <c r="DS6">
        <f t="array" ref="DS6">SUM(AH5:AJ7*$DO$11:$DQ$13)+SUM(AH34:AJ36*$DO$15:$DQ$17)</f>
        <v>0</v>
      </c>
      <c r="DT6">
        <f t="array" ref="DT6">SUM(AI5:AK7*$DO$11:$DQ$13)+SUM(AI34:AK36*$DO$15:$DQ$17)</f>
        <v>0</v>
      </c>
      <c r="DU6">
        <f t="array" ref="DU6">SUM(AJ5:AL7*$DO$11:$DQ$13)+SUM(AJ34:AL36*$DO$15:$DQ$17)</f>
        <v>0</v>
      </c>
      <c r="DV6">
        <f t="array" ref="DV6">SUM(AK5:AM7*$DO$11:$DQ$13)+SUM(AK34:AM36*$DO$15:$DQ$17)</f>
        <v>0</v>
      </c>
      <c r="DW6">
        <f t="array" ref="DW6">SUM(AL5:AN7*$DO$11:$DQ$13)+SUM(AL34:AN36*$DO$15:$DQ$17)</f>
        <v>0</v>
      </c>
      <c r="DX6">
        <f t="array" ref="DX6">SUM(AM5:AO7*$DO$11:$DQ$13)+SUM(AM34:AO36*$DO$15:$DQ$17)</f>
        <v>0</v>
      </c>
      <c r="DY6">
        <f t="array" ref="DY6">SUM(AN5:AP7*$DO$11:$DQ$13)+SUM(AN34:AP36*$DO$15:$DQ$17)</f>
        <v>0</v>
      </c>
      <c r="DZ6">
        <f t="array" ref="DZ6">SUM(AO5:AQ7*$DO$11:$DQ$13)+SUM(AO34:AQ36*$DO$15:$DQ$17)</f>
        <v>0</v>
      </c>
      <c r="EA6">
        <f t="array" ref="EA6">SUM(AP5:AR7*$DO$11:$DQ$13)+SUM(AP34:AR36*$DO$15:$DQ$17)</f>
        <v>0</v>
      </c>
      <c r="EB6">
        <f t="array" ref="EB6">SUM(AQ5:AS7*$DO$11:$DQ$13)+SUM(AQ34:AS36*$DO$15:$DQ$17)</f>
        <v>0</v>
      </c>
      <c r="EC6">
        <f t="array" ref="EC6">SUM(AR5:AT7*$DO$11:$DQ$13)+SUM(AR34:AT36*$DO$15:$DQ$17)</f>
        <v>0</v>
      </c>
      <c r="ED6">
        <f t="array" ref="ED6">SUM(AS5:AU7*$DO$11:$DQ$13)+SUM(AS34:AU36*$DO$15:$DQ$17)</f>
        <v>0</v>
      </c>
      <c r="EE6">
        <f t="array" ref="EE6">SUM(AT5:AV7*$DO$11:$DQ$13)+SUM(AT34:AV36*$DO$15:$DQ$17)</f>
        <v>0</v>
      </c>
      <c r="EF6">
        <f t="array" ref="EF6">SUM(AU5:AW7*$DO$11:$DQ$13)+SUM(AU34:AW36*$DO$15:$DQ$17)</f>
        <v>0</v>
      </c>
      <c r="EG6">
        <f t="array" ref="EG6">SUM(AV5:AX7*$DO$11:$DQ$13)+SUM(AV34:AX36*$DO$15:$DQ$17)</f>
        <v>0</v>
      </c>
      <c r="EH6">
        <f t="array" ref="EH6">SUM(AW5:AY7*$DO$11:$DQ$13)+SUM(AW34:AY36*$DO$15:$DQ$17)</f>
        <v>0</v>
      </c>
      <c r="EI6">
        <f t="array" ref="EI6">SUM(AX5:AZ7*$DO$11:$DQ$13)+SUM(AX34:AZ36*$DO$15:$DQ$17)</f>
        <v>0</v>
      </c>
      <c r="EJ6">
        <f t="array" ref="EJ6">SUM(AY5:BA7*$DO$11:$DQ$13)+SUM(AY34:BA36*$DO$15:$DQ$17)</f>
        <v>0</v>
      </c>
      <c r="EK6">
        <f t="array" ref="EK6">SUM(AZ5:BB7*$DO$11:$DQ$13)+SUM(AZ34:BB36*$DO$15:$DQ$17)</f>
        <v>0</v>
      </c>
      <c r="EL6">
        <f t="array" ref="EL6">SUM(BA5:BC7*$DO$11:$DQ$13)+SUM(BA34:BC36*$DO$15:$DQ$17)</f>
        <v>0</v>
      </c>
      <c r="EM6">
        <f t="array" ref="EM6">SUM(BB5:BD7*$DO$11:$DQ$13)+SUM(BB34:BD36*$DO$15:$DQ$17)</f>
        <v>0</v>
      </c>
      <c r="EN6">
        <f t="array" ref="EN6">SUM(BC5:BE7*$DO$11:$DQ$13)+SUM(BC34:BE36*$DO$15:$DQ$17)</f>
        <v>0</v>
      </c>
      <c r="EO6">
        <f t="array" ref="EO6">SUM(BD5:BF7*$DO$11:$DQ$13)+SUM(BD34:BF36*$DO$15:$DQ$17)</f>
        <v>0</v>
      </c>
      <c r="EP6">
        <f t="array" ref="EP6">SUM(BE5:BG7*$DO$11:$DQ$13)+SUM(BE34:BG36*$DO$15:$DQ$17)</f>
        <v>0</v>
      </c>
      <c r="ES6" s="127">
        <f t="shared" ref="ES6" si="6">MAX(DS6:DT7)</f>
        <v>0</v>
      </c>
      <c r="ET6" s="127"/>
      <c r="EU6" s="127">
        <f t="shared" ref="EU6" si="7">MAX(DU6:DV7)</f>
        <v>0</v>
      </c>
      <c r="EV6" s="127"/>
      <c r="EW6" s="127">
        <f t="shared" ref="EW6" si="8">MAX(DW6:DX7)</f>
        <v>0</v>
      </c>
      <c r="EX6" s="127"/>
      <c r="EY6" s="127">
        <f t="shared" ref="EY6" si="9">MAX(DY6:DZ7)</f>
        <v>0</v>
      </c>
      <c r="EZ6" s="127"/>
      <c r="FA6" s="127">
        <f t="shared" ref="FA6" si="10">MAX(EA6:EB7)</f>
        <v>0</v>
      </c>
      <c r="FB6" s="127"/>
      <c r="FC6" s="127">
        <f t="shared" ref="FC6" si="11">MAX(EC6:ED7)</f>
        <v>0</v>
      </c>
      <c r="FD6" s="127"/>
      <c r="FE6" s="127">
        <f t="shared" ref="FE6" si="12">MAX(EE6:EF7)</f>
        <v>0</v>
      </c>
      <c r="FF6" s="127"/>
      <c r="FG6" s="127">
        <f t="shared" ref="FG6" si="13">MAX(EG6:EH7)</f>
        <v>0</v>
      </c>
      <c r="FH6" s="127"/>
      <c r="FI6" s="127">
        <f t="shared" ref="FI6" si="14">MAX(EI6:EJ7)</f>
        <v>0</v>
      </c>
      <c r="FJ6" s="127"/>
      <c r="FK6" s="127">
        <f t="shared" ref="FK6" si="15">MAX(EK6:EL7)</f>
        <v>0</v>
      </c>
      <c r="FL6" s="127"/>
      <c r="FM6" s="127">
        <f t="shared" ref="FM6" si="16">MAX(EM6:EN7)</f>
        <v>0</v>
      </c>
      <c r="FN6" s="127"/>
      <c r="FO6" s="127">
        <f t="shared" ref="FO6" si="17">MAX(EO6:EP7)</f>
        <v>0</v>
      </c>
      <c r="FP6" s="127"/>
      <c r="FT6">
        <v>0.11055883060908467</v>
      </c>
      <c r="FV6">
        <v>0.78417051719584274</v>
      </c>
      <c r="FX6">
        <v>0.96123066222237308</v>
      </c>
      <c r="FZ6">
        <v>0.42350375782472938</v>
      </c>
      <c r="GB6">
        <v>0.70030719987988466</v>
      </c>
      <c r="GD6">
        <v>9.3935571101174453E-2</v>
      </c>
      <c r="GF6">
        <v>0.74354285200222092</v>
      </c>
      <c r="GH6">
        <v>0.22631339473171841</v>
      </c>
      <c r="GJ6">
        <v>0.629134753771461</v>
      </c>
      <c r="GL6">
        <v>0.9300856063576759</v>
      </c>
      <c r="GN6">
        <v>0.74079856996856974</v>
      </c>
      <c r="GP6">
        <v>0.27847568037433779</v>
      </c>
      <c r="GR6">
        <v>0.99788452624072421</v>
      </c>
    </row>
    <row r="7" spans="1:204" ht="27.75" customHeight="1" x14ac:dyDescent="0.25">
      <c r="A7" s="78">
        <v>0</v>
      </c>
      <c r="B7" s="78">
        <v>0</v>
      </c>
      <c r="C7" s="78">
        <v>0</v>
      </c>
      <c r="D7" s="78">
        <v>0</v>
      </c>
      <c r="E7" s="78">
        <v>0</v>
      </c>
      <c r="F7" s="78">
        <v>0</v>
      </c>
      <c r="G7" s="78">
        <v>0</v>
      </c>
      <c r="H7" s="78">
        <v>0</v>
      </c>
      <c r="I7" s="78">
        <v>0</v>
      </c>
      <c r="J7" s="78">
        <v>0</v>
      </c>
      <c r="K7" s="78">
        <v>0</v>
      </c>
      <c r="L7" s="78">
        <v>0</v>
      </c>
      <c r="M7" s="78">
        <v>0</v>
      </c>
      <c r="N7" s="78">
        <v>0</v>
      </c>
      <c r="O7" s="78">
        <v>0</v>
      </c>
      <c r="P7" s="78">
        <v>0</v>
      </c>
      <c r="Q7" s="78">
        <v>0</v>
      </c>
      <c r="R7" s="78">
        <v>0</v>
      </c>
      <c r="S7" s="78">
        <v>0</v>
      </c>
      <c r="T7" s="78">
        <v>0</v>
      </c>
      <c r="U7" s="78">
        <v>0</v>
      </c>
      <c r="V7" s="78">
        <v>0</v>
      </c>
      <c r="W7" s="78">
        <v>0</v>
      </c>
      <c r="X7" s="78">
        <v>0</v>
      </c>
      <c r="Y7" s="78">
        <v>0</v>
      </c>
      <c r="Z7" s="78">
        <v>0</v>
      </c>
      <c r="AA7" s="78">
        <v>0</v>
      </c>
      <c r="AB7" s="78">
        <v>0</v>
      </c>
      <c r="AC7" s="79"/>
      <c r="AD7" s="79"/>
      <c r="AE7" s="79"/>
      <c r="AF7" s="79"/>
      <c r="AG7" s="79"/>
      <c r="AH7" s="1">
        <f t="array" ref="AH7">SUM(A6:C8*$AD$11:$AF$13)</f>
        <v>0</v>
      </c>
      <c r="AI7" s="1">
        <f t="array" ref="AI7">SUM(B6:D8*$AD$11:$AF$13)</f>
        <v>0</v>
      </c>
      <c r="AJ7" s="1">
        <f t="array" ref="AJ7">SUM(C6:E8*$AD$11:$AF$13)</f>
        <v>0</v>
      </c>
      <c r="AK7" s="1">
        <f t="array" ref="AK7">SUM(D6:F8*$AD$11:$AF$13)</f>
        <v>0</v>
      </c>
      <c r="AL7" s="1">
        <f t="array" ref="AL7">SUM(E6:G8*$AD$11:$AF$13)</f>
        <v>0</v>
      </c>
      <c r="AM7" s="1">
        <f t="array" ref="AM7">SUM(F6:H8*$AD$11:$AF$13)</f>
        <v>0</v>
      </c>
      <c r="AN7" s="1">
        <f t="array" ref="AN7">SUM(G6:I8*$AD$11:$AF$13)</f>
        <v>0</v>
      </c>
      <c r="AO7" s="1">
        <f t="array" ref="AO7">SUM(H6:J8*$AD$11:$AF$13)</f>
        <v>0</v>
      </c>
      <c r="AP7" s="1">
        <f t="array" ref="AP7">SUM(I6:K8*$AD$11:$AF$13)</f>
        <v>0</v>
      </c>
      <c r="AQ7" s="1">
        <f t="array" ref="AQ7">SUM(J6:L8*$AD$11:$AF$13)</f>
        <v>0</v>
      </c>
      <c r="AR7" s="1">
        <f t="array" ref="AR7">SUM(K6:M8*$AD$11:$AF$13)</f>
        <v>0</v>
      </c>
      <c r="AS7" s="1">
        <f t="array" ref="AS7">SUM(L6:N8*$AD$11:$AF$13)</f>
        <v>0</v>
      </c>
      <c r="AT7" s="1">
        <f t="array" ref="AT7">SUM(M6:O8*$AD$11:$AF$13)</f>
        <v>0</v>
      </c>
      <c r="AU7" s="1">
        <f t="array" ref="AU7">SUM(N6:P8*$AD$11:$AF$13)</f>
        <v>0</v>
      </c>
      <c r="AV7" s="1">
        <f t="array" ref="AV7">SUM(O6:Q8*$AD$11:$AF$13)</f>
        <v>0</v>
      </c>
      <c r="AW7" s="1">
        <f t="array" ref="AW7">SUM(P6:R8*$AD$11:$AF$13)</f>
        <v>0</v>
      </c>
      <c r="AX7" s="1">
        <f t="array" ref="AX7">SUM(Q6:S8*$AD$11:$AF$13)</f>
        <v>0</v>
      </c>
      <c r="AY7" s="1">
        <f t="array" ref="AY7">SUM(R6:T8*$AD$11:$AF$13)</f>
        <v>0</v>
      </c>
      <c r="AZ7" s="1">
        <f t="array" ref="AZ7">SUM(S6:U8*$AD$11:$AF$13)</f>
        <v>0</v>
      </c>
      <c r="BA7" s="1">
        <f t="array" ref="BA7">SUM(T6:V8*$AD$11:$AF$13)</f>
        <v>0</v>
      </c>
      <c r="BB7" s="1">
        <f t="array" ref="BB7">SUM(U6:W8*$AD$11:$AF$13)</f>
        <v>0</v>
      </c>
      <c r="BC7" s="1">
        <f t="array" ref="BC7">SUM(V6:X8*$AD$11:$AF$13)</f>
        <v>0</v>
      </c>
      <c r="BD7" s="1">
        <f t="array" ref="BD7">SUM(W6:Y8*$AD$11:$AF$13)</f>
        <v>0</v>
      </c>
      <c r="BE7" s="1">
        <f t="array" ref="BE7">SUM(X6:Z8*$AD$11:$AF$13)</f>
        <v>0</v>
      </c>
      <c r="BF7" s="1">
        <f t="array" ref="BF7">SUM(Y6:AA8*$AD$11:$AF$13)</f>
        <v>0</v>
      </c>
      <c r="BG7" s="1">
        <f t="array" ref="BG7">SUM(Z6:AB8*$AD$11:$AF$13)</f>
        <v>0</v>
      </c>
      <c r="BH7" s="79"/>
      <c r="BI7" s="79"/>
      <c r="BJ7" s="79"/>
      <c r="BK7" s="1">
        <f t="shared" si="3"/>
        <v>0</v>
      </c>
      <c r="BL7" s="1">
        <f t="shared" si="0"/>
        <v>0</v>
      </c>
      <c r="BM7" s="1">
        <f t="shared" si="0"/>
        <v>0</v>
      </c>
      <c r="BN7" s="1">
        <f t="shared" si="0"/>
        <v>0</v>
      </c>
      <c r="BO7" s="1">
        <f t="shared" si="0"/>
        <v>0</v>
      </c>
      <c r="BP7" s="1">
        <f t="shared" si="0"/>
        <v>0</v>
      </c>
      <c r="BQ7" s="1">
        <f t="shared" si="0"/>
        <v>0</v>
      </c>
      <c r="BR7" s="1">
        <f t="shared" si="0"/>
        <v>0</v>
      </c>
      <c r="BS7" s="1">
        <f t="shared" si="0"/>
        <v>0</v>
      </c>
      <c r="BT7" s="1">
        <f t="shared" si="0"/>
        <v>0</v>
      </c>
      <c r="BU7" s="1">
        <f t="shared" si="0"/>
        <v>0</v>
      </c>
      <c r="BV7" s="1">
        <f t="shared" si="0"/>
        <v>0</v>
      </c>
      <c r="BW7" s="1">
        <f t="shared" si="0"/>
        <v>0</v>
      </c>
      <c r="BX7" s="1">
        <f t="shared" si="0"/>
        <v>0</v>
      </c>
      <c r="BY7" s="1">
        <f t="shared" si="0"/>
        <v>0</v>
      </c>
      <c r="BZ7" s="1">
        <f t="shared" si="0"/>
        <v>0</v>
      </c>
      <c r="CA7" s="1">
        <f t="shared" si="0"/>
        <v>0</v>
      </c>
      <c r="CB7" s="1">
        <f t="shared" si="0"/>
        <v>0</v>
      </c>
      <c r="CC7" s="1">
        <f t="shared" si="0"/>
        <v>0</v>
      </c>
      <c r="CD7" s="1">
        <f t="shared" si="0"/>
        <v>0</v>
      </c>
      <c r="CE7" s="1">
        <f t="shared" si="4"/>
        <v>0</v>
      </c>
      <c r="CF7" s="1">
        <f t="shared" si="1"/>
        <v>0</v>
      </c>
      <c r="CG7" s="1">
        <f t="shared" si="1"/>
        <v>0</v>
      </c>
      <c r="CH7" s="1">
        <f t="shared" si="2"/>
        <v>0</v>
      </c>
      <c r="CI7" s="1">
        <f t="shared" si="2"/>
        <v>0</v>
      </c>
      <c r="CJ7" s="1">
        <f t="shared" si="2"/>
        <v>0</v>
      </c>
      <c r="DS7">
        <f t="array" ref="DS7">SUM(AH6:AJ8*$DO$11:$DQ$13)+SUM(AH35:AJ37*$DO$15:$DQ$17)</f>
        <v>0</v>
      </c>
      <c r="DT7">
        <f t="array" ref="DT7">SUM(AI6:AK8*$DO$11:$DQ$13)+SUM(AI35:AK37*$DO$15:$DQ$17)</f>
        <v>0</v>
      </c>
      <c r="DU7">
        <f t="array" ref="DU7">SUM(AJ6:AL8*$DO$11:$DQ$13)+SUM(AJ35:AL37*$DO$15:$DQ$17)</f>
        <v>0</v>
      </c>
      <c r="DV7">
        <f t="array" ref="DV7">SUM(AK6:AM8*$DO$11:$DQ$13)+SUM(AK35:AM37*$DO$15:$DQ$17)</f>
        <v>0</v>
      </c>
      <c r="DW7">
        <f t="array" ref="DW7">SUM(AL6:AN8*$DO$11:$DQ$13)+SUM(AL35:AN37*$DO$15:$DQ$17)</f>
        <v>0</v>
      </c>
      <c r="DX7">
        <f t="array" ref="DX7">SUM(AM6:AO8*$DO$11:$DQ$13)+SUM(AM35:AO37*$DO$15:$DQ$17)</f>
        <v>0</v>
      </c>
      <c r="DY7">
        <f t="array" ref="DY7">SUM(AN6:AP8*$DO$11:$DQ$13)+SUM(AN35:AP37*$DO$15:$DQ$17)</f>
        <v>0</v>
      </c>
      <c r="DZ7">
        <f t="array" ref="DZ7">SUM(AO6:AQ8*$DO$11:$DQ$13)+SUM(AO35:AQ37*$DO$15:$DQ$17)</f>
        <v>-0.48033359263420439</v>
      </c>
      <c r="EA7">
        <f t="array" ref="EA7">SUM(AP6:AR8*$DO$11:$DQ$13)+SUM(AP35:AR37*$DO$15:$DQ$17)</f>
        <v>-1.0004008834016584</v>
      </c>
      <c r="EB7">
        <f t="array" ref="EB7">SUM(AQ6:AS8*$DO$11:$DQ$13)+SUM(AQ35:AS37*$DO$15:$DQ$17)</f>
        <v>-1.3622544941634336</v>
      </c>
      <c r="EC7">
        <f t="array" ref="EC7">SUM(AR6:AT8*$DO$11:$DQ$13)+SUM(AR35:AT37*$DO$15:$DQ$17)</f>
        <v>-1.5030567123725509</v>
      </c>
      <c r="ED7">
        <f t="array" ref="ED7">SUM(AS6:AU8*$DO$11:$DQ$13)+SUM(AS35:AU37*$DO$15:$DQ$17)</f>
        <v>-1.5359487218283985</v>
      </c>
      <c r="EE7">
        <f t="array" ref="EE7">SUM(AT6:AV8*$DO$11:$DQ$13)+SUM(AT35:AV37*$DO$15:$DQ$17)</f>
        <v>-1.1095869122625701</v>
      </c>
      <c r="EF7">
        <f t="array" ref="EF7">SUM(AU6:AW8*$DO$11:$DQ$13)+SUM(AU35:AW37*$DO$15:$DQ$17)</f>
        <v>-0.49143823485090954</v>
      </c>
      <c r="EG7">
        <f t="array" ref="EG7">SUM(AV6:AX8*$DO$11:$DQ$13)+SUM(AV35:AX37*$DO$15:$DQ$17)</f>
        <v>-0.25245194134819493</v>
      </c>
      <c r="EH7">
        <f t="array" ref="EH7">SUM(AW6:AY8*$DO$11:$DQ$13)+SUM(AW35:AY37*$DO$15:$DQ$17)</f>
        <v>-0.11575551806907922</v>
      </c>
      <c r="EI7">
        <f t="array" ref="EI7">SUM(AX6:AZ8*$DO$11:$DQ$13)+SUM(AX35:AZ37*$DO$15:$DQ$17)</f>
        <v>0</v>
      </c>
      <c r="EJ7">
        <f t="array" ref="EJ7">SUM(AY6:BA8*$DO$11:$DQ$13)+SUM(AY35:BA37*$DO$15:$DQ$17)</f>
        <v>0</v>
      </c>
      <c r="EK7">
        <f t="array" ref="EK7">SUM(AZ6:BB8*$DO$11:$DQ$13)+SUM(AZ35:BB37*$DO$15:$DQ$17)</f>
        <v>0</v>
      </c>
      <c r="EL7">
        <f t="array" ref="EL7">SUM(BA6:BC8*$DO$11:$DQ$13)+SUM(BA35:BC37*$DO$15:$DQ$17)</f>
        <v>0</v>
      </c>
      <c r="EM7">
        <f t="array" ref="EM7">SUM(BB6:BD8*$DO$11:$DQ$13)+SUM(BB35:BD37*$DO$15:$DQ$17)</f>
        <v>0</v>
      </c>
      <c r="EN7">
        <f t="array" ref="EN7">SUM(BC6:BE8*$DO$11:$DQ$13)+SUM(BC35:BE37*$DO$15:$DQ$17)</f>
        <v>0</v>
      </c>
      <c r="EO7">
        <f t="array" ref="EO7">SUM(BD6:BF8*$DO$11:$DQ$13)+SUM(BD35:BF37*$DO$15:$DQ$17)</f>
        <v>0</v>
      </c>
      <c r="EP7">
        <f t="array" ref="EP7">SUM(BE6:BG8*$DO$11:$DQ$13)+SUM(BE35:BG37*$DO$15:$DQ$17)</f>
        <v>0</v>
      </c>
      <c r="ES7" s="127"/>
      <c r="ET7" s="127"/>
      <c r="EU7" s="127"/>
      <c r="EV7" s="127"/>
      <c r="EW7" s="127"/>
      <c r="EX7" s="127"/>
      <c r="EY7" s="127"/>
      <c r="EZ7" s="127"/>
      <c r="FA7" s="127"/>
      <c r="FB7" s="127"/>
      <c r="FC7" s="127"/>
      <c r="FD7" s="127"/>
      <c r="FE7" s="127"/>
      <c r="FF7" s="127"/>
      <c r="FG7" s="127"/>
      <c r="FH7" s="127"/>
      <c r="FI7" s="127"/>
      <c r="FJ7" s="127"/>
      <c r="FK7" s="127"/>
      <c r="FL7" s="127"/>
      <c r="FM7" s="127"/>
      <c r="FN7" s="127"/>
      <c r="FO7" s="127"/>
      <c r="FP7" s="127"/>
    </row>
    <row r="8" spans="1:204" ht="27.75" customHeight="1" x14ac:dyDescent="0.25">
      <c r="A8" s="78">
        <v>0</v>
      </c>
      <c r="B8" s="78">
        <v>0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78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9"/>
      <c r="AD8" s="79"/>
      <c r="AE8" s="79"/>
      <c r="AF8" s="79"/>
      <c r="AG8" s="79"/>
      <c r="AH8" s="1">
        <f t="array" ref="AH8">SUM(A7:C9*$AD$11:$AF$13)</f>
        <v>0</v>
      </c>
      <c r="AI8" s="1">
        <f t="array" ref="AI8">SUM(B7:D9*$AD$11:$AF$13)</f>
        <v>0</v>
      </c>
      <c r="AJ8" s="1">
        <f t="array" ref="AJ8">SUM(C7:E9*$AD$11:$AF$13)</f>
        <v>0</v>
      </c>
      <c r="AK8" s="1">
        <f t="array" ref="AK8">SUM(D7:F9*$AD$11:$AF$13)</f>
        <v>0</v>
      </c>
      <c r="AL8" s="1">
        <f t="array" ref="AL8">SUM(E7:G9*$AD$11:$AF$13)</f>
        <v>0</v>
      </c>
      <c r="AM8" s="1">
        <f t="array" ref="AM8">SUM(F7:H9*$AD$11:$AF$13)</f>
        <v>0</v>
      </c>
      <c r="AN8" s="1">
        <f t="array" ref="AN8">SUM(G7:I9*$AD$11:$AF$13)</f>
        <v>0</v>
      </c>
      <c r="AO8" s="1">
        <f t="array" ref="AO8">SUM(H7:J9*$AD$11:$AF$13)</f>
        <v>0</v>
      </c>
      <c r="AP8" s="1">
        <f t="array" ref="AP8">SUM(I7:K9*$AD$11:$AF$13)</f>
        <v>0</v>
      </c>
      <c r="AQ8" s="1">
        <f t="array" ref="AQ8">SUM(J7:L9*$AD$11:$AF$13)</f>
        <v>-0.38039219379424999</v>
      </c>
      <c r="AR8" s="1">
        <f t="array" ref="AR8">SUM(K7:M9*$AD$11:$AF$13)</f>
        <v>-0.75686281919479304</v>
      </c>
      <c r="AS8" s="1">
        <f t="array" ref="AS8">SUM(L7:N9*$AD$11:$AF$13)</f>
        <v>-1.058823615312575</v>
      </c>
      <c r="AT8" s="1">
        <f t="array" ref="AT8">SUM(M7:O9*$AD$11:$AF$13)</f>
        <v>-1.141176551580428</v>
      </c>
      <c r="AU8" s="1">
        <f t="array" ref="AU8">SUM(N7:P9*$AD$11:$AF$13)</f>
        <v>-1.0039216279983509</v>
      </c>
      <c r="AV8" s="1">
        <f t="array" ref="AV8">SUM(O7:Q9*$AD$11:$AF$13)</f>
        <v>-0.70196083188056901</v>
      </c>
      <c r="AW8" s="1">
        <f t="array" ref="AW8">SUM(P7:R9*$AD$11:$AF$13)</f>
        <v>-0.23921570181846599</v>
      </c>
      <c r="AX8" s="1">
        <f t="array" ref="AX8">SUM(Q7:S9*$AD$11:$AF$13)</f>
        <v>0</v>
      </c>
      <c r="AY8" s="1">
        <f t="array" ref="AY8">SUM(R7:T9*$AD$11:$AF$13)</f>
        <v>0</v>
      </c>
      <c r="AZ8" s="1">
        <f t="array" ref="AZ8">SUM(S7:U9*$AD$11:$AF$13)</f>
        <v>0</v>
      </c>
      <c r="BA8" s="1">
        <f t="array" ref="BA8">SUM(T7:V9*$AD$11:$AF$13)</f>
        <v>0</v>
      </c>
      <c r="BB8" s="1">
        <f t="array" ref="BB8">SUM(U7:W9*$AD$11:$AF$13)</f>
        <v>0</v>
      </c>
      <c r="BC8" s="1">
        <f t="array" ref="BC8">SUM(V7:X9*$AD$11:$AF$13)</f>
        <v>0</v>
      </c>
      <c r="BD8" s="1">
        <f t="array" ref="BD8">SUM(W7:Y9*$AD$11:$AF$13)</f>
        <v>0</v>
      </c>
      <c r="BE8" s="1">
        <f t="array" ref="BE8">SUM(X7:Z9*$AD$11:$AF$13)</f>
        <v>0</v>
      </c>
      <c r="BF8" s="1">
        <f t="array" ref="BF8">SUM(Y7:AA9*$AD$11:$AF$13)</f>
        <v>0</v>
      </c>
      <c r="BG8" s="1">
        <f t="array" ref="BG8">SUM(Z7:AB9*$AD$11:$AF$13)</f>
        <v>0</v>
      </c>
      <c r="BH8" s="79"/>
      <c r="BI8" s="79"/>
      <c r="BJ8" s="79"/>
      <c r="BK8" s="1">
        <f t="shared" si="3"/>
        <v>0</v>
      </c>
      <c r="BL8" s="1">
        <f t="shared" si="0"/>
        <v>0</v>
      </c>
      <c r="BM8" s="1">
        <f t="shared" si="0"/>
        <v>0</v>
      </c>
      <c r="BN8" s="1">
        <f t="shared" si="0"/>
        <v>0</v>
      </c>
      <c r="BO8" s="1">
        <f t="shared" si="0"/>
        <v>0</v>
      </c>
      <c r="BP8" s="1">
        <f t="shared" si="0"/>
        <v>0</v>
      </c>
      <c r="BQ8" s="1">
        <f t="shared" si="0"/>
        <v>0</v>
      </c>
      <c r="BR8" s="1">
        <f t="shared" si="0"/>
        <v>0</v>
      </c>
      <c r="BS8" s="1">
        <f t="shared" si="0"/>
        <v>0</v>
      </c>
      <c r="BT8" s="1">
        <f t="shared" si="0"/>
        <v>0</v>
      </c>
      <c r="BU8" s="1">
        <f t="shared" si="0"/>
        <v>0</v>
      </c>
      <c r="BV8" s="1">
        <f t="shared" si="0"/>
        <v>0</v>
      </c>
      <c r="BW8" s="1">
        <f t="shared" si="0"/>
        <v>0</v>
      </c>
      <c r="BX8" s="1">
        <f t="shared" si="0"/>
        <v>0</v>
      </c>
      <c r="BY8" s="1">
        <f t="shared" si="0"/>
        <v>0</v>
      </c>
      <c r="BZ8" s="1">
        <f t="shared" si="0"/>
        <v>0</v>
      </c>
      <c r="CA8" s="1">
        <f t="shared" si="0"/>
        <v>0</v>
      </c>
      <c r="CB8" s="1">
        <f t="shared" si="0"/>
        <v>0</v>
      </c>
      <c r="CC8" s="1">
        <f t="shared" si="0"/>
        <v>0</v>
      </c>
      <c r="CD8" s="1">
        <f t="shared" si="0"/>
        <v>0</v>
      </c>
      <c r="CE8" s="1">
        <f t="shared" si="4"/>
        <v>0</v>
      </c>
      <c r="CF8" s="1">
        <f t="shared" si="1"/>
        <v>0</v>
      </c>
      <c r="CG8" s="1">
        <f t="shared" si="1"/>
        <v>0</v>
      </c>
      <c r="CH8" s="1">
        <f t="shared" si="2"/>
        <v>0</v>
      </c>
      <c r="CI8" s="1">
        <f t="shared" si="2"/>
        <v>0</v>
      </c>
      <c r="CJ8" s="1">
        <f t="shared" si="2"/>
        <v>0</v>
      </c>
      <c r="DS8">
        <f t="array" ref="DS8">SUM(AH7:AJ9*$DO$11:$DQ$13)+SUM(AH36:AJ38*$DO$15:$DQ$17)</f>
        <v>-1.1704923270775307</v>
      </c>
      <c r="DT8">
        <f t="array" ref="DT8">SUM(AI7:AK9*$DO$11:$DQ$13)+SUM(AI36:AK38*$DO$15:$DQ$17)</f>
        <v>-2.338687904179074</v>
      </c>
      <c r="DU8">
        <f t="array" ref="DU8">SUM(AJ7:AL9*$DO$11:$DQ$13)+SUM(AJ36:AL38*$DO$15:$DQ$17)</f>
        <v>-3.1341006157149112</v>
      </c>
      <c r="DV8">
        <f t="array" ref="DV8">SUM(AK7:AM9*$DO$11:$DQ$13)+SUM(AK36:AM38*$DO$15:$DQ$17)</f>
        <v>-3.7886905640379842</v>
      </c>
      <c r="DW8">
        <f t="array" ref="DW8">SUM(AL7:AN9*$DO$11:$DQ$13)+SUM(AL36:AN38*$DO$15:$DQ$17)</f>
        <v>-3.9251465289146652</v>
      </c>
      <c r="DX8">
        <f t="array" ref="DX8">SUM(AM7:AO9*$DO$11:$DQ$13)+SUM(AM36:AO38*$DO$15:$DQ$17)</f>
        <v>-4.1092167848692762</v>
      </c>
      <c r="DY8">
        <f t="array" ref="DY8">SUM(AN7:AP9*$DO$11:$DQ$13)+SUM(AN36:AP38*$DO$15:$DQ$17)</f>
        <v>-4.1092167848692762</v>
      </c>
      <c r="DZ8">
        <f t="array" ref="DZ8">SUM(AO7:AQ9*$DO$11:$DQ$13)+SUM(AO36:AQ38*$DO$15:$DQ$17)</f>
        <v>-4.5467622553269837</v>
      </c>
      <c r="EA8">
        <f t="array" ref="EA8">SUM(AP7:AR9*$DO$11:$DQ$13)+SUM(AP36:AR38*$DO$15:$DQ$17)</f>
        <v>-5.2471668896312771</v>
      </c>
      <c r="EB8">
        <f t="array" ref="EB8">SUM(AQ7:AS9*$DO$11:$DQ$13)+SUM(AQ36:AS38*$DO$15:$DQ$17)</f>
        <v>-5.7724260059224495</v>
      </c>
      <c r="EC8">
        <f t="array" ref="EC8">SUM(AR7:AT9*$DO$11:$DQ$13)+SUM(AR36:AT38*$DO$15:$DQ$17)</f>
        <v>-5.9400578990648309</v>
      </c>
      <c r="ED8">
        <f t="array" ref="ED8">SUM(AS7:AU9*$DO$11:$DQ$13)+SUM(AS36:AU38*$DO$15:$DQ$17)</f>
        <v>-5.8767815873582192</v>
      </c>
      <c r="EE8">
        <f t="array" ref="EE8">SUM(AT7:AV9*$DO$11:$DQ$13)+SUM(AT36:AV38*$DO$15:$DQ$17)</f>
        <v>-5.4222407026679296</v>
      </c>
      <c r="EF8">
        <f t="array" ref="EF8">SUM(AU7:AW9*$DO$11:$DQ$13)+SUM(AU36:AW38*$DO$15:$DQ$17)</f>
        <v>-4.4471456020440527</v>
      </c>
      <c r="EG8">
        <f t="array" ref="EG8">SUM(AV7:AX9*$DO$11:$DQ$13)+SUM(AV36:AX38*$DO$15:$DQ$17)</f>
        <v>-2.9103629660917441</v>
      </c>
      <c r="EH8">
        <f t="array" ref="EH8">SUM(AW7:AY9*$DO$11:$DQ$13)+SUM(AW36:AY38*$DO$15:$DQ$17)</f>
        <v>-1.5855217202830654</v>
      </c>
      <c r="EI8">
        <f t="array" ref="EI8">SUM(AX7:AZ9*$DO$11:$DQ$13)+SUM(AX36:AZ38*$DO$15:$DQ$17)</f>
        <v>-0.6346921346970229</v>
      </c>
      <c r="EJ8">
        <f t="array" ref="EJ8">SUM(AY7:BA9*$DO$11:$DQ$13)+SUM(AY36:BA38*$DO$15:$DQ$17)</f>
        <v>-0.37037225348968311</v>
      </c>
      <c r="EK8">
        <f t="array" ref="EK8">SUM(AZ7:BB9*$DO$11:$DQ$13)+SUM(AZ36:BB38*$DO$15:$DQ$17)</f>
        <v>-3.9850258959485643E-2</v>
      </c>
      <c r="EL8">
        <f t="array" ref="EL8">SUM(BA7:BC9*$DO$11:$DQ$13)+SUM(BA36:BC38*$DO$15:$DQ$17)</f>
        <v>0</v>
      </c>
      <c r="EM8">
        <f t="array" ref="EM8">SUM(BB7:BD9*$DO$11:$DQ$13)+SUM(BB36:BD38*$DO$15:$DQ$17)</f>
        <v>0</v>
      </c>
      <c r="EN8">
        <f t="array" ref="EN8">SUM(BC7:BE9*$DO$11:$DQ$13)+SUM(BC36:BE38*$DO$15:$DQ$17)</f>
        <v>0</v>
      </c>
      <c r="EO8">
        <f t="array" ref="EO8">SUM(BD7:BF9*$DO$11:$DQ$13)+SUM(BD36:BF38*$DO$15:$DQ$17)</f>
        <v>0</v>
      </c>
      <c r="EP8">
        <f t="array" ref="EP8">SUM(BE7:BG9*$DO$11:$DQ$13)+SUM(BE36:BG38*$DO$15:$DQ$17)</f>
        <v>0</v>
      </c>
      <c r="ES8" s="127">
        <f t="shared" ref="ES8" si="18">MAX(DS8:DT9)</f>
        <v>-1.1704923270775307</v>
      </c>
      <c r="ET8" s="127"/>
      <c r="EU8" s="127">
        <f t="shared" ref="EU8" si="19">MAX(DU8:DV9)</f>
        <v>-3.1341006157149112</v>
      </c>
      <c r="EV8" s="127"/>
      <c r="EW8" s="127">
        <f t="shared" ref="EW8" si="20">MAX(DW8:DX9)</f>
        <v>-3.9251465289146652</v>
      </c>
      <c r="EX8" s="127"/>
      <c r="EY8" s="127">
        <f t="shared" ref="EY8" si="21">MAX(DY8:DZ9)</f>
        <v>-4.1092167848692762</v>
      </c>
      <c r="EZ8" s="127"/>
      <c r="FA8" s="127">
        <f t="shared" ref="FA8" si="22">MAX(EA8:EB9)</f>
        <v>-5.2471668896312771</v>
      </c>
      <c r="FB8" s="127"/>
      <c r="FC8" s="127">
        <f t="shared" ref="FC8" si="23">MAX(EC8:ED9)</f>
        <v>-5.8767815873582192</v>
      </c>
      <c r="FD8" s="127"/>
      <c r="FE8" s="127">
        <f t="shared" ref="FE8" si="24">MAX(EE8:EF9)</f>
        <v>-4.4471456020440527</v>
      </c>
      <c r="FF8" s="127"/>
      <c r="FG8" s="127">
        <f t="shared" ref="FG8" si="25">MAX(EG8:EH9)</f>
        <v>-1.5855217202830654</v>
      </c>
      <c r="FH8" s="127"/>
      <c r="FI8" s="127">
        <f t="shared" ref="FI8" si="26">MAX(EI8:EJ9)</f>
        <v>-0.37037225348968311</v>
      </c>
      <c r="FJ8" s="127"/>
      <c r="FK8" s="127">
        <f t="shared" ref="FK8" si="27">MAX(EK8:EL9)</f>
        <v>0</v>
      </c>
      <c r="FL8" s="127"/>
      <c r="FM8" s="127">
        <f t="shared" ref="FM8" si="28">MAX(EM8:EN9)</f>
        <v>0</v>
      </c>
      <c r="FN8" s="127"/>
      <c r="FO8" s="127">
        <f t="shared" ref="FO8" si="29">MAX(EO8:EP9)</f>
        <v>0</v>
      </c>
      <c r="FP8" s="127"/>
      <c r="FT8">
        <v>0.96078533498146113</v>
      </c>
      <c r="FV8">
        <v>0.50938176018735026</v>
      </c>
      <c r="FX8">
        <v>0.38913687054589075</v>
      </c>
      <c r="FZ8">
        <v>0.31163445639237441</v>
      </c>
      <c r="GB8">
        <v>0.28210443450472555</v>
      </c>
      <c r="GD8">
        <v>0.60756277281140036</v>
      </c>
      <c r="GF8">
        <v>0.90251659822221608</v>
      </c>
      <c r="GH8">
        <v>0.1288273511744048</v>
      </c>
      <c r="GJ8">
        <v>0.50748996125450208</v>
      </c>
      <c r="GL8">
        <v>0.60038348392131902</v>
      </c>
      <c r="GN8">
        <v>0.31919874132113613</v>
      </c>
      <c r="GP8">
        <v>9.1002281319052747E-2</v>
      </c>
      <c r="GR8">
        <v>0.12151386777108597</v>
      </c>
    </row>
    <row r="9" spans="1:204" ht="27.75" customHeight="1" x14ac:dyDescent="0.25">
      <c r="A9" s="78">
        <v>0</v>
      </c>
      <c r="B9" s="78">
        <v>0</v>
      </c>
      <c r="C9" s="78">
        <v>0</v>
      </c>
      <c r="D9" s="78">
        <v>0</v>
      </c>
      <c r="E9" s="78">
        <v>0</v>
      </c>
      <c r="F9" s="78">
        <v>0</v>
      </c>
      <c r="G9" s="78">
        <v>0</v>
      </c>
      <c r="H9" s="78">
        <v>0</v>
      </c>
      <c r="I9" s="78">
        <v>0</v>
      </c>
      <c r="J9" s="78">
        <v>0</v>
      </c>
      <c r="K9" s="78">
        <v>0</v>
      </c>
      <c r="L9" s="78">
        <v>0.38039219379424999</v>
      </c>
      <c r="M9" s="78">
        <v>0.37647062540054299</v>
      </c>
      <c r="N9" s="78">
        <v>0.30196079611778198</v>
      </c>
      <c r="O9" s="78">
        <v>0.46274513006210299</v>
      </c>
      <c r="P9" s="78">
        <v>0.23921570181846599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9"/>
      <c r="AD9" s="16" t="s">
        <v>53</v>
      </c>
      <c r="AE9" s="79"/>
      <c r="AF9" s="79"/>
      <c r="AG9" s="79"/>
      <c r="AH9" s="1">
        <f t="array" ref="AH9">SUM(A8:C10*$AD$11:$AF$13)</f>
        <v>0</v>
      </c>
      <c r="AI9" s="1">
        <f t="array" ref="AI9">SUM(B8:D10*$AD$11:$AF$13)</f>
        <v>-0.35294118523597701</v>
      </c>
      <c r="AJ9" s="1">
        <f t="array" ref="AJ9">SUM(C8:E10*$AD$11:$AF$13)</f>
        <v>-0.89411768317222506</v>
      </c>
      <c r="AK9" s="1">
        <f t="array" ref="AK9">SUM(D8:F10*$AD$11:$AF$13)</f>
        <v>-1.8156863749027241</v>
      </c>
      <c r="AL9" s="1">
        <f t="array" ref="AL9">SUM(E8:G10*$AD$11:$AF$13)</f>
        <v>-2.3843138813972464</v>
      </c>
      <c r="AM9" s="1">
        <f t="array" ref="AM9">SUM(F8:H10*$AD$11:$AF$13)</f>
        <v>-2.7647060751914969</v>
      </c>
      <c r="AN9" s="1">
        <f t="array" ref="AN9">SUM(G8:I10*$AD$11:$AF$13)</f>
        <v>-2.7647060751914969</v>
      </c>
      <c r="AO9" s="1">
        <f t="array" ref="AO9">SUM(H8:J10*$AD$11:$AF$13)</f>
        <v>-2.7647060751914969</v>
      </c>
      <c r="AP9" s="1">
        <f t="array" ref="AP9">SUM(I8:K10*$AD$11:$AF$13)</f>
        <v>-2.7647060751914969</v>
      </c>
      <c r="AQ9" s="1">
        <f t="array" ref="AQ9">SUM(J8:L10*$AD$11:$AF$13)</f>
        <v>-2.8274511694908133</v>
      </c>
      <c r="AR9" s="1">
        <f t="array" ref="AR9">SUM(K8:M10*$AD$11:$AF$13)</f>
        <v>-2.8901962637901288</v>
      </c>
      <c r="AS9" s="1">
        <f t="array" ref="AS9">SUM(L8:N10*$AD$11:$AF$13)</f>
        <v>-2.941176652908323</v>
      </c>
      <c r="AT9" s="1">
        <f t="array" ref="AT9">SUM(M8:O10*$AD$11:$AF$13)</f>
        <v>-2.9529413580894448</v>
      </c>
      <c r="AU9" s="1">
        <f t="array" ref="AU9">SUM(N8:P10*$AD$11:$AF$13)</f>
        <v>-2.929411947727202</v>
      </c>
      <c r="AV9" s="1">
        <f t="array" ref="AV9">SUM(O8:Q10*$AD$11:$AF$13)</f>
        <v>-2.8784315586090079</v>
      </c>
      <c r="AW9" s="1">
        <f t="array" ref="AW9">SUM(P8:R10*$AD$11:$AF$13)</f>
        <v>-2.6274511218070979</v>
      </c>
      <c r="AX9" s="1">
        <f t="array" ref="AX9">SUM(Q8:S10*$AD$11:$AF$13)</f>
        <v>-1.7490196898579593</v>
      </c>
      <c r="AY9" s="1">
        <f t="array" ref="AY9">SUM(R8:T10*$AD$11:$AF$13)</f>
        <v>-0.82745099812746026</v>
      </c>
      <c r="AZ9" s="1">
        <f t="array" ref="AZ9">SUM(S8:U10*$AD$11:$AF$13)</f>
        <v>-8.2352943718433297E-2</v>
      </c>
      <c r="BA9" s="1">
        <f t="array" ref="BA9">SUM(T8:V10*$AD$11:$AF$13)</f>
        <v>0</v>
      </c>
      <c r="BB9" s="1">
        <f t="array" ref="BB9">SUM(U8:W10*$AD$11:$AF$13)</f>
        <v>0</v>
      </c>
      <c r="BC9" s="1">
        <f t="array" ref="BC9">SUM(V8:X10*$AD$11:$AF$13)</f>
        <v>0</v>
      </c>
      <c r="BD9" s="1">
        <f t="array" ref="BD9">SUM(W8:Y10*$AD$11:$AF$13)</f>
        <v>0</v>
      </c>
      <c r="BE9" s="1">
        <f t="array" ref="BE9">SUM(X8:Z10*$AD$11:$AF$13)</f>
        <v>0</v>
      </c>
      <c r="BF9" s="1">
        <f t="array" ref="BF9">SUM(Y8:AA10*$AD$11:$AF$13)</f>
        <v>0</v>
      </c>
      <c r="BG9" s="1">
        <f t="array" ref="BG9">SUM(Z8:AB10*$AD$11:$AF$13)</f>
        <v>0</v>
      </c>
      <c r="BH9" s="79"/>
      <c r="BI9" s="79"/>
      <c r="BJ9" s="79"/>
      <c r="BK9" s="1">
        <f t="shared" si="3"/>
        <v>0</v>
      </c>
      <c r="BL9" s="1">
        <f t="shared" si="0"/>
        <v>0</v>
      </c>
      <c r="BM9" s="1">
        <f t="shared" si="0"/>
        <v>0</v>
      </c>
      <c r="BN9" s="1">
        <f t="shared" si="0"/>
        <v>0</v>
      </c>
      <c r="BO9" s="1">
        <f t="shared" si="0"/>
        <v>0</v>
      </c>
      <c r="BP9" s="1">
        <f t="shared" si="0"/>
        <v>0</v>
      </c>
      <c r="BQ9" s="1">
        <f t="shared" si="0"/>
        <v>0</v>
      </c>
      <c r="BR9" s="1">
        <f t="shared" si="0"/>
        <v>0</v>
      </c>
      <c r="BS9" s="1">
        <f t="shared" si="0"/>
        <v>0</v>
      </c>
      <c r="BT9" s="1">
        <f t="shared" si="0"/>
        <v>0</v>
      </c>
      <c r="BU9" s="1">
        <f t="shared" si="0"/>
        <v>0</v>
      </c>
      <c r="BV9" s="1">
        <f t="shared" si="0"/>
        <v>0</v>
      </c>
      <c r="BW9" s="1">
        <f t="shared" si="0"/>
        <v>0</v>
      </c>
      <c r="BX9" s="1">
        <f t="shared" si="0"/>
        <v>0</v>
      </c>
      <c r="BY9" s="1">
        <f t="shared" si="0"/>
        <v>0</v>
      </c>
      <c r="BZ9" s="1">
        <f t="shared" si="0"/>
        <v>0</v>
      </c>
      <c r="CA9" s="1">
        <f t="shared" si="0"/>
        <v>0</v>
      </c>
      <c r="CB9" s="1">
        <f t="shared" si="0"/>
        <v>0</v>
      </c>
      <c r="CC9" s="1">
        <f t="shared" si="0"/>
        <v>0</v>
      </c>
      <c r="CD9" s="1">
        <f t="shared" si="0"/>
        <v>0</v>
      </c>
      <c r="CE9" s="1">
        <f t="shared" si="4"/>
        <v>0</v>
      </c>
      <c r="CF9" s="1">
        <f t="shared" si="1"/>
        <v>0</v>
      </c>
      <c r="CG9" s="1">
        <f t="shared" si="1"/>
        <v>0</v>
      </c>
      <c r="CH9" s="1">
        <f t="shared" si="2"/>
        <v>0</v>
      </c>
      <c r="CI9" s="1">
        <f t="shared" si="2"/>
        <v>0</v>
      </c>
      <c r="CJ9" s="1">
        <f t="shared" si="2"/>
        <v>0</v>
      </c>
      <c r="DO9" s="2" t="s">
        <v>54</v>
      </c>
      <c r="DS9">
        <f t="array" ref="DS9">SUM(AH8:AJ10*$DO$11:$DQ$13)+SUM(AH37:AJ39*$DO$15:$DQ$17)</f>
        <v>-4.3649083049957085</v>
      </c>
      <c r="DT9">
        <f t="array" ref="DT9">SUM(AI8:AK10*$DO$11:$DQ$13)+SUM(AI37:AK39*$DO$15:$DQ$17)</f>
        <v>-6.1400049035115973</v>
      </c>
      <c r="DU9">
        <f t="array" ref="DU9">SUM(AJ8:AL10*$DO$11:$DQ$13)+SUM(AJ37:AL39*$DO$15:$DQ$17)</f>
        <v>-7.4698161573343524</v>
      </c>
      <c r="DV9">
        <f t="array" ref="DV9">SUM(AK8:AM10*$DO$11:$DQ$13)+SUM(AK37:AM39*$DO$15:$DQ$17)</f>
        <v>-8.2728470970022574</v>
      </c>
      <c r="DW9">
        <f t="array" ref="DW9">SUM(AL8:AN10*$DO$11:$DQ$13)+SUM(AL37:AN39*$DO$15:$DQ$17)</f>
        <v>-8.3950490684929768</v>
      </c>
      <c r="DX9">
        <f t="array" ref="DX9">SUM(AM8:AO10*$DO$11:$DQ$13)+SUM(AM37:AO39*$DO$15:$DQ$17)</f>
        <v>-8.3844625304882143</v>
      </c>
      <c r="DY9">
        <f t="array" ref="DY9">SUM(AN8:AP10*$DO$11:$DQ$13)+SUM(AN37:AP39*$DO$15:$DQ$17)</f>
        <v>-8.3844625304882143</v>
      </c>
      <c r="DZ9">
        <f t="array" ref="DZ9">SUM(AO8:AQ10*$DO$11:$DQ$13)+SUM(AO37:AQ39*$DO$15:$DQ$17)</f>
        <v>-8.8342527721981678</v>
      </c>
      <c r="EA9">
        <f t="array" ref="EA9">SUM(AP8:AR10*$DO$11:$DQ$13)+SUM(AP37:AR39*$DO$15:$DQ$17)</f>
        <v>-9.4123408482136668</v>
      </c>
      <c r="EB9">
        <f t="array" ref="EB9">SUM(AQ8:AS10*$DO$11:$DQ$13)+SUM(AQ37:AS39*$DO$15:$DQ$17)</f>
        <v>-9.3434605253270924</v>
      </c>
      <c r="EC9">
        <f t="array" ref="EC9">SUM(AR8:AT10*$DO$11:$DQ$13)+SUM(AR37:AT39*$DO$15:$DQ$17)</f>
        <v>-8.8850998293735</v>
      </c>
      <c r="ED9">
        <f t="array" ref="ED9">SUM(AS8:AU10*$DO$11:$DQ$13)+SUM(AS37:AU39*$DO$15:$DQ$17)</f>
        <v>-8.1025831582876808</v>
      </c>
      <c r="EE9">
        <f t="array" ref="EE9">SUM(AT8:AV10*$DO$11:$DQ$13)+SUM(AT37:AV39*$DO$15:$DQ$17)</f>
        <v>-7.5986501731661207</v>
      </c>
      <c r="EF9">
        <f t="array" ref="EF9">SUM(AU8:AW10*$DO$11:$DQ$13)+SUM(AU37:AW39*$DO$15:$DQ$17)</f>
        <v>-6.978131983624662</v>
      </c>
      <c r="EG9">
        <f t="array" ref="EG9">SUM(AV8:AX10*$DO$11:$DQ$13)+SUM(AV37:AX39*$DO$15:$DQ$17)</f>
        <v>-5.7224780961962338</v>
      </c>
      <c r="EH9">
        <f t="array" ref="EH9">SUM(AW8:AY10*$DO$11:$DQ$13)+SUM(AW37:AY39*$DO$15:$DQ$17)</f>
        <v>-3.9279552090464875</v>
      </c>
      <c r="EI9">
        <f t="array" ref="EI9">SUM(AX8:AZ10*$DO$11:$DQ$13)+SUM(AX37:AZ39*$DO$15:$DQ$17)</f>
        <v>-1.9540708322583282</v>
      </c>
      <c r="EJ9">
        <f t="array" ref="EJ9">SUM(AY8:BA10*$DO$11:$DQ$13)+SUM(AY37:BA39*$DO$15:$DQ$17)</f>
        <v>-0.6854130618569696</v>
      </c>
      <c r="EK9">
        <f t="array" ref="EK9">SUM(AZ8:BB10*$DO$11:$DQ$13)+SUM(AZ37:BB39*$DO$15:$DQ$17)</f>
        <v>-0.36711814813192917</v>
      </c>
      <c r="EL9">
        <f t="array" ref="EL9">SUM(BA8:BC10*$DO$11:$DQ$13)+SUM(BA37:BC39*$DO$15:$DQ$17)</f>
        <v>-4.3645521374169445E-2</v>
      </c>
      <c r="EM9">
        <f t="array" ref="EM9">SUM(BB8:BD10*$DO$11:$DQ$13)+SUM(BB37:BD39*$DO$15:$DQ$17)</f>
        <v>0</v>
      </c>
      <c r="EN9">
        <f t="array" ref="EN9">SUM(BC8:BE10*$DO$11:$DQ$13)+SUM(BC37:BE39*$DO$15:$DQ$17)</f>
        <v>0</v>
      </c>
      <c r="EO9">
        <f t="array" ref="EO9">SUM(BD8:BF10*$DO$11:$DQ$13)+SUM(BD37:BF39*$DO$15:$DQ$17)</f>
        <v>0</v>
      </c>
      <c r="EP9">
        <f t="array" ref="EP9">SUM(BE8:BG10*$DO$11:$DQ$13)+SUM(BE37:BG39*$DO$15:$DQ$17)</f>
        <v>0</v>
      </c>
      <c r="ES9" s="127"/>
      <c r="ET9" s="127"/>
      <c r="EU9" s="127"/>
      <c r="EV9" s="127"/>
      <c r="EW9" s="127"/>
      <c r="EX9" s="127"/>
      <c r="EY9" s="127"/>
      <c r="EZ9" s="127"/>
      <c r="FA9" s="127"/>
      <c r="FB9" s="127"/>
      <c r="FC9" s="127"/>
      <c r="FD9" s="127"/>
      <c r="FE9" s="127"/>
      <c r="FF9" s="127"/>
      <c r="FG9" s="127"/>
      <c r="FH9" s="127"/>
      <c r="FI9" s="127"/>
      <c r="FJ9" s="127"/>
      <c r="FK9" s="127"/>
      <c r="FL9" s="127"/>
      <c r="FM9" s="127"/>
      <c r="FN9" s="127"/>
      <c r="FO9" s="127"/>
      <c r="FP9" s="127"/>
    </row>
    <row r="10" spans="1:204" ht="27.75" customHeight="1" x14ac:dyDescent="0.25">
      <c r="A10" s="78">
        <v>0</v>
      </c>
      <c r="B10" s="78">
        <v>0</v>
      </c>
      <c r="C10" s="78">
        <v>0</v>
      </c>
      <c r="D10" s="78">
        <v>0.35294118523597701</v>
      </c>
      <c r="E10" s="78">
        <v>0.541176497936248</v>
      </c>
      <c r="F10" s="78">
        <v>0.92156869173049905</v>
      </c>
      <c r="G10" s="78">
        <v>0.92156869173049905</v>
      </c>
      <c r="H10" s="78">
        <v>0.92156869173049905</v>
      </c>
      <c r="I10" s="78">
        <v>0.92156869173049905</v>
      </c>
      <c r="J10" s="78">
        <v>0.92156869173049905</v>
      </c>
      <c r="K10" s="78">
        <v>0.92156869173049905</v>
      </c>
      <c r="L10" s="78">
        <v>0.98431378602981501</v>
      </c>
      <c r="M10" s="78">
        <v>0.98431378602981501</v>
      </c>
      <c r="N10" s="78">
        <v>0.97254908084869296</v>
      </c>
      <c r="O10" s="78">
        <v>0.99607849121093694</v>
      </c>
      <c r="P10" s="78">
        <v>0.96078437566757202</v>
      </c>
      <c r="Q10" s="78">
        <v>0.92156869173049905</v>
      </c>
      <c r="R10" s="78">
        <v>0.74509805440902699</v>
      </c>
      <c r="S10" s="78">
        <v>8.2352943718433297E-2</v>
      </c>
      <c r="T10" s="78">
        <v>0</v>
      </c>
      <c r="U10" s="78">
        <v>0</v>
      </c>
      <c r="V10" s="78">
        <v>0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9"/>
      <c r="AD10" s="79"/>
      <c r="AE10" s="79"/>
      <c r="AF10" s="79"/>
      <c r="AG10" s="79"/>
      <c r="AH10" s="1">
        <f t="array" ref="AH10">SUM(A9:C11*$AD$11:$AF$13)</f>
        <v>-0.549019634723663</v>
      </c>
      <c r="AI10" s="1">
        <f t="array" ref="AI10">SUM(B9:D11*$AD$11:$AF$13)</f>
        <v>-1.5333334207534781</v>
      </c>
      <c r="AJ10" s="1">
        <f t="array" ref="AJ10">SUM(C9:E11*$AD$11:$AF$13)</f>
        <v>-2.5294119119644152</v>
      </c>
      <c r="AK10" s="1">
        <f t="array" ref="AK10">SUM(D9:F11*$AD$11:$AF$13)</f>
        <v>-2.9764707684516889</v>
      </c>
      <c r="AL10" s="1">
        <f t="array" ref="AL10">SUM(E9:G11*$AD$11:$AF$13)</f>
        <v>-2.9882354736328107</v>
      </c>
      <c r="AM10" s="1">
        <f t="array" ref="AM10">SUM(F9:H11*$AD$11:$AF$13)</f>
        <v>-2.9882354736328107</v>
      </c>
      <c r="AN10" s="1">
        <f t="array" ref="AN10">SUM(G9:I11*$AD$11:$AF$13)</f>
        <v>-2.9882354736328107</v>
      </c>
      <c r="AO10" s="1">
        <f t="array" ref="AO10">SUM(H9:J11*$AD$11:$AF$13)</f>
        <v>-2.9882354736328107</v>
      </c>
      <c r="AP10" s="1">
        <f t="array" ref="AP10">SUM(I9:K11*$AD$11:$AF$13)</f>
        <v>-2.9882354736328107</v>
      </c>
      <c r="AQ10" s="1">
        <f t="array" ref="AQ10">SUM(J9:L11*$AD$11:$AF$13)</f>
        <v>-2.6078432798385611</v>
      </c>
      <c r="AR10" s="1">
        <f t="array" ref="AR10">SUM(K9:M11*$AD$11:$AF$13)</f>
        <v>-2.2313726544380179</v>
      </c>
      <c r="AS10" s="1">
        <f t="array" ref="AS10">SUM(L9:N11*$AD$11:$AF$13)</f>
        <v>-1.9294118583202358</v>
      </c>
      <c r="AT10" s="1">
        <f t="array" ref="AT10">SUM(M9:O11*$AD$11:$AF$13)</f>
        <v>-1.847058922052383</v>
      </c>
      <c r="AU10" s="1">
        <f t="array" ref="AU10">SUM(N9:P11*$AD$11:$AF$13)</f>
        <v>-1.98431384563446</v>
      </c>
      <c r="AV10" s="1">
        <f t="array" ref="AV10">SUM(O9:Q11*$AD$11:$AF$13)</f>
        <v>-2.2862746417522417</v>
      </c>
      <c r="AW10" s="1">
        <f t="array" ref="AW10">SUM(P9:R11*$AD$11:$AF$13)</f>
        <v>-2.749019771814345</v>
      </c>
      <c r="AX10" s="1">
        <f t="array" ref="AX10">SUM(Q9:S11*$AD$11:$AF$13)</f>
        <v>-2.733333468437193</v>
      </c>
      <c r="AY10" s="1">
        <f t="array" ref="AY10">SUM(R9:T11*$AD$11:$AF$13)</f>
        <v>-1.8274510577321039</v>
      </c>
      <c r="AZ10" s="1">
        <f t="array" ref="AZ10">SUM(S9:U11*$AD$11:$AF$13)</f>
        <v>-0.83137256652116698</v>
      </c>
      <c r="BA10" s="1">
        <f t="array" ref="BA10">SUM(T9:V11*$AD$11:$AF$13)</f>
        <v>-9.0196080505847903E-2</v>
      </c>
      <c r="BB10" s="1">
        <f t="array" ref="BB10">SUM(U9:W11*$AD$11:$AF$13)</f>
        <v>0</v>
      </c>
      <c r="BC10" s="1">
        <f t="array" ref="BC10">SUM(V9:X11*$AD$11:$AF$13)</f>
        <v>0</v>
      </c>
      <c r="BD10" s="1">
        <f t="array" ref="BD10">SUM(W9:Y11*$AD$11:$AF$13)</f>
        <v>0</v>
      </c>
      <c r="BE10" s="1">
        <f t="array" ref="BE10">SUM(X9:Z11*$AD$11:$AF$13)</f>
        <v>0</v>
      </c>
      <c r="BF10" s="1">
        <f t="array" ref="BF10">SUM(Y9:AA11*$AD$11:$AF$13)</f>
        <v>0</v>
      </c>
      <c r="BG10" s="1">
        <f t="array" ref="BG10">SUM(Z9:AB11*$AD$11:$AF$13)</f>
        <v>0</v>
      </c>
      <c r="BH10" s="79"/>
      <c r="BI10" s="79"/>
      <c r="BJ10" s="79"/>
      <c r="BK10" s="1">
        <f t="shared" si="3"/>
        <v>0</v>
      </c>
      <c r="BL10" s="1">
        <f t="shared" si="0"/>
        <v>0</v>
      </c>
      <c r="BM10" s="1">
        <f t="shared" si="0"/>
        <v>0</v>
      </c>
      <c r="BN10" s="1">
        <f t="shared" si="0"/>
        <v>0</v>
      </c>
      <c r="BO10" s="1">
        <f t="shared" si="0"/>
        <v>0</v>
      </c>
      <c r="BP10" s="1">
        <f t="shared" si="0"/>
        <v>0</v>
      </c>
      <c r="BQ10" s="1">
        <f t="shared" si="0"/>
        <v>0</v>
      </c>
      <c r="BR10" s="1">
        <f t="shared" si="0"/>
        <v>0</v>
      </c>
      <c r="BS10" s="1">
        <f t="shared" si="0"/>
        <v>0</v>
      </c>
      <c r="BT10" s="1">
        <f t="shared" si="0"/>
        <v>0</v>
      </c>
      <c r="BU10" s="1">
        <f t="shared" si="0"/>
        <v>0</v>
      </c>
      <c r="BV10" s="1">
        <f t="shared" si="0"/>
        <v>0</v>
      </c>
      <c r="BW10" s="1">
        <f t="shared" si="0"/>
        <v>0</v>
      </c>
      <c r="BX10" s="1">
        <f t="shared" si="0"/>
        <v>0</v>
      </c>
      <c r="BY10" s="1">
        <f t="shared" si="0"/>
        <v>0</v>
      </c>
      <c r="BZ10" s="1">
        <f t="shared" si="0"/>
        <v>0</v>
      </c>
      <c r="CA10" s="1">
        <f t="shared" si="0"/>
        <v>0</v>
      </c>
      <c r="CB10" s="1">
        <f t="shared" si="0"/>
        <v>0</v>
      </c>
      <c r="CC10" s="1">
        <f t="shared" si="0"/>
        <v>0</v>
      </c>
      <c r="CD10" s="1">
        <f t="shared" si="0"/>
        <v>0</v>
      </c>
      <c r="CE10" s="1">
        <f t="shared" si="4"/>
        <v>0</v>
      </c>
      <c r="CF10" s="1">
        <f t="shared" si="1"/>
        <v>0</v>
      </c>
      <c r="CG10" s="1">
        <f t="shared" si="1"/>
        <v>0</v>
      </c>
      <c r="CH10" s="1">
        <f t="shared" si="2"/>
        <v>0</v>
      </c>
      <c r="CI10" s="1">
        <f t="shared" si="2"/>
        <v>0</v>
      </c>
      <c r="CJ10" s="1">
        <f t="shared" si="2"/>
        <v>0</v>
      </c>
      <c r="DS10">
        <f t="array" ref="DS10">SUM(AH9:AJ11*$DO$11:$DQ$13)+SUM(AH38:AJ40*$DO$15:$DQ$17)</f>
        <v>-7.7974364868945418</v>
      </c>
      <c r="DT10">
        <f t="array" ref="DT10">SUM(AI9:AK11*$DO$11:$DQ$13)+SUM(AI38:AK40*$DO$15:$DQ$17)</f>
        <v>-9.1237554851580178</v>
      </c>
      <c r="DU10">
        <f t="array" ref="DU10">SUM(AJ9:AL11*$DO$11:$DQ$13)+SUM(AJ38:AL40*$DO$15:$DQ$17)</f>
        <v>-9.3735086536165042</v>
      </c>
      <c r="DV10">
        <f t="array" ref="DV10">SUM(AK9:AM11*$DO$11:$DQ$13)+SUM(AK38:AM40*$DO$15:$DQ$17)</f>
        <v>-8.3086764352170288</v>
      </c>
      <c r="DW10">
        <f t="array" ref="DW10">SUM(AL9:AN11*$DO$11:$DQ$13)+SUM(AL38:AN40*$DO$15:$DQ$17)</f>
        <v>-7.2870476794277588</v>
      </c>
      <c r="DX10">
        <f t="array" ref="DX10">SUM(AM9:AO11*$DO$11:$DQ$13)+SUM(AM38:AO40*$DO$15:$DQ$17)</f>
        <v>-6.2119047388159441</v>
      </c>
      <c r="DY10">
        <f t="array" ref="DY10">SUM(AN9:AP11*$DO$11:$DQ$13)+SUM(AN38:AP40*$DO$15:$DQ$17)</f>
        <v>-5.5009029655069783</v>
      </c>
      <c r="DZ10">
        <f t="array" ref="DZ10">SUM(AO9:AQ11*$DO$11:$DQ$13)+SUM(AO38:AQ40*$DO$15:$DQ$17)</f>
        <v>-5.1619792768837707</v>
      </c>
      <c r="EA10">
        <f t="array" ref="EA10">SUM(AP9:AR11*$DO$11:$DQ$13)+SUM(AP38:AR40*$DO$15:$DQ$17)</f>
        <v>-4.8997714364683764</v>
      </c>
      <c r="EB10">
        <f t="array" ref="EB10">SUM(AQ9:AS11*$DO$11:$DQ$13)+SUM(AQ38:AS40*$DO$15:$DQ$17)</f>
        <v>-4.3319449923788751</v>
      </c>
      <c r="EC10">
        <f t="array" ref="EC10">SUM(AR9:AT11*$DO$11:$DQ$13)+SUM(AR38:AT40*$DO$15:$DQ$17)</f>
        <v>-3.4221018751516765</v>
      </c>
      <c r="ED10">
        <f t="array" ref="ED10">SUM(AS9:AU11*$DO$11:$DQ$13)+SUM(AS38:AU40*$DO$15:$DQ$17)</f>
        <v>-2.6864334093769444</v>
      </c>
      <c r="EE10">
        <f t="array" ref="EE10">SUM(AT9:AV11*$DO$11:$DQ$13)+SUM(AT38:AV40*$DO$15:$DQ$17)</f>
        <v>-3.239988208183318</v>
      </c>
      <c r="EF10">
        <f t="array" ref="EF10">SUM(AU9:AW11*$DO$11:$DQ$13)+SUM(AU38:AW40*$DO$15:$DQ$17)</f>
        <v>-3.978750933861646</v>
      </c>
      <c r="EG10">
        <f t="array" ref="EG10">SUM(AV9:AX11*$DO$11:$DQ$13)+SUM(AV38:AX40*$DO$15:$DQ$17)</f>
        <v>-3.8154928892868716</v>
      </c>
      <c r="EH10">
        <f t="array" ref="EH10">SUM(AW9:AY11*$DO$11:$DQ$13)+SUM(AW38:AY40*$DO$15:$DQ$17)</f>
        <v>-3.0339689804164607</v>
      </c>
      <c r="EI10">
        <f t="array" ref="EI10">SUM(AX9:AZ11*$DO$11:$DQ$13)+SUM(AX38:AZ40*$DO$15:$DQ$17)</f>
        <v>-1.4244884937019417</v>
      </c>
      <c r="EJ10">
        <f t="array" ref="EJ10">SUM(AY9:BA11*$DO$11:$DQ$13)+SUM(AY38:BA40*$DO$15:$DQ$17)</f>
        <v>-0.3407655096565767</v>
      </c>
      <c r="EK10">
        <f t="array" ref="EK10">SUM(AZ9:BB11*$DO$11:$DQ$13)+SUM(AZ38:BB40*$DO$15:$DQ$17)</f>
        <v>-0.51377816380199026</v>
      </c>
      <c r="EL10">
        <f t="array" ref="EL10">SUM(BA9:BC11*$DO$11:$DQ$13)+SUM(BA38:BC40*$DO$15:$DQ$17)</f>
        <v>-0.36596441242595196</v>
      </c>
      <c r="EM10">
        <f t="array" ref="EM10">SUM(BB9:BD11*$DO$11:$DQ$13)+SUM(BB38:BD40*$DO$15:$DQ$17)</f>
        <v>-3.9850258959485643E-2</v>
      </c>
      <c r="EN10">
        <f t="array" ref="EN10">SUM(BC9:BE11*$DO$11:$DQ$13)+SUM(BC38:BE40*$DO$15:$DQ$17)</f>
        <v>0</v>
      </c>
      <c r="EO10">
        <f t="array" ref="EO10">SUM(BD9:BF11*$DO$11:$DQ$13)+SUM(BD38:BF40*$DO$15:$DQ$17)</f>
        <v>0</v>
      </c>
      <c r="EP10">
        <f t="array" ref="EP10">SUM(BE9:BG11*$DO$11:$DQ$13)+SUM(BE38:BG40*$DO$15:$DQ$17)</f>
        <v>0</v>
      </c>
      <c r="ES10" s="127">
        <f t="shared" ref="ES10" si="30">MAX(DS10:DT11)</f>
        <v>-6.0623212125491506</v>
      </c>
      <c r="ET10" s="127"/>
      <c r="EU10" s="127">
        <f t="shared" ref="EU10" si="31">MAX(DU10:DV11)</f>
        <v>-0.33703458928225094</v>
      </c>
      <c r="EV10" s="127"/>
      <c r="EW10" s="127">
        <f t="shared" ref="EW10" si="32">MAX(DW10:DX11)</f>
        <v>2.1578330038231543</v>
      </c>
      <c r="EX10" s="127"/>
      <c r="EY10" s="127">
        <f t="shared" ref="EY10" si="33">MAX(DY10:DZ11)</f>
        <v>3.4977548350157495</v>
      </c>
      <c r="EZ10" s="127"/>
      <c r="FA10" s="127">
        <f t="shared" ref="FA10" si="34">MAX(EA10:EB11)</f>
        <v>4.525812640249927</v>
      </c>
      <c r="FB10" s="127"/>
      <c r="FC10" s="127">
        <f t="shared" ref="FC10" si="35">MAX(EC10:ED11)</f>
        <v>5.4565640907467685</v>
      </c>
      <c r="FD10" s="127"/>
      <c r="FE10" s="127">
        <f t="shared" ref="FE10" si="36">MAX(EE10:EF11)</f>
        <v>4.6133404923802326</v>
      </c>
      <c r="FF10" s="127"/>
      <c r="FG10" s="127">
        <f t="shared" ref="FG10" si="37">MAX(EG10:EH11)</f>
        <v>0.86481340297004894</v>
      </c>
      <c r="FH10" s="127"/>
      <c r="FI10" s="127">
        <f t="shared" ref="FI10" si="38">MAX(EI10:EJ11)</f>
        <v>1.10853203693721</v>
      </c>
      <c r="FJ10" s="127"/>
      <c r="FK10" s="127">
        <f t="shared" ref="FK10" si="39">MAX(EK10:EL11)</f>
        <v>0.32533784374356811</v>
      </c>
      <c r="FL10" s="127"/>
      <c r="FM10" s="127">
        <f t="shared" ref="FM10" si="40">MAX(EM10:EN11)</f>
        <v>0</v>
      </c>
      <c r="FN10" s="127"/>
      <c r="FO10" s="127">
        <f t="shared" ref="FO10" si="41">MAX(EO10:EP11)</f>
        <v>0</v>
      </c>
      <c r="FP10" s="127"/>
      <c r="FT10">
        <v>0.139464355046518</v>
      </c>
      <c r="FV10">
        <v>0.12699746332816886</v>
      </c>
      <c r="FX10">
        <v>0.42260498828798121</v>
      </c>
      <c r="FZ10">
        <v>2.5264009475689853E-2</v>
      </c>
      <c r="GB10">
        <v>0.56735826258301936</v>
      </c>
      <c r="GD10">
        <v>0.84123491672001682</v>
      </c>
      <c r="GF10">
        <v>0.85874614142893368</v>
      </c>
      <c r="GH10">
        <v>0.91244625291710024</v>
      </c>
      <c r="GJ10">
        <v>0.42972625482333338</v>
      </c>
      <c r="GL10">
        <v>0.80089327923354636</v>
      </c>
      <c r="GN10">
        <v>0.96636067826493977</v>
      </c>
      <c r="GP10">
        <v>0.54400226051835654</v>
      </c>
      <c r="GR10">
        <v>0.29766403805957964</v>
      </c>
    </row>
    <row r="11" spans="1:204" ht="27.75" customHeight="1" x14ac:dyDescent="0.25">
      <c r="A11" s="78">
        <v>0</v>
      </c>
      <c r="B11" s="78">
        <v>0</v>
      </c>
      <c r="C11" s="78">
        <v>0.549019634723663</v>
      </c>
      <c r="D11" s="78">
        <v>0.98431378602981501</v>
      </c>
      <c r="E11" s="78">
        <v>0.99607849121093694</v>
      </c>
      <c r="F11" s="78">
        <v>0.99607849121093694</v>
      </c>
      <c r="G11" s="78">
        <v>0.99607849121093694</v>
      </c>
      <c r="H11" s="78">
        <v>0.99607849121093694</v>
      </c>
      <c r="I11" s="78">
        <v>0.99607849121093694</v>
      </c>
      <c r="J11" s="78">
        <v>0.99607849121093694</v>
      </c>
      <c r="K11" s="78">
        <v>0.99607849121093694</v>
      </c>
      <c r="L11" s="78">
        <v>0.99607849121093694</v>
      </c>
      <c r="M11" s="78">
        <v>0.99607849121093694</v>
      </c>
      <c r="N11" s="78">
        <v>0.99607849121093694</v>
      </c>
      <c r="O11" s="78">
        <v>0.99607849121093694</v>
      </c>
      <c r="P11" s="78">
        <v>0.99607849121093694</v>
      </c>
      <c r="Q11" s="78">
        <v>0.99607849121093694</v>
      </c>
      <c r="R11" s="78">
        <v>0.99607849121093694</v>
      </c>
      <c r="S11" s="78">
        <v>0.74117648601531905</v>
      </c>
      <c r="T11" s="78">
        <v>9.0196080505847903E-2</v>
      </c>
      <c r="U11" s="78">
        <v>0</v>
      </c>
      <c r="V11" s="78">
        <v>0</v>
      </c>
      <c r="W11" s="78">
        <v>0</v>
      </c>
      <c r="X11" s="78">
        <v>0</v>
      </c>
      <c r="Y11" s="78">
        <v>0</v>
      </c>
      <c r="Z11" s="78">
        <v>0</v>
      </c>
      <c r="AA11" s="78">
        <v>0</v>
      </c>
      <c r="AB11" s="78">
        <v>0</v>
      </c>
      <c r="AC11" s="79"/>
      <c r="AD11" s="1">
        <v>1</v>
      </c>
      <c r="AE11" s="1">
        <v>1</v>
      </c>
      <c r="AF11" s="1">
        <v>1</v>
      </c>
      <c r="AG11" s="79"/>
      <c r="AH11" s="1">
        <f t="array" ref="AH11">SUM(A10:C12*$AD$11:$AF$13)</f>
        <v>-0.88627457618713301</v>
      </c>
      <c r="AI11" s="1">
        <f t="array" ref="AI11">SUM(B10:D12*$AD$11:$AF$13)</f>
        <v>-1.5294118821620928</v>
      </c>
      <c r="AJ11" s="1">
        <f t="array" ref="AJ11">SUM(C10:E12*$AD$11:$AF$13)</f>
        <v>-1.8039217293262468</v>
      </c>
      <c r="AK11" s="1">
        <f t="array" ref="AK11">SUM(D10:F12*$AD$11:$AF$13)</f>
        <v>-0.77647069096565191</v>
      </c>
      <c r="AL11" s="1">
        <f t="array" ref="AL11">SUM(E10:G12*$AD$11:$AF$13)</f>
        <v>7.8430771827704415E-3</v>
      </c>
      <c r="AM11" s="1">
        <f t="array" ref="AM11">SUM(F10:H12*$AD$11:$AF$13)</f>
        <v>0.42352938652038608</v>
      </c>
      <c r="AN11" s="1">
        <f t="array" ref="AN11">SUM(G10:I12*$AD$11:$AF$13)</f>
        <v>0.42352938652038608</v>
      </c>
      <c r="AO11" s="1">
        <f t="array" ref="AO11">SUM(H10:J12*$AD$11:$AF$13)</f>
        <v>0.65882354974746704</v>
      </c>
      <c r="AP11" s="1">
        <f t="array" ref="AP11">SUM(I10:K12*$AD$11:$AF$13)</f>
        <v>1.200000077486038</v>
      </c>
      <c r="AQ11" s="1">
        <f t="array" ref="AQ11">SUM(J10:L12*$AD$11:$AF$13)</f>
        <v>1.8039216995239251</v>
      </c>
      <c r="AR11" s="1">
        <f t="array" ref="AR11">SUM(K10:M12*$AD$11:$AF$13)</f>
        <v>2.1725491583347303</v>
      </c>
      <c r="AS11" s="1">
        <f t="array" ref="AS11">SUM(L10:N12*$AD$11:$AF$13)</f>
        <v>2.2235295474529244</v>
      </c>
      <c r="AT11" s="1">
        <f t="array" ref="AT11">SUM(M10:O12*$AD$11:$AF$13)</f>
        <v>2.2352942526340462</v>
      </c>
      <c r="AU11" s="1">
        <f t="array" ref="AU11">SUM(N10:P12*$AD$11:$AF$13)</f>
        <v>1.9490197300910936</v>
      </c>
      <c r="AV11" s="1">
        <f t="array" ref="AV11">SUM(O10:Q12*$AD$11:$AF$13)</f>
        <v>1.2666667401790617</v>
      </c>
      <c r="AW11" s="1">
        <f t="array" ref="AW11">SUM(P10:R12*$AD$11:$AF$13)</f>
        <v>0.25882351398468095</v>
      </c>
      <c r="AX11" s="1">
        <f t="array" ref="AX11">SUM(Q10:S12*$AD$11:$AF$13)</f>
        <v>-1.1137255951762186</v>
      </c>
      <c r="AY11" s="1">
        <f t="array" ref="AY11">SUM(R10:T12*$AD$11:$AF$13)</f>
        <v>-1.9058824703097326</v>
      </c>
      <c r="AZ11" s="1">
        <f t="array" ref="AZ11">SUM(S10:U12*$AD$11:$AF$13)</f>
        <v>-1.737254977226256</v>
      </c>
      <c r="BA11" s="1">
        <f t="array" ref="BA11">SUM(T10:V12*$AD$11:$AF$13)</f>
        <v>-0.82352942973375232</v>
      </c>
      <c r="BB11" s="1">
        <f t="array" ref="BB11">SUM(U10:W12*$AD$11:$AF$13)</f>
        <v>-8.2352943718433297E-2</v>
      </c>
      <c r="BC11" s="1">
        <f t="array" ref="BC11">SUM(V10:X12*$AD$11:$AF$13)</f>
        <v>0</v>
      </c>
      <c r="BD11" s="1">
        <f t="array" ref="BD11">SUM(W10:Y12*$AD$11:$AF$13)</f>
        <v>0</v>
      </c>
      <c r="BE11" s="1">
        <f t="array" ref="BE11">SUM(X10:Z12*$AD$11:$AF$13)</f>
        <v>0</v>
      </c>
      <c r="BF11" s="1">
        <f t="array" ref="BF11">SUM(Y10:AA12*$AD$11:$AF$13)</f>
        <v>0</v>
      </c>
      <c r="BG11" s="1">
        <f t="array" ref="BG11">SUM(Z10:AB12*$AD$11:$AF$13)</f>
        <v>0</v>
      </c>
      <c r="BH11" s="79"/>
      <c r="BI11" s="79"/>
      <c r="BJ11" s="79"/>
      <c r="BK11" s="1">
        <f t="shared" si="3"/>
        <v>0</v>
      </c>
      <c r="BL11" s="1">
        <f t="shared" si="0"/>
        <v>0</v>
      </c>
      <c r="BM11" s="1">
        <f t="shared" si="0"/>
        <v>0</v>
      </c>
      <c r="BN11" s="1">
        <f t="shared" si="0"/>
        <v>0</v>
      </c>
      <c r="BO11" s="1">
        <f t="shared" si="0"/>
        <v>7.8430771827704415E-3</v>
      </c>
      <c r="BP11" s="1">
        <f t="shared" si="0"/>
        <v>0.42352938652038608</v>
      </c>
      <c r="BQ11" s="1">
        <f t="shared" si="0"/>
        <v>0.42352938652038608</v>
      </c>
      <c r="BR11" s="1">
        <f t="shared" si="0"/>
        <v>0.65882354974746704</v>
      </c>
      <c r="BS11" s="1">
        <f t="shared" si="0"/>
        <v>1.200000077486038</v>
      </c>
      <c r="BT11" s="1">
        <f t="shared" si="0"/>
        <v>1.8039216995239251</v>
      </c>
      <c r="BU11" s="1">
        <f t="shared" si="0"/>
        <v>2.1725491583347303</v>
      </c>
      <c r="BV11" s="1">
        <f t="shared" si="0"/>
        <v>2.2235295474529244</v>
      </c>
      <c r="BW11" s="1">
        <f t="shared" si="0"/>
        <v>2.2352942526340462</v>
      </c>
      <c r="BX11" s="1">
        <f t="shared" si="0"/>
        <v>1.9490197300910936</v>
      </c>
      <c r="BY11" s="1">
        <f t="shared" si="0"/>
        <v>1.2666667401790617</v>
      </c>
      <c r="BZ11" s="1">
        <f t="shared" si="0"/>
        <v>0.25882351398468095</v>
      </c>
      <c r="CA11" s="1">
        <f t="shared" si="0"/>
        <v>0</v>
      </c>
      <c r="CB11" s="1">
        <f t="shared" si="0"/>
        <v>0</v>
      </c>
      <c r="CC11" s="1">
        <f t="shared" si="0"/>
        <v>0</v>
      </c>
      <c r="CD11" s="1">
        <f t="shared" si="0"/>
        <v>0</v>
      </c>
      <c r="CE11" s="1">
        <f t="shared" si="4"/>
        <v>0</v>
      </c>
      <c r="CF11" s="1">
        <f t="shared" si="1"/>
        <v>0</v>
      </c>
      <c r="CG11" s="1">
        <f t="shared" si="1"/>
        <v>0</v>
      </c>
      <c r="CH11" s="1">
        <f t="shared" si="2"/>
        <v>0</v>
      </c>
      <c r="CI11" s="1">
        <f t="shared" si="2"/>
        <v>0</v>
      </c>
      <c r="CJ11" s="1">
        <f t="shared" si="2"/>
        <v>0</v>
      </c>
      <c r="DO11">
        <v>0.51646734636917035</v>
      </c>
      <c r="DP11">
        <v>0.26709069561689369</v>
      </c>
      <c r="DQ11">
        <v>0.25695308558225627</v>
      </c>
      <c r="DS11">
        <f t="array" ref="DS11">SUM(AH10:AJ12*$DO$11:$DQ$13)+SUM(AH39:AJ41*$DO$15:$DQ$17)</f>
        <v>-6.9940914780966459</v>
      </c>
      <c r="DT11">
        <f t="array" ref="DT11">SUM(AI10:AK12*$DO$11:$DQ$13)+SUM(AI39:AK41*$DO$15:$DQ$17)</f>
        <v>-6.0623212125491506</v>
      </c>
      <c r="DU11">
        <f t="array" ref="DU11">SUM(AJ10:AL12*$DO$11:$DQ$13)+SUM(AJ39:AL41*$DO$15:$DQ$17)</f>
        <v>-2.8729150331729558</v>
      </c>
      <c r="DV11">
        <f t="array" ref="DV11">SUM(AK10:AM12*$DO$11:$DQ$13)+SUM(AK39:AM41*$DO$15:$DQ$17)</f>
        <v>-0.33703458928225094</v>
      </c>
      <c r="DW11">
        <f t="array" ref="DW11">SUM(AL10:AN12*$DO$11:$DQ$13)+SUM(AL39:AN41*$DO$15:$DQ$17)</f>
        <v>1.0544177107842332</v>
      </c>
      <c r="DX11">
        <f t="array" ref="DX11">SUM(AM10:AO12*$DO$11:$DQ$13)+SUM(AM39:AO41*$DO$15:$DQ$17)</f>
        <v>2.1578330038231543</v>
      </c>
      <c r="DY11">
        <f t="array" ref="DY11">SUM(AN10:AP12*$DO$11:$DQ$13)+SUM(AN39:AP41*$DO$15:$DQ$17)</f>
        <v>2.827919998216621</v>
      </c>
      <c r="DZ11">
        <f t="array" ref="DZ11">SUM(AO10:AQ12*$DO$11:$DQ$13)+SUM(AO39:AQ41*$DO$15:$DQ$17)</f>
        <v>3.4977548350157495</v>
      </c>
      <c r="EA11">
        <f t="array" ref="EA11">SUM(AP10:AR12*$DO$11:$DQ$13)+SUM(AP39:AR41*$DO$15:$DQ$17)</f>
        <v>4.0590290418794845</v>
      </c>
      <c r="EB11">
        <f t="array" ref="EB11">SUM(AQ10:AS12*$DO$11:$DQ$13)+SUM(AQ39:AS41*$DO$15:$DQ$17)</f>
        <v>4.525812640249927</v>
      </c>
      <c r="EC11">
        <f t="array" ref="EC11">SUM(AR10:AT12*$DO$11:$DQ$13)+SUM(AR39:AT41*$DO$15:$DQ$17)</f>
        <v>5.0079124844072576</v>
      </c>
      <c r="ED11">
        <f t="array" ref="ED11">SUM(AS10:AU12*$DO$11:$DQ$13)+SUM(AS39:AU41*$DO$15:$DQ$17)</f>
        <v>5.4565640907467685</v>
      </c>
      <c r="EE11">
        <f t="array" ref="EE11">SUM(AT10:AV12*$DO$11:$DQ$13)+SUM(AT39:AV41*$DO$15:$DQ$17)</f>
        <v>4.6133404923802326</v>
      </c>
      <c r="EF11">
        <f t="array" ref="EF11">SUM(AU10:AW12*$DO$11:$DQ$13)+SUM(AU39:AW41*$DO$15:$DQ$17)</f>
        <v>2.4688208075016727</v>
      </c>
      <c r="EG11">
        <f t="array" ref="EG11">SUM(AV10:AX12*$DO$11:$DQ$13)+SUM(AV39:AX41*$DO$15:$DQ$17)</f>
        <v>0.86481340297004894</v>
      </c>
      <c r="EH11">
        <f t="array" ref="EH11">SUM(AW10:AY12*$DO$11:$DQ$13)+SUM(AW39:AY41*$DO$15:$DQ$17)</f>
        <v>-3.6777746365617148E-3</v>
      </c>
      <c r="EI11">
        <f t="array" ref="EI11">SUM(AX10:AZ12*$DO$11:$DQ$13)+SUM(AX39:AZ41*$DO$15:$DQ$17)</f>
        <v>0.86601229661611168</v>
      </c>
      <c r="EJ11">
        <f t="array" ref="EJ11">SUM(AY10:BA12*$DO$11:$DQ$13)+SUM(AY39:BA41*$DO$15:$DQ$17)</f>
        <v>1.10853203693721</v>
      </c>
      <c r="EK11">
        <f t="array" ref="EK11">SUM(AZ10:BB12*$DO$11:$DQ$13)+SUM(AZ39:BB41*$DO$15:$DQ$17)</f>
        <v>0.32533784374356811</v>
      </c>
      <c r="EL11">
        <f t="array" ref="EL11">SUM(BA10:BC12*$DO$11:$DQ$13)+SUM(BA39:BC41*$DO$15:$DQ$17)</f>
        <v>-0.36108594567549934</v>
      </c>
      <c r="EM11">
        <f t="array" ref="EM11">SUM(BB10:BD12*$DO$11:$DQ$13)+SUM(BB39:BD41*$DO$15:$DQ$17)</f>
        <v>-0.21593568693029244</v>
      </c>
      <c r="EN11">
        <f t="array" ref="EN11">SUM(BC10:BE12*$DO$11:$DQ$13)+SUM(BC39:BE41*$DO$15:$DQ$17)</f>
        <v>0</v>
      </c>
      <c r="EO11">
        <f t="array" ref="EO11">SUM(BD10:BF12*$DO$11:$DQ$13)+SUM(BD39:BF41*$DO$15:$DQ$17)</f>
        <v>0</v>
      </c>
      <c r="EP11">
        <f t="array" ref="EP11">SUM(BE10:BG12*$DO$11:$DQ$13)+SUM(BE39:BG41*$DO$15:$DQ$17)</f>
        <v>0</v>
      </c>
      <c r="ES11" s="127"/>
      <c r="ET11" s="127"/>
      <c r="EU11" s="127"/>
      <c r="EV11" s="127"/>
      <c r="EW11" s="127"/>
      <c r="EX11" s="127"/>
      <c r="EY11" s="127"/>
      <c r="EZ11" s="127"/>
      <c r="FA11" s="127"/>
      <c r="FB11" s="127"/>
      <c r="FC11" s="127"/>
      <c r="FD11" s="127"/>
      <c r="FE11" s="127"/>
      <c r="FF11" s="127"/>
      <c r="FG11" s="127"/>
      <c r="FH11" s="127"/>
      <c r="FI11" s="127"/>
      <c r="FJ11" s="127"/>
      <c r="FK11" s="127"/>
      <c r="FL11" s="127"/>
      <c r="FM11" s="127"/>
      <c r="FN11" s="127"/>
      <c r="FO11" s="127"/>
      <c r="FP11" s="127"/>
    </row>
    <row r="12" spans="1:204" ht="27.75" customHeight="1" x14ac:dyDescent="0.25">
      <c r="A12" s="78">
        <v>0</v>
      </c>
      <c r="B12" s="78">
        <v>0</v>
      </c>
      <c r="C12" s="78">
        <v>0.88627457618713301</v>
      </c>
      <c r="D12" s="78">
        <v>0.99607849121093694</v>
      </c>
      <c r="E12" s="78">
        <v>0.81568634510040205</v>
      </c>
      <c r="F12" s="78">
        <v>0.78039222955703702</v>
      </c>
      <c r="G12" s="78">
        <v>0.78039222955703702</v>
      </c>
      <c r="H12" s="78">
        <v>0.78039222955703702</v>
      </c>
      <c r="I12" s="78">
        <v>0.78039222955703702</v>
      </c>
      <c r="J12" s="78">
        <v>0.54509806632995605</v>
      </c>
      <c r="K12" s="78">
        <v>0.23921570181846599</v>
      </c>
      <c r="L12" s="78">
        <v>0.23921570181846599</v>
      </c>
      <c r="M12" s="78">
        <v>0.23921570181846599</v>
      </c>
      <c r="N12" s="78">
        <v>0.23921570181846599</v>
      </c>
      <c r="O12" s="78">
        <v>0.23921570181846599</v>
      </c>
      <c r="P12" s="78">
        <v>0.50196081399917603</v>
      </c>
      <c r="Q12" s="78">
        <v>0.87058830261230402</v>
      </c>
      <c r="R12" s="78">
        <v>0.99607849121093694</v>
      </c>
      <c r="S12" s="78">
        <v>0.99607849121093694</v>
      </c>
      <c r="T12" s="78">
        <v>0.74117648601531905</v>
      </c>
      <c r="U12" s="78">
        <v>8.2352943718433297E-2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9"/>
      <c r="AD12" s="1">
        <v>0</v>
      </c>
      <c r="AE12" s="1">
        <v>0</v>
      </c>
      <c r="AF12" s="1">
        <v>0</v>
      </c>
      <c r="AG12" s="79"/>
      <c r="AH12" s="1">
        <f t="array" ref="AH12">SUM(A11:C13*$AD$11:$AF$13)</f>
        <v>0.400000020861626</v>
      </c>
      <c r="AI12" s="1">
        <f t="array" ref="AI12">SUM(B11:D13*$AD$11:$AF$13)</f>
        <v>1.062745168805123</v>
      </c>
      <c r="AJ12" s="1">
        <f t="array" ref="AJ12">SUM(C11:E13*$AD$11:$AF$13)</f>
        <v>2.0078432634472847</v>
      </c>
      <c r="AK12" s="1">
        <f t="array" ref="AK12">SUM(D11:F13*$AD$11:$AF$13)</f>
        <v>2.6039217337965956</v>
      </c>
      <c r="AL12" s="1">
        <f t="array" ref="AL12">SUM(E11:G13*$AD$11:$AF$13)</f>
        <v>2.9372550770640355</v>
      </c>
      <c r="AM12" s="1">
        <f t="array" ref="AM12">SUM(F11:H13*$AD$11:$AF$13)</f>
        <v>2.9882354736328107</v>
      </c>
      <c r="AN12" s="1">
        <f t="array" ref="AN12">SUM(G11:I13*$AD$11:$AF$13)</f>
        <v>2.9882354736328107</v>
      </c>
      <c r="AO12" s="1">
        <f t="array" ref="AO12">SUM(H11:J13*$AD$11:$AF$13)</f>
        <v>2.9882354736328107</v>
      </c>
      <c r="AP12" s="1">
        <f t="array" ref="AP12">SUM(I11:K13*$AD$11:$AF$13)</f>
        <v>2.9882354736328107</v>
      </c>
      <c r="AQ12" s="1">
        <f t="array" ref="AQ12">SUM(J11:L13*$AD$11:$AF$13)</f>
        <v>2.9882354736328107</v>
      </c>
      <c r="AR12" s="1">
        <f t="array" ref="AR12">SUM(K11:M13*$AD$11:$AF$13)</f>
        <v>2.9882354736328107</v>
      </c>
      <c r="AS12" s="1">
        <f t="array" ref="AS12">SUM(L11:N13*$AD$11:$AF$13)</f>
        <v>2.9882354736328107</v>
      </c>
      <c r="AT12" s="1">
        <f t="array" ref="AT12">SUM(M11:O13*$AD$11:$AF$13)</f>
        <v>2.9882354736328107</v>
      </c>
      <c r="AU12" s="1">
        <f t="array" ref="AU12">SUM(N11:P13*$AD$11:$AF$13)</f>
        <v>2.9882354736328107</v>
      </c>
      <c r="AV12" s="1">
        <f t="array" ref="AV12">SUM(O11:Q13*$AD$11:$AF$13)</f>
        <v>2.8549021333456026</v>
      </c>
      <c r="AW12" s="1">
        <f t="array" ref="AW12">SUM(P11:R13*$AD$11:$AF$13)</f>
        <v>2.0196079462766638</v>
      </c>
      <c r="AX12" s="1">
        <f t="array" ref="AX12">SUM(Q11:S13*$AD$11:$AF$13)</f>
        <v>0.768627449870109</v>
      </c>
      <c r="AY12" s="1">
        <f t="array" ref="AY12">SUM(R11:T13*$AD$11:$AF$13)</f>
        <v>-1.000000111758709</v>
      </c>
      <c r="AZ12" s="1">
        <f t="array" ref="AZ12">SUM(S11:U13*$AD$11:$AF$13)</f>
        <v>-1.6117648407816878</v>
      </c>
      <c r="BA12" s="1">
        <f t="array" ref="BA12">SUM(T11:V13*$AD$11:$AF$13)</f>
        <v>-1.3568628355860701</v>
      </c>
      <c r="BB12" s="1">
        <f t="array" ref="BB12">SUM(U11:W13*$AD$11:$AF$13)</f>
        <v>-0.450980424880981</v>
      </c>
      <c r="BC12" s="1">
        <f t="array" ref="BC12">SUM(V11:X13*$AD$11:$AF$13)</f>
        <v>0</v>
      </c>
      <c r="BD12" s="1">
        <f t="array" ref="BD12">SUM(W11:Y13*$AD$11:$AF$13)</f>
        <v>0</v>
      </c>
      <c r="BE12" s="1">
        <f t="array" ref="BE12">SUM(X11:Z13*$AD$11:$AF$13)</f>
        <v>0</v>
      </c>
      <c r="BF12" s="1">
        <f t="array" ref="BF12">SUM(Y11:AA13*$AD$11:$AF$13)</f>
        <v>0</v>
      </c>
      <c r="BG12" s="1">
        <f t="array" ref="BG12">SUM(Z11:AB13*$AD$11:$AF$13)</f>
        <v>0</v>
      </c>
      <c r="BH12" s="79"/>
      <c r="BI12" s="79"/>
      <c r="BJ12" s="79"/>
      <c r="BK12" s="1">
        <f t="shared" si="3"/>
        <v>0.400000020861626</v>
      </c>
      <c r="BL12" s="1">
        <f t="shared" si="0"/>
        <v>1.062745168805123</v>
      </c>
      <c r="BM12" s="1">
        <f t="shared" si="0"/>
        <v>2.0078432634472847</v>
      </c>
      <c r="BN12" s="1">
        <f t="shared" si="0"/>
        <v>2.6039217337965956</v>
      </c>
      <c r="BO12" s="1">
        <f t="shared" si="0"/>
        <v>2.9372550770640355</v>
      </c>
      <c r="BP12" s="1">
        <f t="shared" si="0"/>
        <v>2.9882354736328107</v>
      </c>
      <c r="BQ12" s="1">
        <f t="shared" si="0"/>
        <v>2.9882354736328107</v>
      </c>
      <c r="BR12" s="1">
        <f t="shared" si="0"/>
        <v>2.9882354736328107</v>
      </c>
      <c r="BS12" s="1">
        <f t="shared" si="0"/>
        <v>2.9882354736328107</v>
      </c>
      <c r="BT12" s="1">
        <f t="shared" si="0"/>
        <v>2.9882354736328107</v>
      </c>
      <c r="BU12" s="1">
        <f t="shared" si="0"/>
        <v>2.9882354736328107</v>
      </c>
      <c r="BV12" s="1">
        <f t="shared" si="0"/>
        <v>2.9882354736328107</v>
      </c>
      <c r="BW12" s="1">
        <f t="shared" si="0"/>
        <v>2.9882354736328107</v>
      </c>
      <c r="BX12" s="1">
        <f t="shared" si="0"/>
        <v>2.9882354736328107</v>
      </c>
      <c r="BY12" s="1">
        <f t="shared" si="0"/>
        <v>2.8549021333456026</v>
      </c>
      <c r="BZ12" s="1">
        <f t="shared" si="0"/>
        <v>2.0196079462766638</v>
      </c>
      <c r="CA12" s="1">
        <f t="shared" si="0"/>
        <v>0.768627449870109</v>
      </c>
      <c r="CB12" s="1">
        <f t="shared" si="0"/>
        <v>0</v>
      </c>
      <c r="CC12" s="1">
        <f t="shared" si="0"/>
        <v>0</v>
      </c>
      <c r="CD12" s="1">
        <f t="shared" si="0"/>
        <v>0</v>
      </c>
      <c r="CE12" s="1">
        <f t="shared" si="4"/>
        <v>0</v>
      </c>
      <c r="CF12" s="1">
        <f t="shared" si="1"/>
        <v>0</v>
      </c>
      <c r="CG12" s="1">
        <f t="shared" si="1"/>
        <v>0</v>
      </c>
      <c r="CH12" s="1">
        <f t="shared" si="2"/>
        <v>0</v>
      </c>
      <c r="CI12" s="1">
        <f t="shared" si="2"/>
        <v>0</v>
      </c>
      <c r="CJ12" s="1">
        <f t="shared" si="2"/>
        <v>0</v>
      </c>
      <c r="DO12">
        <v>0.85953500639595093</v>
      </c>
      <c r="DP12">
        <v>0.51718115765740036</v>
      </c>
      <c r="DQ12">
        <v>4.9479291374237344E-2</v>
      </c>
      <c r="DS12">
        <f t="array" ref="DS12">SUM(AH11:AJ13*$DO$11:$DQ$13)+SUM(AH40:AJ42*$DO$15:$DQ$17)</f>
        <v>-3.2976545785330131</v>
      </c>
      <c r="DT12">
        <f t="array" ref="DT12">SUM(AI11:AK13*$DO$11:$DQ$13)+SUM(AI40:AK42*$DO$15:$DQ$17)</f>
        <v>0.19176862830878427</v>
      </c>
      <c r="DU12">
        <f t="array" ref="DU12">SUM(AJ11:AL13*$DO$11:$DQ$13)+SUM(AJ40:AL42*$DO$15:$DQ$17)</f>
        <v>5.327641988067163</v>
      </c>
      <c r="DV12">
        <f t="array" ref="DV12">SUM(AK11:AM13*$DO$11:$DQ$13)+SUM(AK40:AM42*$DO$15:$DQ$17)</f>
        <v>7.4297806627941467</v>
      </c>
      <c r="DW12">
        <f t="array" ref="DW12">SUM(AL11:AN13*$DO$11:$DQ$13)+SUM(AL40:AN42*$DO$15:$DQ$17)</f>
        <v>7.7430888884204885</v>
      </c>
      <c r="DX12">
        <f t="array" ref="DX12">SUM(AM11:AO13*$DO$11:$DQ$13)+SUM(AM40:AO42*$DO$15:$DQ$17)</f>
        <v>8.4238766263023148</v>
      </c>
      <c r="DY12">
        <f t="array" ref="DY12">SUM(AN11:AP13*$DO$11:$DQ$13)+SUM(AN40:AP42*$DO$15:$DQ$17)</f>
        <v>9.0351054544068568</v>
      </c>
      <c r="DZ12">
        <f t="array" ref="DZ12">SUM(AO11:AQ13*$DO$11:$DQ$13)+SUM(AO40:AQ42*$DO$15:$DQ$17)</f>
        <v>9.3624933567099404</v>
      </c>
      <c r="EA12">
        <f t="array" ref="EA12">SUM(AP11:AR13*$DO$11:$DQ$13)+SUM(AP40:AR42*$DO$15:$DQ$17)</f>
        <v>8.9775424610315113</v>
      </c>
      <c r="EB12">
        <f t="array" ref="EB12">SUM(AQ11:AS13*$DO$11:$DQ$13)+SUM(AQ40:AS42*$DO$15:$DQ$17)</f>
        <v>8.1131976196633975</v>
      </c>
      <c r="EC12">
        <f t="array" ref="EC12">SUM(AR11:AT13*$DO$11:$DQ$13)+SUM(AR40:AT42*$DO$15:$DQ$17)</f>
        <v>7.564700279313274</v>
      </c>
      <c r="ED12">
        <f t="array" ref="ED12">SUM(AS11:AU13*$DO$11:$DQ$13)+SUM(AS40:AU42*$DO$15:$DQ$17)</f>
        <v>7.3842074936338653</v>
      </c>
      <c r="EE12">
        <f t="array" ref="EE12">SUM(AT11:AV13*$DO$11:$DQ$13)+SUM(AT40:AV42*$DO$15:$DQ$17)</f>
        <v>6.5585346746352222</v>
      </c>
      <c r="EF12">
        <f t="array" ref="EF12">SUM(AU11:AW13*$DO$11:$DQ$13)+SUM(AU40:AW42*$DO$15:$DQ$17)</f>
        <v>4.745452768767338</v>
      </c>
      <c r="EG12">
        <f t="array" ref="EG12">SUM(AV11:AX13*$DO$11:$DQ$13)+SUM(AV40:AX42*$DO$15:$DQ$17)</f>
        <v>2.5860345391347783</v>
      </c>
      <c r="EH12">
        <f t="array" ref="EH12">SUM(AW11:AY13*$DO$11:$DQ$13)+SUM(AW40:AY42*$DO$15:$DQ$17)</f>
        <v>1.5638463701079302</v>
      </c>
      <c r="EI12">
        <f t="array" ref="EI12">SUM(AX11:AZ13*$DO$11:$DQ$13)+SUM(AX40:AZ42*$DO$15:$DQ$17)</f>
        <v>1.9760837843827006</v>
      </c>
      <c r="EJ12">
        <f t="array" ref="EJ12">SUM(AY11:BA13*$DO$11:$DQ$13)+SUM(AY40:BA42*$DO$15:$DQ$17)</f>
        <v>3.2498517808851783</v>
      </c>
      <c r="EK12">
        <f t="array" ref="EK12">SUM(AZ11:BB13*$DO$11:$DQ$13)+SUM(AZ40:BB42*$DO$15:$DQ$17)</f>
        <v>2.411334249969542</v>
      </c>
      <c r="EL12">
        <f t="array" ref="EL12">SUM(BA11:BC13*$DO$11:$DQ$13)+SUM(BA40:BC42*$DO$15:$DQ$17)</f>
        <v>1.0978513790747506</v>
      </c>
      <c r="EM12">
        <f t="array" ref="EM12">SUM(BB11:BD13*$DO$11:$DQ$13)+SUM(BB40:BD42*$DO$15:$DQ$17)</f>
        <v>-0.26675282388635568</v>
      </c>
      <c r="EN12">
        <f t="array" ref="EN12">SUM(BC11:BE13*$DO$11:$DQ$13)+SUM(BC40:BE42*$DO$15:$DQ$17)</f>
        <v>0</v>
      </c>
      <c r="EO12">
        <f t="array" ref="EO12">SUM(BD11:BF13*$DO$11:$DQ$13)+SUM(BD40:BF42*$DO$15:$DQ$17)</f>
        <v>0</v>
      </c>
      <c r="EP12">
        <f t="array" ref="EP12">SUM(BE11:BG13*$DO$11:$DQ$13)+SUM(BE40:BG42*$DO$15:$DQ$17)</f>
        <v>0</v>
      </c>
      <c r="ES12" s="127">
        <f t="shared" ref="ES12" si="42">MAX(DS12:DT13)</f>
        <v>3.4409334895165427</v>
      </c>
      <c r="ET12" s="127"/>
      <c r="EU12" s="127">
        <f t="shared" ref="EU12" si="43">MAX(DU12:DV13)</f>
        <v>7.7106564740555834</v>
      </c>
      <c r="EV12" s="127"/>
      <c r="EW12" s="127">
        <f t="shared" ref="EW12" si="44">MAX(DW12:DX13)</f>
        <v>8.4238766263023148</v>
      </c>
      <c r="EX12" s="127"/>
      <c r="EY12" s="127">
        <f t="shared" ref="EY12" si="45">MAX(DY12:DZ13)</f>
        <v>9.3624933567099404</v>
      </c>
      <c r="EZ12" s="127"/>
      <c r="FA12" s="127">
        <f t="shared" ref="FA12" si="46">MAX(EA12:EB13)</f>
        <v>8.9775424610315113</v>
      </c>
      <c r="FB12" s="127"/>
      <c r="FC12" s="127">
        <f t="shared" ref="FC12" si="47">MAX(EC12:ED13)</f>
        <v>7.564700279313274</v>
      </c>
      <c r="FD12" s="127"/>
      <c r="FE12" s="127">
        <f t="shared" ref="FE12" si="48">MAX(EE12:EF13)</f>
        <v>6.5585346746352222</v>
      </c>
      <c r="FF12" s="127"/>
      <c r="FG12" s="127">
        <f t="shared" ref="FG12" si="49">MAX(EG12:EH13)</f>
        <v>2.5860345391347783</v>
      </c>
      <c r="FH12" s="127"/>
      <c r="FI12" s="127">
        <f t="shared" ref="FI12" si="50">MAX(EI12:EJ13)</f>
        <v>3.9934891444124343</v>
      </c>
      <c r="FJ12" s="127"/>
      <c r="FK12" s="127">
        <f t="shared" ref="FK12" si="51">MAX(EK12:EL13)</f>
        <v>5.1878021704587844</v>
      </c>
      <c r="FL12" s="127"/>
      <c r="FM12" s="127">
        <f t="shared" ref="FM12" si="52">MAX(EM12:EN13)</f>
        <v>0.66942294531111912</v>
      </c>
      <c r="FN12" s="127"/>
      <c r="FO12" s="127">
        <f t="shared" ref="FO12" si="53">MAX(EO12:EP13)</f>
        <v>0</v>
      </c>
      <c r="FP12" s="127"/>
      <c r="FT12">
        <v>0.15229903264255629</v>
      </c>
      <c r="FV12">
        <v>0.17719170156224151</v>
      </c>
      <c r="FX12">
        <v>0.59499980980331324</v>
      </c>
      <c r="FZ12">
        <v>0.6284270651501902</v>
      </c>
      <c r="GB12">
        <v>0.18136714663712394</v>
      </c>
      <c r="GD12">
        <v>0.92500439891299213</v>
      </c>
      <c r="GF12">
        <v>0.43251299300644463</v>
      </c>
      <c r="GH12">
        <v>0.89792363094693717</v>
      </c>
      <c r="GJ12">
        <v>0.53203857945197075</v>
      </c>
      <c r="GL12">
        <v>0.40838869761899088</v>
      </c>
      <c r="GN12">
        <v>0.17042330582923526</v>
      </c>
      <c r="GP12">
        <v>0.50442441083972633</v>
      </c>
      <c r="GR12">
        <v>0.11076347635583872</v>
      </c>
    </row>
    <row r="13" spans="1:204" ht="27.75" customHeight="1" x14ac:dyDescent="0.25">
      <c r="A13" s="78">
        <v>0</v>
      </c>
      <c r="B13" s="78">
        <v>0</v>
      </c>
      <c r="C13" s="78">
        <v>0.14901961386203699</v>
      </c>
      <c r="D13" s="78">
        <v>0.32156863808631803</v>
      </c>
      <c r="E13" s="78">
        <v>5.0980396568775101E-2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0.133333340287208</v>
      </c>
      <c r="R13" s="78">
        <v>0.83529418706893899</v>
      </c>
      <c r="S13" s="78">
        <v>0.99607849121093694</v>
      </c>
      <c r="T13" s="78">
        <v>0.99607849121093694</v>
      </c>
      <c r="U13" s="78">
        <v>0.450980424880981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9"/>
      <c r="AD13" s="1">
        <v>-1</v>
      </c>
      <c r="AE13" s="1">
        <v>-1</v>
      </c>
      <c r="AF13" s="1">
        <v>-1</v>
      </c>
      <c r="AG13" s="79"/>
      <c r="AH13" s="1">
        <f t="array" ref="AH13">SUM(A12:C14*$AD$11:$AF$13)</f>
        <v>0.88627457618713301</v>
      </c>
      <c r="AI13" s="1">
        <f t="array" ref="AI13">SUM(B12:D14*$AD$11:$AF$13)</f>
        <v>1.88235306739807</v>
      </c>
      <c r="AJ13" s="1">
        <f t="array" ref="AJ13">SUM(C12:E14*$AD$11:$AF$13)</f>
        <v>2.6980394124984719</v>
      </c>
      <c r="AK13" s="1">
        <f t="array" ref="AK13">SUM(D12:F14*$AD$11:$AF$13)</f>
        <v>2.5921570658683759</v>
      </c>
      <c r="AL13" s="1">
        <f t="array" ref="AL13">SUM(E12:G14*$AD$11:$AF$13)</f>
        <v>2.3764708042144762</v>
      </c>
      <c r="AM13" s="1">
        <f t="array" ref="AM13">SUM(F12:H14*$AD$11:$AF$13)</f>
        <v>2.3411766886711112</v>
      </c>
      <c r="AN13" s="1">
        <f t="array" ref="AN13">SUM(G12:I14*$AD$11:$AF$13)</f>
        <v>2.3411766886711112</v>
      </c>
      <c r="AO13" s="1">
        <f t="array" ref="AO13">SUM(H12:J14*$AD$11:$AF$13)</f>
        <v>2.1058825254440299</v>
      </c>
      <c r="AP13" s="1">
        <f t="array" ref="AP13">SUM(I12:K14*$AD$11:$AF$13)</f>
        <v>1.5647059977054589</v>
      </c>
      <c r="AQ13" s="1">
        <f t="array" ref="AQ13">SUM(J12:L14*$AD$11:$AF$13)</f>
        <v>1.023529469966888</v>
      </c>
      <c r="AR13" s="1">
        <f t="array" ref="AR13">SUM(K12:M14*$AD$11:$AF$13)</f>
        <v>0.717647105455398</v>
      </c>
      <c r="AS13" s="1">
        <f t="array" ref="AS13">SUM(L12:N14*$AD$11:$AF$13)</f>
        <v>0.717647105455398</v>
      </c>
      <c r="AT13" s="1">
        <f t="array" ref="AT13">SUM(M12:O14*$AD$11:$AF$13)</f>
        <v>0.717647105455398</v>
      </c>
      <c r="AU13" s="1">
        <f t="array" ref="AU13">SUM(N12:P14*$AD$11:$AF$13)</f>
        <v>0.98039221763610795</v>
      </c>
      <c r="AV13" s="1">
        <f t="array" ref="AV13">SUM(O12:Q14*$AD$11:$AF$13)</f>
        <v>1.611764818429946</v>
      </c>
      <c r="AW13" s="1">
        <f t="array" ref="AW13">SUM(P12:R14*$AD$11:$AF$13)</f>
        <v>2.0392158329486838</v>
      </c>
      <c r="AX13" s="1">
        <f t="array" ref="AX13">SUM(Q12:S14*$AD$11:$AF$13)</f>
        <v>1.5372550189495078</v>
      </c>
      <c r="AY13" s="1">
        <f t="array" ref="AY13">SUM(R12:T14*$AD$11:$AF$13)</f>
        <v>0.41176471114158597</v>
      </c>
      <c r="AZ13" s="1">
        <f t="array" ref="AZ13">SUM(S12:U14*$AD$11:$AF$13)</f>
        <v>-1.0901961848139754</v>
      </c>
      <c r="BA13" s="1">
        <f t="array" ref="BA13">SUM(T12:V14*$AD$11:$AF$13)</f>
        <v>-1.0901961848139756</v>
      </c>
      <c r="BB13" s="1">
        <f t="array" ref="BB13">SUM(U12:W14*$AD$11:$AF$13)</f>
        <v>-0.83529417961835772</v>
      </c>
      <c r="BC13" s="1">
        <f t="array" ref="BC13">SUM(V12:X14*$AD$11:$AF$13)</f>
        <v>0</v>
      </c>
      <c r="BD13" s="1">
        <f t="array" ref="BD13">SUM(W12:Y14*$AD$11:$AF$13)</f>
        <v>0</v>
      </c>
      <c r="BE13" s="1">
        <f t="array" ref="BE13">SUM(X12:Z14*$AD$11:$AF$13)</f>
        <v>0</v>
      </c>
      <c r="BF13" s="1">
        <f t="array" ref="BF13">SUM(Y12:AA14*$AD$11:$AF$13)</f>
        <v>0</v>
      </c>
      <c r="BG13" s="1">
        <f t="array" ref="BG13">SUM(Z12:AB14*$AD$11:$AF$13)</f>
        <v>0</v>
      </c>
      <c r="BH13" s="79"/>
      <c r="BI13" s="79"/>
      <c r="BJ13" s="79"/>
      <c r="BK13" s="1">
        <f t="shared" si="3"/>
        <v>0.88627457618713301</v>
      </c>
      <c r="BL13" s="1">
        <f t="shared" si="0"/>
        <v>1.88235306739807</v>
      </c>
      <c r="BM13" s="1">
        <f t="shared" si="0"/>
        <v>2.6980394124984719</v>
      </c>
      <c r="BN13" s="1">
        <f t="shared" si="0"/>
        <v>2.5921570658683759</v>
      </c>
      <c r="BO13" s="1">
        <f t="shared" si="0"/>
        <v>2.3764708042144762</v>
      </c>
      <c r="BP13" s="1">
        <f t="shared" si="0"/>
        <v>2.3411766886711112</v>
      </c>
      <c r="BQ13" s="1">
        <f t="shared" si="0"/>
        <v>2.3411766886711112</v>
      </c>
      <c r="BR13" s="1">
        <f t="shared" si="0"/>
        <v>2.1058825254440299</v>
      </c>
      <c r="BS13" s="1">
        <f t="shared" si="0"/>
        <v>1.5647059977054589</v>
      </c>
      <c r="BT13" s="1">
        <f t="shared" si="0"/>
        <v>1.023529469966888</v>
      </c>
      <c r="BU13" s="1">
        <f t="shared" si="0"/>
        <v>0.717647105455398</v>
      </c>
      <c r="BV13" s="1">
        <f t="shared" si="0"/>
        <v>0.717647105455398</v>
      </c>
      <c r="BW13" s="1">
        <f t="shared" si="0"/>
        <v>0.717647105455398</v>
      </c>
      <c r="BX13" s="1">
        <f t="shared" si="0"/>
        <v>0.98039221763610795</v>
      </c>
      <c r="BY13" s="1">
        <f t="shared" si="0"/>
        <v>1.611764818429946</v>
      </c>
      <c r="BZ13" s="1">
        <f t="shared" si="0"/>
        <v>2.0392158329486838</v>
      </c>
      <c r="CA13" s="1">
        <f t="shared" si="0"/>
        <v>1.5372550189495078</v>
      </c>
      <c r="CB13" s="1">
        <f t="shared" si="0"/>
        <v>0.41176471114158597</v>
      </c>
      <c r="CC13" s="1">
        <f t="shared" si="0"/>
        <v>0</v>
      </c>
      <c r="CD13" s="1">
        <f t="shared" si="0"/>
        <v>0</v>
      </c>
      <c r="CE13" s="1">
        <f t="shared" si="4"/>
        <v>0</v>
      </c>
      <c r="CF13" s="1">
        <f t="shared" si="1"/>
        <v>0</v>
      </c>
      <c r="CG13" s="1">
        <f t="shared" si="1"/>
        <v>0</v>
      </c>
      <c r="CH13" s="1">
        <f t="shared" si="2"/>
        <v>0</v>
      </c>
      <c r="CI13" s="1">
        <f t="shared" si="2"/>
        <v>0</v>
      </c>
      <c r="CJ13" s="1">
        <f t="shared" si="2"/>
        <v>0</v>
      </c>
      <c r="DO13">
        <v>0.80226597393545496</v>
      </c>
      <c r="DP13">
        <v>1.316330786967157E-2</v>
      </c>
      <c r="DQ13">
        <v>0.67088306862606795</v>
      </c>
      <c r="DS13">
        <f t="array" ref="DS13">SUM(AH12:AJ14*$DO$11:$DQ$13)+SUM(AH41:AJ43*$DO$15:$DQ$17)</f>
        <v>-0.1814952315961893</v>
      </c>
      <c r="DT13">
        <f t="array" ref="DT13">SUM(AI12:AK14*$DO$11:$DQ$13)+SUM(AI41:AK43*$DO$15:$DQ$17)</f>
        <v>3.4409334895165427</v>
      </c>
      <c r="DU13">
        <f t="array" ref="DU13">SUM(AJ12:AL14*$DO$11:$DQ$13)+SUM(AJ41:AL43*$DO$15:$DQ$17)</f>
        <v>7.3320746170080389</v>
      </c>
      <c r="DV13">
        <f t="array" ref="DV13">SUM(AK12:AM14*$DO$11:$DQ$13)+SUM(AK41:AM43*$DO$15:$DQ$17)</f>
        <v>7.7106564740555834</v>
      </c>
      <c r="DW13">
        <f t="array" ref="DW13">SUM(AL12:AN14*$DO$11:$DQ$13)+SUM(AL41:AN43*$DO$15:$DQ$17)</f>
        <v>6.6298674842131442</v>
      </c>
      <c r="DX13">
        <f t="array" ref="DX13">SUM(AM12:AO14*$DO$11:$DQ$13)+SUM(AM41:AO43*$DO$15:$DQ$17)</f>
        <v>6.6364241230907846</v>
      </c>
      <c r="DY13">
        <f t="array" ref="DY13">SUM(AN12:AP14*$DO$11:$DQ$13)+SUM(AN41:AP43*$DO$15:$DQ$17)</f>
        <v>6.9186094168959364</v>
      </c>
      <c r="DZ13">
        <f t="array" ref="DZ13">SUM(AO12:AQ14*$DO$11:$DQ$13)+SUM(AO41:AQ43*$DO$15:$DQ$17)</f>
        <v>6.760626051584337</v>
      </c>
      <c r="EA13">
        <f t="array" ref="EA13">SUM(AP12:AR14*$DO$11:$DQ$13)+SUM(AP41:AR43*$DO$15:$DQ$17)</f>
        <v>5.9968866180168927</v>
      </c>
      <c r="EB13">
        <f t="array" ref="EB13">SUM(AQ12:AS14*$DO$11:$DQ$13)+SUM(AQ41:AS43*$DO$15:$DQ$17)</f>
        <v>4.8228078176976297</v>
      </c>
      <c r="EC13">
        <f t="array" ref="EC13">SUM(AR12:AT14*$DO$11:$DQ$13)+SUM(AR41:AT43*$DO$15:$DQ$17)</f>
        <v>4.1327973025105829</v>
      </c>
      <c r="ED13">
        <f t="array" ref="ED13">SUM(AS12:AU14*$DO$11:$DQ$13)+SUM(AS41:AU43*$DO$15:$DQ$17)</f>
        <v>3.9226894554788241</v>
      </c>
      <c r="EE13">
        <f t="array" ref="EE13">SUM(AT12:AV14*$DO$11:$DQ$13)+SUM(AT41:AV43*$DO$15:$DQ$17)</f>
        <v>3.4490028307650435</v>
      </c>
      <c r="EF13">
        <f t="array" ref="EF13">SUM(AU12:AW14*$DO$11:$DQ$13)+SUM(AU41:AW43*$DO$15:$DQ$17)</f>
        <v>1.9051964052490655</v>
      </c>
      <c r="EG13">
        <f t="array" ref="EG13">SUM(AV12:AX14*$DO$11:$DQ$13)+SUM(AV41:AX43*$DO$15:$DQ$17)</f>
        <v>-0.65152825080742094</v>
      </c>
      <c r="EH13">
        <f t="array" ref="EH13">SUM(AW12:AY14*$DO$11:$DQ$13)+SUM(AW41:AY43*$DO$15:$DQ$17)</f>
        <v>-1.5781510420103846</v>
      </c>
      <c r="EI13">
        <f t="array" ref="EI13">SUM(AX12:AZ14*$DO$11:$DQ$13)+SUM(AX41:AZ43*$DO$15:$DQ$17)</f>
        <v>-3.8508402602277947E-2</v>
      </c>
      <c r="EJ13">
        <f t="array" ref="EJ13">SUM(AY12:BA14*$DO$11:$DQ$13)+SUM(AY41:BA43*$DO$15:$DQ$17)</f>
        <v>3.9934891444124343</v>
      </c>
      <c r="EK13">
        <f t="array" ref="EK13">SUM(AZ12:BB14*$DO$11:$DQ$13)+SUM(AZ41:BB43*$DO$15:$DQ$17)</f>
        <v>5.1878021704587844</v>
      </c>
      <c r="EL13">
        <f t="array" ref="EL13">SUM(BA12:BC14*$DO$11:$DQ$13)+SUM(BA41:BC43*$DO$15:$DQ$17)</f>
        <v>3.7574237411681271</v>
      </c>
      <c r="EM13">
        <f t="array" ref="EM13">SUM(BB12:BD14*$DO$11:$DQ$13)+SUM(BB41:BD43*$DO$15:$DQ$17)</f>
        <v>0.66942294531111912</v>
      </c>
      <c r="EN13">
        <f t="array" ref="EN13">SUM(BC12:BE14*$DO$11:$DQ$13)+SUM(BC41:BE43*$DO$15:$DQ$17)</f>
        <v>0</v>
      </c>
      <c r="EO13">
        <f t="array" ref="EO13">SUM(BD12:BF14*$DO$11:$DQ$13)+SUM(BD41:BF43*$DO$15:$DQ$17)</f>
        <v>0</v>
      </c>
      <c r="EP13">
        <f t="array" ref="EP13">SUM(BE12:BG14*$DO$11:$DQ$13)+SUM(BE41:BG43*$DO$15:$DQ$17)</f>
        <v>0</v>
      </c>
      <c r="ES13" s="127"/>
      <c r="ET13" s="127"/>
      <c r="EU13" s="127"/>
      <c r="EV13" s="127"/>
      <c r="EW13" s="127"/>
      <c r="EX13" s="127"/>
      <c r="EY13" s="127"/>
      <c r="EZ13" s="127"/>
      <c r="FA13" s="127"/>
      <c r="FB13" s="127"/>
      <c r="FC13" s="127"/>
      <c r="FD13" s="127"/>
      <c r="FE13" s="127"/>
      <c r="FF13" s="127"/>
      <c r="FG13" s="127"/>
      <c r="FH13" s="127"/>
      <c r="FI13" s="127"/>
      <c r="FJ13" s="127"/>
      <c r="FK13" s="127"/>
      <c r="FL13" s="127"/>
      <c r="FM13" s="127"/>
      <c r="FN13" s="127"/>
      <c r="FO13" s="127"/>
      <c r="FP13" s="127"/>
    </row>
    <row r="14" spans="1:204" ht="27.75" customHeight="1" x14ac:dyDescent="0.25">
      <c r="A14" s="78">
        <v>0</v>
      </c>
      <c r="B14" s="78">
        <v>0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78">
        <v>0</v>
      </c>
      <c r="O14" s="78">
        <v>0</v>
      </c>
      <c r="P14" s="78">
        <v>0</v>
      </c>
      <c r="Q14" s="78">
        <v>0</v>
      </c>
      <c r="R14" s="78">
        <v>0.32941177487373302</v>
      </c>
      <c r="S14" s="78">
        <v>0.99607849121093694</v>
      </c>
      <c r="T14" s="78">
        <v>0.99607849121093694</v>
      </c>
      <c r="U14" s="78">
        <v>0.91764712333679099</v>
      </c>
      <c r="V14" s="78">
        <v>0</v>
      </c>
      <c r="W14" s="78">
        <v>0</v>
      </c>
      <c r="X14" s="78">
        <v>0</v>
      </c>
      <c r="Y14" s="78">
        <v>0</v>
      </c>
      <c r="Z14" s="78">
        <v>0</v>
      </c>
      <c r="AA14" s="78">
        <v>0</v>
      </c>
      <c r="AB14" s="78">
        <v>0</v>
      </c>
      <c r="AC14" s="79"/>
      <c r="AD14" s="79"/>
      <c r="AE14" s="79"/>
      <c r="AF14" s="79"/>
      <c r="AG14" s="79"/>
      <c r="AH14" s="1">
        <f t="array" ref="AH14">SUM(A13:C15*$AD$11:$AF$13)</f>
        <v>0.14901961386203699</v>
      </c>
      <c r="AI14" s="1">
        <f t="array" ref="AI14">SUM(B13:D15*$AD$11:$AF$13)</f>
        <v>0.47058825194835502</v>
      </c>
      <c r="AJ14" s="1">
        <f t="array" ref="AJ14">SUM(C13:E15*$AD$11:$AF$13)</f>
        <v>0.52156864851713014</v>
      </c>
      <c r="AK14" s="1">
        <f t="array" ref="AK14">SUM(D13:F15*$AD$11:$AF$13)</f>
        <v>0.37254903465509315</v>
      </c>
      <c r="AL14" s="1">
        <f t="array" ref="AL14">SUM(E13:G15*$AD$11:$AF$13)</f>
        <v>5.0980396568775101E-2</v>
      </c>
      <c r="AM14" s="1">
        <f t="array" ref="AM14">SUM(F13:H15*$AD$11:$AF$13)</f>
        <v>0</v>
      </c>
      <c r="AN14" s="1">
        <f t="array" ref="AN14">SUM(G13:I15*$AD$11:$AF$13)</f>
        <v>0</v>
      </c>
      <c r="AO14" s="1">
        <f t="array" ref="AO14">SUM(H13:J15*$AD$11:$AF$13)</f>
        <v>0</v>
      </c>
      <c r="AP14" s="1">
        <f t="array" ref="AP14">SUM(I13:K15*$AD$11:$AF$13)</f>
        <v>0</v>
      </c>
      <c r="AQ14" s="1">
        <f t="array" ref="AQ14">SUM(J13:L15*$AD$11:$AF$13)</f>
        <v>0</v>
      </c>
      <c r="AR14" s="1">
        <f t="array" ref="AR14">SUM(K13:M15*$AD$11:$AF$13)</f>
        <v>0</v>
      </c>
      <c r="AS14" s="1">
        <f t="array" ref="AS14">SUM(L13:N15*$AD$11:$AF$13)</f>
        <v>0</v>
      </c>
      <c r="AT14" s="1">
        <f t="array" ref="AT14">SUM(M13:O15*$AD$11:$AF$13)</f>
        <v>0</v>
      </c>
      <c r="AU14" s="1">
        <f t="array" ref="AU14">SUM(N13:P15*$AD$11:$AF$13)</f>
        <v>0</v>
      </c>
      <c r="AV14" s="1">
        <f t="array" ref="AV14">SUM(O13:Q15*$AD$11:$AF$13)</f>
        <v>0.133333340287208</v>
      </c>
      <c r="AW14" s="1">
        <f t="array" ref="AW14">SUM(P13:R15*$AD$11:$AF$13)</f>
        <v>0.63921575248241402</v>
      </c>
      <c r="AX14" s="1">
        <f t="array" ref="AX14">SUM(Q13:S15*$AD$11:$AF$13)</f>
        <v>0.63921575248241391</v>
      </c>
      <c r="AY14" s="1">
        <f t="array" ref="AY14">SUM(R13:T15*$AD$11:$AF$13)</f>
        <v>0.5058824121952058</v>
      </c>
      <c r="AZ14" s="1">
        <f t="array" ref="AZ14">SUM(S13:U15*$AD$11:$AF$13)</f>
        <v>-0.46666669845581032</v>
      </c>
      <c r="BA14" s="1">
        <f t="array" ref="BA14">SUM(T13:V15*$AD$11:$AF$13)</f>
        <v>-0.46666669845580988</v>
      </c>
      <c r="BB14" s="1">
        <f t="array" ref="BB14">SUM(U13:W15*$AD$11:$AF$13)</f>
        <v>-0.46666669845580999</v>
      </c>
      <c r="BC14" s="1">
        <f t="array" ref="BC14">SUM(V13:X15*$AD$11:$AF$13)</f>
        <v>0</v>
      </c>
      <c r="BD14" s="1">
        <f t="array" ref="BD14">SUM(W13:Y15*$AD$11:$AF$13)</f>
        <v>0</v>
      </c>
      <c r="BE14" s="1">
        <f t="array" ref="BE14">SUM(X13:Z15*$AD$11:$AF$13)</f>
        <v>0</v>
      </c>
      <c r="BF14" s="1">
        <f t="array" ref="BF14">SUM(Y13:AA15*$AD$11:$AF$13)</f>
        <v>0</v>
      </c>
      <c r="BG14" s="1">
        <f t="array" ref="BG14">SUM(Z13:AB15*$AD$11:$AF$13)</f>
        <v>0</v>
      </c>
      <c r="BH14" s="79"/>
      <c r="BI14" s="79"/>
      <c r="BJ14" s="79"/>
      <c r="BK14" s="1">
        <f t="shared" si="3"/>
        <v>0.14901961386203699</v>
      </c>
      <c r="BL14" s="1">
        <f t="shared" si="0"/>
        <v>0.47058825194835502</v>
      </c>
      <c r="BM14" s="1">
        <f t="shared" si="0"/>
        <v>0.52156864851713014</v>
      </c>
      <c r="BN14" s="1">
        <f t="shared" si="0"/>
        <v>0.37254903465509315</v>
      </c>
      <c r="BO14" s="1">
        <f t="shared" si="0"/>
        <v>5.0980396568775101E-2</v>
      </c>
      <c r="BP14" s="1">
        <f t="shared" si="0"/>
        <v>0</v>
      </c>
      <c r="BQ14" s="1">
        <f t="shared" si="0"/>
        <v>0</v>
      </c>
      <c r="BR14" s="1">
        <f t="shared" si="0"/>
        <v>0</v>
      </c>
      <c r="BS14" s="1">
        <f t="shared" si="0"/>
        <v>0</v>
      </c>
      <c r="BT14" s="1">
        <f t="shared" si="0"/>
        <v>0</v>
      </c>
      <c r="BU14" s="1">
        <f t="shared" si="0"/>
        <v>0</v>
      </c>
      <c r="BV14" s="1">
        <f t="shared" si="0"/>
        <v>0</v>
      </c>
      <c r="BW14" s="1">
        <f t="shared" si="0"/>
        <v>0</v>
      </c>
      <c r="BX14" s="1">
        <f t="shared" si="0"/>
        <v>0</v>
      </c>
      <c r="BY14" s="1">
        <f t="shared" si="0"/>
        <v>0.133333340287208</v>
      </c>
      <c r="BZ14" s="1">
        <f t="shared" si="0"/>
        <v>0.63921575248241402</v>
      </c>
      <c r="CA14" s="1">
        <f t="shared" si="0"/>
        <v>0.63921575248241391</v>
      </c>
      <c r="CB14" s="1">
        <f t="shared" si="0"/>
        <v>0.5058824121952058</v>
      </c>
      <c r="CC14" s="1">
        <f t="shared" si="0"/>
        <v>0</v>
      </c>
      <c r="CD14" s="1">
        <f t="shared" si="0"/>
        <v>0</v>
      </c>
      <c r="CE14" s="1">
        <f t="shared" si="4"/>
        <v>0</v>
      </c>
      <c r="CF14" s="1">
        <f t="shared" si="1"/>
        <v>0</v>
      </c>
      <c r="CG14" s="1">
        <f t="shared" si="1"/>
        <v>0</v>
      </c>
      <c r="CH14" s="1">
        <f t="shared" si="2"/>
        <v>0</v>
      </c>
      <c r="CI14" s="1">
        <f t="shared" si="2"/>
        <v>0</v>
      </c>
      <c r="CJ14" s="1">
        <f t="shared" si="2"/>
        <v>0</v>
      </c>
      <c r="DS14">
        <f t="array" ref="DS14">SUM(AH13:AJ15*$DO$11:$DQ$13)+SUM(AH42:AJ44*$DO$15:$DQ$17)</f>
        <v>0.63370648233481264</v>
      </c>
      <c r="DT14">
        <f t="array" ref="DT14">SUM(AI13:AK15*$DO$11:$DQ$13)+SUM(AI42:AK44*$DO$15:$DQ$17)</f>
        <v>2.2669042375052038</v>
      </c>
      <c r="DU14">
        <f t="array" ref="DU14">SUM(AJ13:AL15*$DO$11:$DQ$13)+SUM(AJ42:AL44*$DO$15:$DQ$17)</f>
        <v>3.9103686873493757</v>
      </c>
      <c r="DV14">
        <f t="array" ref="DV14">SUM(AK13:AM15*$DO$11:$DQ$13)+SUM(AK42:AM44*$DO$15:$DQ$17)</f>
        <v>3.5990278706973635</v>
      </c>
      <c r="DW14">
        <f t="array" ref="DW14">SUM(AL13:AN15*$DO$11:$DQ$13)+SUM(AL42:AN44*$DO$15:$DQ$17)</f>
        <v>2.5984482781518721</v>
      </c>
      <c r="DX14">
        <f t="array" ref="DX14">SUM(AM13:AO15*$DO$11:$DQ$13)+SUM(AM42:AO44*$DO$15:$DQ$17)</f>
        <v>2.5046219508005625</v>
      </c>
      <c r="DY14">
        <f t="array" ref="DY14">SUM(AN13:AP15*$DO$11:$DQ$13)+SUM(AN42:AP44*$DO$15:$DQ$17)</f>
        <v>2.5565902216924048</v>
      </c>
      <c r="DZ14">
        <f t="array" ref="DZ14">SUM(AO13:AQ15*$DO$11:$DQ$13)+SUM(AO42:AQ44*$DO$15:$DQ$17)</f>
        <v>2.3289775481607045</v>
      </c>
      <c r="EA14">
        <f t="array" ref="EA14">SUM(AP13:AR15*$DO$11:$DQ$13)+SUM(AP42:AR44*$DO$15:$DQ$17)</f>
        <v>1.8255149727286724</v>
      </c>
      <c r="EB14">
        <f t="array" ref="EB14">SUM(AQ13:AS15*$DO$11:$DQ$13)+SUM(AQ42:AS44*$DO$15:$DQ$17)</f>
        <v>1.1577462456618326</v>
      </c>
      <c r="EC14">
        <f t="array" ref="EC14">SUM(AR13:AT15*$DO$11:$DQ$13)+SUM(AR42:AT44*$DO$15:$DQ$17)</f>
        <v>0.74671979889353735</v>
      </c>
      <c r="ED14">
        <f t="array" ref="ED14">SUM(AS13:AU15*$DO$11:$DQ$13)+SUM(AS42:AU44*$DO$15:$DQ$17)</f>
        <v>0.67011474026794504</v>
      </c>
      <c r="EE14">
        <f t="array" ref="EE14">SUM(AT13:AV15*$DO$11:$DQ$13)+SUM(AT42:AV44*$DO$15:$DQ$17)</f>
        <v>-2.732819819915433E-2</v>
      </c>
      <c r="EF14">
        <f t="array" ref="EF14">SUM(AU13:AW15*$DO$11:$DQ$13)+SUM(AU42:AW44*$DO$15:$DQ$17)</f>
        <v>-1.8629970613045768</v>
      </c>
      <c r="EG14">
        <f t="array" ref="EG14">SUM(AV13:AX15*$DO$11:$DQ$13)+SUM(AV42:AX44*$DO$15:$DQ$17)</f>
        <v>-4.9076740523080087</v>
      </c>
      <c r="EH14">
        <f t="array" ref="EH14">SUM(AW13:AY15*$DO$11:$DQ$13)+SUM(AW42:AY44*$DO$15:$DQ$17)</f>
        <v>-6.2416613035872768</v>
      </c>
      <c r="EI14">
        <f t="array" ref="EI14">SUM(AX13:AZ15*$DO$11:$DQ$13)+SUM(AX42:AZ44*$DO$15:$DQ$17)</f>
        <v>-4.03239995059847</v>
      </c>
      <c r="EJ14">
        <f t="array" ref="EJ14">SUM(AY13:BA15*$DO$11:$DQ$13)+SUM(AY42:BA44*$DO$15:$DQ$17)</f>
        <v>2.5569343870272965</v>
      </c>
      <c r="EK14">
        <f t="array" ref="EK14">SUM(AZ13:BB15*$DO$11:$DQ$13)+SUM(AZ42:BB44*$DO$15:$DQ$17)</f>
        <v>6.9629481012966057</v>
      </c>
      <c r="EL14">
        <f t="array" ref="EL14">SUM(BA13:BC15*$DO$11:$DQ$13)+SUM(BA42:BC44*$DO$15:$DQ$17)</f>
        <v>6.5090524617103203</v>
      </c>
      <c r="EM14">
        <f t="array" ref="EM14">SUM(BB13:BD15*$DO$11:$DQ$13)+SUM(BB42:BD44*$DO$15:$DQ$17)</f>
        <v>2.5042396445358057</v>
      </c>
      <c r="EN14">
        <f t="array" ref="EN14">SUM(BC13:BE15*$DO$11:$DQ$13)+SUM(BC42:BE44*$DO$15:$DQ$17)</f>
        <v>-9.6779205995660228E-2</v>
      </c>
      <c r="EO14">
        <f t="array" ref="EO14">SUM(BD13:BF15*$DO$11:$DQ$13)+SUM(BD42:BF44*$DO$15:$DQ$17)</f>
        <v>0</v>
      </c>
      <c r="EP14">
        <f t="array" ref="EP14">SUM(BE13:BG15*$DO$11:$DQ$13)+SUM(BE42:BG44*$DO$15:$DQ$17)</f>
        <v>0</v>
      </c>
      <c r="ES14" s="127">
        <f t="shared" ref="ES14" si="54">MAX(DS14:DT15)</f>
        <v>2.2669042375052038</v>
      </c>
      <c r="ET14" s="127"/>
      <c r="EU14" s="127">
        <f t="shared" ref="EU14" si="55">MAX(DU14:DV15)</f>
        <v>3.9103686873493757</v>
      </c>
      <c r="EV14" s="127"/>
      <c r="EW14" s="127">
        <f t="shared" ref="EW14" si="56">MAX(DW14:DX15)</f>
        <v>2.5984482781518721</v>
      </c>
      <c r="EX14" s="127"/>
      <c r="EY14" s="127">
        <f t="shared" ref="EY14" si="57">MAX(DY14:DZ15)</f>
        <v>2.5565902216924048</v>
      </c>
      <c r="EZ14" s="127"/>
      <c r="FA14" s="127">
        <f t="shared" ref="FA14" si="58">MAX(EA14:EB15)</f>
        <v>1.8255149727286724</v>
      </c>
      <c r="FB14" s="127"/>
      <c r="FC14" s="127">
        <f t="shared" ref="FC14" si="59">MAX(EC14:ED15)</f>
        <v>0.74671979889353735</v>
      </c>
      <c r="FD14" s="127"/>
      <c r="FE14" s="127">
        <f t="shared" ref="FE14" si="60">MAX(EE14:EF15)</f>
        <v>-2.732819819915433E-2</v>
      </c>
      <c r="FF14" s="127"/>
      <c r="FG14" s="127">
        <f t="shared" ref="FG14" si="61">MAX(EG14:EH15)</f>
        <v>-4.9076740523080087</v>
      </c>
      <c r="FH14" s="127"/>
      <c r="FI14" s="127">
        <f t="shared" ref="FI14" si="62">MAX(EI14:EJ15)</f>
        <v>2.5569343870272965</v>
      </c>
      <c r="FJ14" s="127"/>
      <c r="FK14" s="127">
        <f t="shared" ref="FK14" si="63">MAX(EK14:EL15)</f>
        <v>7.0571580012411275</v>
      </c>
      <c r="FL14" s="127"/>
      <c r="FM14" s="127">
        <f t="shared" ref="FM14" si="64">MAX(EM14:EN15)</f>
        <v>3.8799835477629996</v>
      </c>
      <c r="FN14" s="127"/>
      <c r="FO14" s="127">
        <f t="shared" ref="FO14" si="65">MAX(EO14:EP15)</f>
        <v>0</v>
      </c>
      <c r="FP14" s="127"/>
      <c r="FT14">
        <v>0.31364204434193366</v>
      </c>
      <c r="FV14">
        <v>0.48758625561082114</v>
      </c>
      <c r="FX14">
        <v>0.48403390080149733</v>
      </c>
      <c r="FZ14">
        <v>4.2469134317829282E-2</v>
      </c>
      <c r="GB14">
        <v>0.78157096054764186</v>
      </c>
      <c r="GD14">
        <v>2.9494715000552008E-2</v>
      </c>
      <c r="GF14">
        <v>0.87997367590879638</v>
      </c>
      <c r="GH14">
        <v>1.999225433781282E-2</v>
      </c>
      <c r="GJ14">
        <v>0.7349233543740582</v>
      </c>
      <c r="GL14">
        <v>0.16320872417262078</v>
      </c>
      <c r="GN14">
        <v>0.18598334761672863</v>
      </c>
      <c r="GP14">
        <v>0.17373455265365545</v>
      </c>
      <c r="GR14">
        <v>2.3605439822707686E-2</v>
      </c>
    </row>
    <row r="15" spans="1:204" ht="27.75" customHeight="1" x14ac:dyDescent="0.25">
      <c r="A15" s="78">
        <v>0</v>
      </c>
      <c r="B15" s="78">
        <v>0</v>
      </c>
      <c r="C15" s="78">
        <v>0</v>
      </c>
      <c r="D15" s="78">
        <v>0</v>
      </c>
      <c r="E15" s="78">
        <v>0</v>
      </c>
      <c r="F15" s="78">
        <v>0</v>
      </c>
      <c r="G15" s="78">
        <v>0</v>
      </c>
      <c r="H15" s="78">
        <v>0</v>
      </c>
      <c r="I15" s="78">
        <v>0</v>
      </c>
      <c r="J15" s="78">
        <v>0</v>
      </c>
      <c r="K15" s="78">
        <v>0</v>
      </c>
      <c r="L15" s="78">
        <v>0</v>
      </c>
      <c r="M15" s="78">
        <v>0</v>
      </c>
      <c r="N15" s="78">
        <v>0</v>
      </c>
      <c r="O15" s="78">
        <v>0</v>
      </c>
      <c r="P15" s="78">
        <v>0</v>
      </c>
      <c r="Q15" s="78">
        <v>0</v>
      </c>
      <c r="R15" s="78">
        <v>0.32941177487373302</v>
      </c>
      <c r="S15" s="78">
        <v>0.99607849121093694</v>
      </c>
      <c r="T15" s="78">
        <v>0.99607849121093694</v>
      </c>
      <c r="U15" s="78">
        <v>0.91764712333679099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9"/>
      <c r="AD15" s="79"/>
      <c r="AE15" s="79"/>
      <c r="AF15" s="79"/>
      <c r="AG15" s="79"/>
      <c r="AH15" s="1">
        <f t="array" ref="AH15">SUM(A14:C16*$AD$11:$AF$13)</f>
        <v>0</v>
      </c>
      <c r="AI15" s="1">
        <f t="array" ref="AI15">SUM(B14:D16*$AD$11:$AF$13)</f>
        <v>0</v>
      </c>
      <c r="AJ15" s="1">
        <f t="array" ref="AJ15">SUM(C14:E16*$AD$11:$AF$13)</f>
        <v>0</v>
      </c>
      <c r="AK15" s="1">
        <f t="array" ref="AK15">SUM(D14:F16*$AD$11:$AF$13)</f>
        <v>0</v>
      </c>
      <c r="AL15" s="1">
        <f t="array" ref="AL15">SUM(E14:G16*$AD$11:$AF$13)</f>
        <v>0</v>
      </c>
      <c r="AM15" s="1">
        <f t="array" ref="AM15">SUM(F14:H16*$AD$11:$AF$13)</f>
        <v>0</v>
      </c>
      <c r="AN15" s="1">
        <f t="array" ref="AN15">SUM(G14:I16*$AD$11:$AF$13)</f>
        <v>0</v>
      </c>
      <c r="AO15" s="1">
        <f t="array" ref="AO15">SUM(H14:J16*$AD$11:$AF$13)</f>
        <v>0</v>
      </c>
      <c r="AP15" s="1">
        <f t="array" ref="AP15">SUM(I14:K16*$AD$11:$AF$13)</f>
        <v>0</v>
      </c>
      <c r="AQ15" s="1">
        <f t="array" ref="AQ15">SUM(J14:L16*$AD$11:$AF$13)</f>
        <v>0</v>
      </c>
      <c r="AR15" s="1">
        <f t="array" ref="AR15">SUM(K14:M16*$AD$11:$AF$13)</f>
        <v>0</v>
      </c>
      <c r="AS15" s="1">
        <f t="array" ref="AS15">SUM(L14:N16*$AD$11:$AF$13)</f>
        <v>0</v>
      </c>
      <c r="AT15" s="1">
        <f t="array" ref="AT15">SUM(M14:O16*$AD$11:$AF$13)</f>
        <v>0</v>
      </c>
      <c r="AU15" s="1">
        <f t="array" ref="AU15">SUM(N14:P16*$AD$11:$AF$13)</f>
        <v>0</v>
      </c>
      <c r="AV15" s="1">
        <f t="array" ref="AV15">SUM(O14:Q16*$AD$11:$AF$13)</f>
        <v>-0.41568630933761502</v>
      </c>
      <c r="AW15" s="1">
        <f t="array" ref="AW15">SUM(P14:R16*$AD$11:$AF$13)</f>
        <v>-0.70196083188056901</v>
      </c>
      <c r="AX15" s="1">
        <f t="array" ref="AX15">SUM(Q14:S16*$AD$11:$AF$13)</f>
        <v>-0.70196083188056912</v>
      </c>
      <c r="AY15" s="1">
        <f t="array" ref="AY15">SUM(R14:T16*$AD$11:$AF$13)</f>
        <v>-0.28627452254295416</v>
      </c>
      <c r="AZ15" s="1">
        <f t="array" ref="AZ15">SUM(S14:U16*$AD$11:$AF$13)</f>
        <v>-3.5294115543366256E-2</v>
      </c>
      <c r="BA15" s="1">
        <f t="array" ref="BA15">SUM(T14:V16*$AD$11:$AF$13)</f>
        <v>-0.23529413342475902</v>
      </c>
      <c r="BB15" s="1">
        <f t="array" ref="BB15">SUM(U14:W16*$AD$11:$AF$13)</f>
        <v>-0.23529413342475902</v>
      </c>
      <c r="BC15" s="1">
        <f t="array" ref="BC15">SUM(V14:X16*$AD$11:$AF$13)</f>
        <v>-0.20000001788139299</v>
      </c>
      <c r="BD15" s="1">
        <f t="array" ref="BD15">SUM(W14:Y16*$AD$11:$AF$13)</f>
        <v>0</v>
      </c>
      <c r="BE15" s="1">
        <f t="array" ref="BE15">SUM(X14:Z16*$AD$11:$AF$13)</f>
        <v>0</v>
      </c>
      <c r="BF15" s="1">
        <f t="array" ref="BF15">SUM(Y14:AA16*$AD$11:$AF$13)</f>
        <v>0</v>
      </c>
      <c r="BG15" s="1">
        <f t="array" ref="BG15">SUM(Z14:AB16*$AD$11:$AF$13)</f>
        <v>0</v>
      </c>
      <c r="BH15" s="79"/>
      <c r="BI15" s="79"/>
      <c r="BJ15" s="79"/>
      <c r="BK15" s="1">
        <f t="shared" si="3"/>
        <v>0</v>
      </c>
      <c r="BL15" s="1">
        <f t="shared" si="0"/>
        <v>0</v>
      </c>
      <c r="BM15" s="1">
        <f t="shared" si="0"/>
        <v>0</v>
      </c>
      <c r="BN15" s="1">
        <f t="shared" si="0"/>
        <v>0</v>
      </c>
      <c r="BO15" s="1">
        <f t="shared" si="0"/>
        <v>0</v>
      </c>
      <c r="BP15" s="1">
        <f t="shared" si="0"/>
        <v>0</v>
      </c>
      <c r="BQ15" s="1">
        <f t="shared" si="0"/>
        <v>0</v>
      </c>
      <c r="BR15" s="1">
        <f t="shared" si="0"/>
        <v>0</v>
      </c>
      <c r="BS15" s="1">
        <f t="shared" si="0"/>
        <v>0</v>
      </c>
      <c r="BT15" s="1">
        <f t="shared" si="0"/>
        <v>0</v>
      </c>
      <c r="BU15" s="1">
        <f t="shared" si="0"/>
        <v>0</v>
      </c>
      <c r="BV15" s="1">
        <f t="shared" si="0"/>
        <v>0</v>
      </c>
      <c r="BW15" s="1">
        <f t="shared" si="0"/>
        <v>0</v>
      </c>
      <c r="BX15" s="1">
        <f t="shared" si="0"/>
        <v>0</v>
      </c>
      <c r="BY15" s="1">
        <f t="shared" si="0"/>
        <v>0</v>
      </c>
      <c r="BZ15" s="1">
        <f t="shared" si="0"/>
        <v>0</v>
      </c>
      <c r="CA15" s="1">
        <f t="shared" si="0"/>
        <v>0</v>
      </c>
      <c r="CB15" s="1">
        <f t="shared" si="0"/>
        <v>0</v>
      </c>
      <c r="CC15" s="1">
        <f t="shared" si="0"/>
        <v>0</v>
      </c>
      <c r="CD15" s="1">
        <f t="shared" si="0"/>
        <v>0</v>
      </c>
      <c r="CE15" s="1">
        <f t="shared" si="4"/>
        <v>0</v>
      </c>
      <c r="CF15" s="1">
        <f t="shared" si="1"/>
        <v>0</v>
      </c>
      <c r="CG15" s="1">
        <f t="shared" si="1"/>
        <v>0</v>
      </c>
      <c r="CH15" s="1">
        <f t="shared" si="2"/>
        <v>0</v>
      </c>
      <c r="CI15" s="1">
        <f t="shared" si="2"/>
        <v>0</v>
      </c>
      <c r="CJ15" s="1">
        <f t="shared" si="2"/>
        <v>0</v>
      </c>
      <c r="DO15">
        <v>0.82727290954498001</v>
      </c>
      <c r="DP15">
        <v>0.36588543285594144</v>
      </c>
      <c r="DQ15">
        <v>0.54850963630090555</v>
      </c>
      <c r="DS15">
        <f t="array" ref="DS15">SUM(AH14:AJ16*$DO$11:$DQ$13)+SUM(AH43:AJ45*$DO$15:$DQ$17)</f>
        <v>0.14951046721248049</v>
      </c>
      <c r="DT15">
        <f t="array" ref="DT15">SUM(AI14:AK16*$DO$11:$DQ$13)+SUM(AI43:AK45*$DO$15:$DQ$17)</f>
        <v>0.42430681817661564</v>
      </c>
      <c r="DU15">
        <f t="array" ref="DU15">SUM(AJ14:AL16*$DO$11:$DQ$13)+SUM(AJ43:AL45*$DO$15:$DQ$17)</f>
        <v>0.60870283452821372</v>
      </c>
      <c r="DV15">
        <f t="array" ref="DV15">SUM(AK14:AM16*$DO$11:$DQ$13)+SUM(AK43:AM45*$DO$15:$DQ$17)</f>
        <v>0.49070380821691006</v>
      </c>
      <c r="DW15">
        <f t="array" ref="DW15">SUM(AL14:AN16*$DO$11:$DQ$13)+SUM(AL43:AN45*$DO$15:$DQ$17)</f>
        <v>6.8504411131930731E-2</v>
      </c>
      <c r="DX15">
        <f t="array" ref="DX15">SUM(AM14:AO16*$DO$11:$DQ$13)+SUM(AM43:AO45*$DO$15:$DQ$17)</f>
        <v>0</v>
      </c>
      <c r="DY15">
        <f t="array" ref="DY15">SUM(AN14:AP16*$DO$11:$DQ$13)+SUM(AN43:AP45*$DO$15:$DQ$17)</f>
        <v>0</v>
      </c>
      <c r="DZ15">
        <f t="array" ref="DZ15">SUM(AO14:AQ16*$DO$11:$DQ$13)+SUM(AO43:AQ45*$DO$15:$DQ$17)</f>
        <v>-0.12379731710728424</v>
      </c>
      <c r="EA15">
        <f t="array" ref="EA15">SUM(AP14:AR16*$DO$11:$DQ$13)+SUM(AP43:AR45*$DO$15:$DQ$17)</f>
        <v>-0.71468565297613273</v>
      </c>
      <c r="EB15">
        <f t="array" ref="EB15">SUM(AQ14:AS16*$DO$11:$DQ$13)+SUM(AQ43:AS45*$DO$15:$DQ$17)</f>
        <v>-1.8812072506842159</v>
      </c>
      <c r="EC15">
        <f t="array" ref="EC15">SUM(AR14:AT16*$DO$11:$DQ$13)+SUM(AR43:AT45*$DO$15:$DQ$17)</f>
        <v>-2.9312667048336851</v>
      </c>
      <c r="ED15">
        <f t="array" ref="ED15">SUM(AS14:AU16*$DO$11:$DQ$13)+SUM(AS43:AU45*$DO$15:$DQ$17)</f>
        <v>-3.5496775642899339</v>
      </c>
      <c r="EE15">
        <f t="array" ref="EE15">SUM(AT14:AV16*$DO$11:$DQ$13)+SUM(AT43:AV45*$DO$15:$DQ$17)</f>
        <v>-4.3304099473303355</v>
      </c>
      <c r="EF15">
        <f t="array" ref="EF15">SUM(AU14:AW16*$DO$11:$DQ$13)+SUM(AU43:AW45*$DO$15:$DQ$17)</f>
        <v>-6.3298156276241713</v>
      </c>
      <c r="EG15">
        <f t="array" ref="EG15">SUM(AV14:AX16*$DO$11:$DQ$13)+SUM(AV43:AX45*$DO$15:$DQ$17)</f>
        <v>-9.2484539068541842</v>
      </c>
      <c r="EH15">
        <f t="array" ref="EH15">SUM(AW14:AY16*$DO$11:$DQ$13)+SUM(AW43:AY45*$DO$15:$DQ$17)</f>
        <v>-10.188144820889022</v>
      </c>
      <c r="EI15">
        <f t="array" ref="EI15">SUM(AX14:AZ16*$DO$11:$DQ$13)+SUM(AX43:AZ45*$DO$15:$DQ$17)</f>
        <v>-7.5050183757286195</v>
      </c>
      <c r="EJ15">
        <f t="array" ref="EJ15">SUM(AY14:BA16*$DO$11:$DQ$13)+SUM(AY43:BA45*$DO$15:$DQ$17)</f>
        <v>-3.9589705427265809E-2</v>
      </c>
      <c r="EK15">
        <f t="array" ref="EK15">SUM(AZ14:BB16*$DO$11:$DQ$13)+SUM(AZ43:BB45*$DO$15:$DQ$17)</f>
        <v>6.4968645273982784</v>
      </c>
      <c r="EL15">
        <f t="array" ref="EL15">SUM(BA14:BC16*$DO$11:$DQ$13)+SUM(BA43:BC45*$DO$15:$DQ$17)</f>
        <v>7.0571580012411275</v>
      </c>
      <c r="EM15">
        <f t="array" ref="EM15">SUM(BB14:BD16*$DO$11:$DQ$13)+SUM(BB43:BD45*$DO$15:$DQ$17)</f>
        <v>3.8799835477629996</v>
      </c>
      <c r="EN15">
        <f t="array" ref="EN15">SUM(BC14:BE16*$DO$11:$DQ$13)+SUM(BC43:BE45*$DO$15:$DQ$17)</f>
        <v>-0.4498654295696734</v>
      </c>
      <c r="EO15">
        <f t="array" ref="EO15">SUM(BD14:BF16*$DO$11:$DQ$13)+SUM(BD43:BF45*$DO$15:$DQ$17)</f>
        <v>0</v>
      </c>
      <c r="EP15">
        <f t="array" ref="EP15">SUM(BE14:BG16*$DO$11:$DQ$13)+SUM(BE43:BG45*$DO$15:$DQ$17)</f>
        <v>0</v>
      </c>
      <c r="ES15" s="127"/>
      <c r="ET15" s="127"/>
      <c r="EU15" s="127"/>
      <c r="EV15" s="127"/>
      <c r="EW15" s="127"/>
      <c r="EX15" s="127"/>
      <c r="EY15" s="127"/>
      <c r="EZ15" s="127"/>
      <c r="FA15" s="127"/>
      <c r="FB15" s="127"/>
      <c r="FC15" s="127"/>
      <c r="FD15" s="127"/>
      <c r="FE15" s="127"/>
      <c r="FF15" s="127"/>
      <c r="FG15" s="127"/>
      <c r="FH15" s="127"/>
      <c r="FI15" s="127"/>
      <c r="FJ15" s="127"/>
      <c r="FK15" s="127"/>
      <c r="FL15" s="127"/>
      <c r="FM15" s="127"/>
      <c r="FN15" s="127"/>
      <c r="FO15" s="127"/>
      <c r="FP15" s="127"/>
    </row>
    <row r="16" spans="1:204" ht="27.75" customHeight="1" x14ac:dyDescent="0.25">
      <c r="A16" s="78">
        <v>0</v>
      </c>
      <c r="B16" s="78">
        <v>0</v>
      </c>
      <c r="C16" s="78">
        <v>0</v>
      </c>
      <c r="D16" s="78">
        <v>0</v>
      </c>
      <c r="E16" s="78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0.41568630933761502</v>
      </c>
      <c r="R16" s="78">
        <v>0.61568629741668701</v>
      </c>
      <c r="S16" s="78">
        <v>0.99607849121093694</v>
      </c>
      <c r="T16" s="78">
        <v>0.99607849121093694</v>
      </c>
      <c r="U16" s="78">
        <v>0.95294123888015703</v>
      </c>
      <c r="V16" s="78">
        <v>0.20000001788139299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9"/>
      <c r="AD16" s="79"/>
      <c r="AE16" s="79"/>
      <c r="AF16" s="79"/>
      <c r="AG16" s="79"/>
      <c r="AH16" s="1">
        <f t="array" ref="AH16">SUM(A15:C17*$AD$11:$AF$13)</f>
        <v>0</v>
      </c>
      <c r="AI16" s="1">
        <f t="array" ref="AI16">SUM(B15:D17*$AD$11:$AF$13)</f>
        <v>0</v>
      </c>
      <c r="AJ16" s="1">
        <f t="array" ref="AJ16">SUM(C15:E17*$AD$11:$AF$13)</f>
        <v>0</v>
      </c>
      <c r="AK16" s="1">
        <f t="array" ref="AK16">SUM(D15:F17*$AD$11:$AF$13)</f>
        <v>0</v>
      </c>
      <c r="AL16" s="1">
        <f t="array" ref="AL16">SUM(E15:G17*$AD$11:$AF$13)</f>
        <v>0</v>
      </c>
      <c r="AM16" s="1">
        <f t="array" ref="AM16">SUM(F15:H17*$AD$11:$AF$13)</f>
        <v>0</v>
      </c>
      <c r="AN16" s="1">
        <f t="array" ref="AN16">SUM(G15:I17*$AD$11:$AF$13)</f>
        <v>0</v>
      </c>
      <c r="AO16" s="1">
        <f t="array" ref="AO16">SUM(H15:J17*$AD$11:$AF$13)</f>
        <v>0</v>
      </c>
      <c r="AP16" s="1">
        <f t="array" ref="AP16">SUM(I15:K17*$AD$11:$AF$13)</f>
        <v>0</v>
      </c>
      <c r="AQ16" s="1">
        <f t="array" ref="AQ16">SUM(J15:L17*$AD$11:$AF$13)</f>
        <v>-9.8039224743842995E-2</v>
      </c>
      <c r="AR16" s="1">
        <f t="array" ref="AR16">SUM(K15:M17*$AD$11:$AF$13)</f>
        <v>-0.55686278641223796</v>
      </c>
      <c r="AS16" s="1">
        <f t="array" ref="AS16">SUM(L15:N17*$AD$11:$AF$13)</f>
        <v>-1.4509804993867861</v>
      </c>
      <c r="AT16" s="1">
        <f t="array" ref="AT16">SUM(M15:O17*$AD$11:$AF$13)</f>
        <v>-2.2470589876174909</v>
      </c>
      <c r="AU16" s="1">
        <f t="array" ref="AU16">SUM(N15:P17*$AD$11:$AF$13)</f>
        <v>-2.6823531389236441</v>
      </c>
      <c r="AV16" s="1">
        <f t="array" ref="AV16">SUM(O15:Q17*$AD$11:$AF$13)</f>
        <v>-2.780392348766326</v>
      </c>
      <c r="AW16" s="1">
        <f t="array" ref="AW16">SUM(P15:R17*$AD$11:$AF$13)</f>
        <v>-2.5529413521289821</v>
      </c>
      <c r="AX16" s="1">
        <f t="array" ref="AX16">SUM(Q15:S17*$AD$11:$AF$13)</f>
        <v>-1.658823639154434</v>
      </c>
      <c r="AY16" s="1">
        <f t="array" ref="AY16">SUM(R15:T17*$AD$11:$AF$13)</f>
        <v>-0.6666667163372042</v>
      </c>
      <c r="AZ16" s="1">
        <f t="array" ref="AZ16">SUM(S15:U17*$AD$11:$AF$13)</f>
        <v>-7.8431367874146174E-2</v>
      </c>
      <c r="BA16" s="1">
        <f t="array" ref="BA16">SUM(T15:V17*$AD$11:$AF$13)</f>
        <v>-1.0196079015731809</v>
      </c>
      <c r="BB16" s="1">
        <f t="array" ref="BB16">SUM(U15:W17*$AD$11:$AF$13)</f>
        <v>-1.0196079015731809</v>
      </c>
      <c r="BC16" s="1">
        <f t="array" ref="BC16">SUM(V15:X17*$AD$11:$AF$13)</f>
        <v>-0.94117653369903498</v>
      </c>
      <c r="BD16" s="1">
        <f t="array" ref="BD16">SUM(W15:Y17*$AD$11:$AF$13)</f>
        <v>0</v>
      </c>
      <c r="BE16" s="1">
        <f t="array" ref="BE16">SUM(X15:Z17*$AD$11:$AF$13)</f>
        <v>0</v>
      </c>
      <c r="BF16" s="1">
        <f t="array" ref="BF16">SUM(Y15:AA17*$AD$11:$AF$13)</f>
        <v>0</v>
      </c>
      <c r="BG16" s="1">
        <f t="array" ref="BG16">SUM(Z15:AB17*$AD$11:$AF$13)</f>
        <v>0</v>
      </c>
      <c r="BH16" s="79"/>
      <c r="BI16" s="79"/>
      <c r="BJ16" s="79"/>
      <c r="BK16" s="1">
        <f t="shared" si="3"/>
        <v>0</v>
      </c>
      <c r="BL16" s="1">
        <f t="shared" si="0"/>
        <v>0</v>
      </c>
      <c r="BM16" s="1">
        <f t="shared" si="0"/>
        <v>0</v>
      </c>
      <c r="BN16" s="1">
        <f t="shared" si="0"/>
        <v>0</v>
      </c>
      <c r="BO16" s="1">
        <f t="shared" si="0"/>
        <v>0</v>
      </c>
      <c r="BP16" s="1">
        <f t="shared" si="0"/>
        <v>0</v>
      </c>
      <c r="BQ16" s="1">
        <f t="shared" si="0"/>
        <v>0</v>
      </c>
      <c r="BR16" s="1">
        <f t="shared" si="0"/>
        <v>0</v>
      </c>
      <c r="BS16" s="1">
        <f t="shared" si="0"/>
        <v>0</v>
      </c>
      <c r="BT16" s="1">
        <f t="shared" ref="BT16:CD28" si="66">MAX(0,AQ16)</f>
        <v>0</v>
      </c>
      <c r="BU16" s="1">
        <f t="shared" si="66"/>
        <v>0</v>
      </c>
      <c r="BV16" s="1">
        <f t="shared" si="66"/>
        <v>0</v>
      </c>
      <c r="BW16" s="1">
        <f t="shared" si="66"/>
        <v>0</v>
      </c>
      <c r="BX16" s="1">
        <f t="shared" si="66"/>
        <v>0</v>
      </c>
      <c r="BY16" s="1">
        <f t="shared" si="66"/>
        <v>0</v>
      </c>
      <c r="BZ16" s="1">
        <f t="shared" si="66"/>
        <v>0</v>
      </c>
      <c r="CA16" s="1">
        <f t="shared" si="66"/>
        <v>0</v>
      </c>
      <c r="CB16" s="1">
        <f t="shared" si="66"/>
        <v>0</v>
      </c>
      <c r="CC16" s="1">
        <f t="shared" si="66"/>
        <v>0</v>
      </c>
      <c r="CD16" s="1">
        <f t="shared" si="66"/>
        <v>0</v>
      </c>
      <c r="CE16" s="1">
        <f t="shared" si="4"/>
        <v>0</v>
      </c>
      <c r="CF16" s="1">
        <f t="shared" si="1"/>
        <v>0</v>
      </c>
      <c r="CG16" s="1">
        <f t="shared" si="1"/>
        <v>0</v>
      </c>
      <c r="CH16" s="1">
        <f t="shared" si="2"/>
        <v>0</v>
      </c>
      <c r="CI16" s="1">
        <f t="shared" si="2"/>
        <v>0</v>
      </c>
      <c r="CJ16" s="1">
        <f t="shared" si="2"/>
        <v>0</v>
      </c>
      <c r="DO16">
        <v>0.56899560607325728</v>
      </c>
      <c r="DP16">
        <v>0.36049904843068437</v>
      </c>
      <c r="DQ16">
        <v>0.30063380596056488</v>
      </c>
      <c r="DS16">
        <f t="array" ref="DS16">SUM(AH15:AJ17*$DO$11:$DQ$13)+SUM(AH44:AJ46*$DO$15:$DQ$17)</f>
        <v>0</v>
      </c>
      <c r="DT16">
        <f t="array" ref="DT16">SUM(AI15:AK17*$DO$11:$DQ$13)+SUM(AI44:AK46*$DO$15:$DQ$17)</f>
        <v>0</v>
      </c>
      <c r="DU16">
        <f t="array" ref="DU16">SUM(AJ15:AL17*$DO$11:$DQ$13)+SUM(AJ44:AL46*$DO$15:$DQ$17)</f>
        <v>0</v>
      </c>
      <c r="DV16">
        <f t="array" ref="DV16">SUM(AK15:AM17*$DO$11:$DQ$13)+SUM(AK44:AM46*$DO$15:$DQ$17)</f>
        <v>0</v>
      </c>
      <c r="DW16">
        <f t="array" ref="DW16">SUM(AL15:AN17*$DO$11:$DQ$13)+SUM(AL44:AN46*$DO$15:$DQ$17)</f>
        <v>0</v>
      </c>
      <c r="DX16">
        <f t="array" ref="DX16">SUM(AM15:AO17*$DO$11:$DQ$13)+SUM(AM44:AO46*$DO$15:$DQ$17)</f>
        <v>-0.33672868898416308</v>
      </c>
      <c r="DY16">
        <f t="array" ref="DY16">SUM(AN15:AP17*$DO$11:$DQ$13)+SUM(AN44:AP46*$DO$15:$DQ$17)</f>
        <v>-0.9573298833709889</v>
      </c>
      <c r="DZ16">
        <f t="array" ref="DZ16">SUM(AO15:AQ17*$DO$11:$DQ$13)+SUM(AO44:AQ46*$DO$15:$DQ$17)</f>
        <v>-2.1492834534492147</v>
      </c>
      <c r="EA16">
        <f t="array" ref="EA16">SUM(AP15:AR17*$DO$11:$DQ$13)+SUM(AP44:AR46*$DO$15:$DQ$17)</f>
        <v>-3.6376835379194192</v>
      </c>
      <c r="EB16">
        <f t="array" ref="EB16">SUM(AQ15:AS17*$DO$11:$DQ$13)+SUM(AQ44:AS46*$DO$15:$DQ$17)</f>
        <v>-5.5900008071220864</v>
      </c>
      <c r="EC16">
        <f t="array" ref="EC16">SUM(AR15:AT17*$DO$11:$DQ$13)+SUM(AR44:AT46*$DO$15:$DQ$17)</f>
        <v>-7.1464333783719045</v>
      </c>
      <c r="ED16">
        <f t="array" ref="ED16">SUM(AS15:AU17*$DO$11:$DQ$13)+SUM(AS44:AU46*$DO$15:$DQ$17)</f>
        <v>-8.0853273990770198</v>
      </c>
      <c r="EE16">
        <f t="array" ref="EE16">SUM(AT15:AV17*$DO$11:$DQ$13)+SUM(AT44:AV46*$DO$15:$DQ$17)</f>
        <v>-8.798410892371491</v>
      </c>
      <c r="EF16">
        <f t="array" ref="EF16">SUM(AU15:AW17*$DO$11:$DQ$13)+SUM(AU44:AW46*$DO$15:$DQ$17)</f>
        <v>-10.038833485490713</v>
      </c>
      <c r="EG16">
        <f t="array" ref="EG16">SUM(AV15:AX17*$DO$11:$DQ$13)+SUM(AV44:AX46*$DO$15:$DQ$17)</f>
        <v>-11.484149114687014</v>
      </c>
      <c r="EH16">
        <f t="array" ref="EH16">SUM(AW15:AY17*$DO$11:$DQ$13)+SUM(AW44:AY46*$DO$15:$DQ$17)</f>
        <v>-10.822888503540602</v>
      </c>
      <c r="EI16">
        <f t="array" ref="EI16">SUM(AX15:AZ17*$DO$11:$DQ$13)+SUM(AX44:AZ46*$DO$15:$DQ$17)</f>
        <v>-7.338295488051938</v>
      </c>
      <c r="EJ16">
        <f t="array" ref="EJ16">SUM(AY15:BA17*$DO$11:$DQ$13)+SUM(AY44:BA46*$DO$15:$DQ$17)</f>
        <v>-0.59516967340615468</v>
      </c>
      <c r="EK16">
        <f t="array" ref="EK16">SUM(AZ15:BB17*$DO$11:$DQ$13)+SUM(AZ44:BB46*$DO$15:$DQ$17)</f>
        <v>5.8718799918150628</v>
      </c>
      <c r="EL16">
        <f t="array" ref="EL16">SUM(BA15:BC17*$DO$11:$DQ$13)+SUM(BA44:BC46*$DO$15:$DQ$17)</f>
        <v>7.078360819424554</v>
      </c>
      <c r="EM16">
        <f t="array" ref="EM16">SUM(BB15:BD17*$DO$11:$DQ$13)+SUM(BB44:BD46*$DO$15:$DQ$17)</f>
        <v>4.6783669463348954</v>
      </c>
      <c r="EN16">
        <f t="array" ref="EN16">SUM(BC15:BE17*$DO$11:$DQ$13)+SUM(BC44:BE46*$DO$15:$DQ$17)</f>
        <v>0.15681729687426937</v>
      </c>
      <c r="EO16">
        <f t="array" ref="EO16">SUM(BD15:BF17*$DO$11:$DQ$13)+SUM(BD44:BF46*$DO$15:$DQ$17)</f>
        <v>0</v>
      </c>
      <c r="EP16">
        <f t="array" ref="EP16">SUM(BE15:BG17*$DO$11:$DQ$13)+SUM(BE44:BG46*$DO$15:$DQ$17)</f>
        <v>0</v>
      </c>
      <c r="ES16" s="127">
        <f t="shared" ref="ES16" si="67">MAX(DS16:DT17)</f>
        <v>0</v>
      </c>
      <c r="ET16" s="127"/>
      <c r="EU16" s="127">
        <f t="shared" ref="EU16" si="68">MAX(DU16:DV17)</f>
        <v>0</v>
      </c>
      <c r="EV16" s="127"/>
      <c r="EW16" s="127">
        <f t="shared" ref="EW16" si="69">MAX(DW16:DX17)</f>
        <v>0</v>
      </c>
      <c r="EX16" s="127"/>
      <c r="EY16" s="127">
        <f t="shared" ref="EY16" si="70">MAX(DY16:DZ17)</f>
        <v>-0.9573298833709889</v>
      </c>
      <c r="EZ16" s="127"/>
      <c r="FA16" s="127">
        <f t="shared" ref="FA16" si="71">MAX(EA16:EB17)</f>
        <v>-3.6376835379194192</v>
      </c>
      <c r="FB16" s="127"/>
      <c r="FC16" s="127">
        <f t="shared" ref="FC16" si="72">MAX(EC16:ED17)</f>
        <v>-7.1464333783719045</v>
      </c>
      <c r="FD16" s="127"/>
      <c r="FE16" s="127">
        <f t="shared" ref="FE16" si="73">MAX(EE16:EF17)</f>
        <v>-6.1912636650908128</v>
      </c>
      <c r="FF16" s="127"/>
      <c r="FG16" s="127">
        <f t="shared" ref="FG16" si="74">MAX(EG16:EH17)</f>
        <v>-5.7323259315172095</v>
      </c>
      <c r="FH16" s="127"/>
      <c r="FI16" s="127">
        <f t="shared" ref="FI16" si="75">MAX(EI16:EJ17)</f>
        <v>0.68729979482832282</v>
      </c>
      <c r="FJ16" s="127"/>
      <c r="FK16" s="127">
        <f t="shared" ref="FK16" si="76">MAX(EK16:EL17)</f>
        <v>8.1837840520215188</v>
      </c>
      <c r="FL16" s="127"/>
      <c r="FM16" s="127">
        <f t="shared" ref="FM16" si="77">MAX(EM16:EN17)</f>
        <v>6.4775708881378637</v>
      </c>
      <c r="FN16" s="127"/>
      <c r="FO16" s="127">
        <f t="shared" ref="FO16" si="78">MAX(EO16:EP17)</f>
        <v>0</v>
      </c>
      <c r="FP16" s="127"/>
      <c r="FT16">
        <v>0.32165237461251606</v>
      </c>
      <c r="FV16">
        <v>0.23775123496417172</v>
      </c>
      <c r="FX16">
        <v>3.2312378486417992E-2</v>
      </c>
      <c r="FZ16">
        <v>0.20400724732789843</v>
      </c>
      <c r="GB16">
        <v>0.93314300946162754</v>
      </c>
      <c r="GD16">
        <v>0.49693086419250898</v>
      </c>
      <c r="GF16">
        <v>1.0525356064842728E-2</v>
      </c>
      <c r="GH16">
        <v>0.96269744786976363</v>
      </c>
      <c r="GJ16">
        <v>0.47286373540142357</v>
      </c>
      <c r="GL16">
        <v>0.39244621553859493</v>
      </c>
      <c r="GN16">
        <v>0.31131368342707411</v>
      </c>
      <c r="GP16">
        <v>4.3058060217683214E-2</v>
      </c>
      <c r="GR16">
        <v>0.2545382137449389</v>
      </c>
    </row>
    <row r="17" spans="1:200" ht="27.75" customHeight="1" x14ac:dyDescent="0.25">
      <c r="A17" s="78">
        <v>0</v>
      </c>
      <c r="B17" s="78">
        <v>0</v>
      </c>
      <c r="C17" s="78">
        <v>0</v>
      </c>
      <c r="D17" s="78">
        <v>0</v>
      </c>
      <c r="E17" s="78">
        <v>0</v>
      </c>
      <c r="F17" s="78">
        <v>0</v>
      </c>
      <c r="G17" s="78">
        <v>0</v>
      </c>
      <c r="H17" s="78">
        <v>0</v>
      </c>
      <c r="I17" s="78">
        <v>0</v>
      </c>
      <c r="J17" s="78">
        <v>0</v>
      </c>
      <c r="K17" s="78">
        <v>0</v>
      </c>
      <c r="L17" s="78">
        <v>9.8039224743842995E-2</v>
      </c>
      <c r="M17" s="78">
        <v>0.458823561668395</v>
      </c>
      <c r="N17" s="78">
        <v>0.89411771297454801</v>
      </c>
      <c r="O17" s="78">
        <v>0.89411771297454801</v>
      </c>
      <c r="P17" s="78">
        <v>0.89411771297454801</v>
      </c>
      <c r="Q17" s="78">
        <v>0.99215692281723</v>
      </c>
      <c r="R17" s="78">
        <v>0.99607849121093694</v>
      </c>
      <c r="S17" s="78">
        <v>0.99607849121093694</v>
      </c>
      <c r="T17" s="78">
        <v>0.99607849121093694</v>
      </c>
      <c r="U17" s="78">
        <v>0.99607849121093694</v>
      </c>
      <c r="V17" s="78">
        <v>0.94117653369903498</v>
      </c>
      <c r="W17" s="78">
        <v>0</v>
      </c>
      <c r="X17" s="78">
        <v>0</v>
      </c>
      <c r="Y17" s="78">
        <v>0</v>
      </c>
      <c r="Z17" s="78">
        <v>0</v>
      </c>
      <c r="AA17" s="78">
        <v>0</v>
      </c>
      <c r="AB17" s="78">
        <v>0</v>
      </c>
      <c r="AC17" s="79"/>
      <c r="AD17" s="79"/>
      <c r="AE17" s="79"/>
      <c r="AF17" s="79"/>
      <c r="AG17" s="79"/>
      <c r="AH17" s="1">
        <f t="array" ref="AH17">SUM(A16:C18*$AD$11:$AF$13)</f>
        <v>0</v>
      </c>
      <c r="AI17" s="1">
        <f t="array" ref="AI17">SUM(B16:D18*$AD$11:$AF$13)</f>
        <v>0</v>
      </c>
      <c r="AJ17" s="1">
        <f t="array" ref="AJ17">SUM(C16:E18*$AD$11:$AF$13)</f>
        <v>0</v>
      </c>
      <c r="AK17" s="1">
        <f t="array" ref="AK17">SUM(D16:F18*$AD$11:$AF$13)</f>
        <v>0</v>
      </c>
      <c r="AL17" s="1">
        <f t="array" ref="AL17">SUM(E16:G18*$AD$11:$AF$13)</f>
        <v>0</v>
      </c>
      <c r="AM17" s="1">
        <f t="array" ref="AM17">SUM(F16:H18*$AD$11:$AF$13)</f>
        <v>0</v>
      </c>
      <c r="AN17" s="1">
        <f t="array" ref="AN17">SUM(G16:I18*$AD$11:$AF$13)</f>
        <v>0</v>
      </c>
      <c r="AO17" s="1">
        <f t="array" ref="AO17">SUM(H16:J18*$AD$11:$AF$13)</f>
        <v>-0.266666680574417</v>
      </c>
      <c r="AP17" s="1">
        <f t="array" ref="AP17">SUM(I16:K18*$AD$11:$AF$13)</f>
        <v>-0.73333337903022699</v>
      </c>
      <c r="AQ17" s="1">
        <f t="array" ref="AQ17">SUM(J16:L18*$AD$11:$AF$13)</f>
        <v>-1.5960785448551169</v>
      </c>
      <c r="AR17" s="1">
        <f t="array" ref="AR17">SUM(K16:M18*$AD$11:$AF$13)</f>
        <v>-2.3254903554916369</v>
      </c>
      <c r="AS17" s="1">
        <f t="array" ref="AS17">SUM(L16:N18*$AD$11:$AF$13)</f>
        <v>-2.8549021482467638</v>
      </c>
      <c r="AT17" s="1">
        <f t="array" ref="AT17">SUM(M16:O18*$AD$11:$AF$13)</f>
        <v>-2.9882354736328107</v>
      </c>
      <c r="AU17" s="1">
        <f t="array" ref="AU17">SUM(N16:P18*$AD$11:$AF$13)</f>
        <v>-2.9882354736328107</v>
      </c>
      <c r="AV17" s="1">
        <f t="array" ref="AV17">SUM(O16:Q18*$AD$11:$AF$13)</f>
        <v>-2.5725491642951961</v>
      </c>
      <c r="AW17" s="1">
        <f t="array" ref="AW17">SUM(P16:R18*$AD$11:$AF$13)</f>
        <v>-1.9568628668785086</v>
      </c>
      <c r="AX17" s="1">
        <f t="array" ref="AX17">SUM(Q16:S18*$AD$11:$AF$13)</f>
        <v>-0.9607843756675718</v>
      </c>
      <c r="AY17" s="1">
        <f t="array" ref="AY17">SUM(R16:T18*$AD$11:$AF$13)</f>
        <v>-0.38039219379424982</v>
      </c>
      <c r="AZ17" s="1">
        <f t="array" ref="AZ17">SUM(S16:U18*$AD$11:$AF$13)</f>
        <v>-4.3137252330780251E-2</v>
      </c>
      <c r="BA17" s="1">
        <f t="array" ref="BA17">SUM(T16:V18*$AD$11:$AF$13)</f>
        <v>-0.40000000596046392</v>
      </c>
      <c r="BB17" s="1">
        <f t="array" ref="BB17">SUM(U16:W18*$AD$11:$AF$13)</f>
        <v>-0.40000000596046392</v>
      </c>
      <c r="BC17" s="1">
        <f t="array" ref="BC17">SUM(V16:X18*$AD$11:$AF$13)</f>
        <v>-0.356862753629684</v>
      </c>
      <c r="BD17" s="1">
        <f t="array" ref="BD17">SUM(W16:Y18*$AD$11:$AF$13)</f>
        <v>0</v>
      </c>
      <c r="BE17" s="1">
        <f t="array" ref="BE17">SUM(X16:Z18*$AD$11:$AF$13)</f>
        <v>0</v>
      </c>
      <c r="BF17" s="1">
        <f t="array" ref="BF17">SUM(Y16:AA18*$AD$11:$AF$13)</f>
        <v>0</v>
      </c>
      <c r="BG17" s="1">
        <f t="array" ref="BG17">SUM(Z16:AB18*$AD$11:$AF$13)</f>
        <v>0</v>
      </c>
      <c r="BH17" s="79"/>
      <c r="BI17" s="79"/>
      <c r="BJ17" s="79"/>
      <c r="BK17" s="1">
        <f t="shared" si="3"/>
        <v>0</v>
      </c>
      <c r="BL17" s="1">
        <f t="shared" si="3"/>
        <v>0</v>
      </c>
      <c r="BM17" s="1">
        <f t="shared" si="3"/>
        <v>0</v>
      </c>
      <c r="BN17" s="1">
        <f t="shared" si="3"/>
        <v>0</v>
      </c>
      <c r="BO17" s="1">
        <f t="shared" si="3"/>
        <v>0</v>
      </c>
      <c r="BP17" s="1">
        <f t="shared" si="3"/>
        <v>0</v>
      </c>
      <c r="BQ17" s="1">
        <f t="shared" si="3"/>
        <v>0</v>
      </c>
      <c r="BR17" s="1">
        <f t="shared" si="3"/>
        <v>0</v>
      </c>
      <c r="BS17" s="1">
        <f t="shared" si="3"/>
        <v>0</v>
      </c>
      <c r="BT17" s="1">
        <f t="shared" si="66"/>
        <v>0</v>
      </c>
      <c r="BU17" s="1">
        <f t="shared" si="66"/>
        <v>0</v>
      </c>
      <c r="BV17" s="1">
        <f t="shared" si="66"/>
        <v>0</v>
      </c>
      <c r="BW17" s="1">
        <f t="shared" si="66"/>
        <v>0</v>
      </c>
      <c r="BX17" s="1">
        <f t="shared" si="66"/>
        <v>0</v>
      </c>
      <c r="BY17" s="1">
        <f t="shared" si="66"/>
        <v>0</v>
      </c>
      <c r="BZ17" s="1">
        <f t="shared" si="66"/>
        <v>0</v>
      </c>
      <c r="CA17" s="1">
        <f t="shared" si="66"/>
        <v>0</v>
      </c>
      <c r="CB17" s="1">
        <f t="shared" si="66"/>
        <v>0</v>
      </c>
      <c r="CC17" s="1">
        <f t="shared" si="66"/>
        <v>0</v>
      </c>
      <c r="CD17" s="1">
        <f t="shared" si="66"/>
        <v>0</v>
      </c>
      <c r="CE17" s="1">
        <f t="shared" si="4"/>
        <v>0</v>
      </c>
      <c r="CF17" s="1">
        <f t="shared" si="1"/>
        <v>0</v>
      </c>
      <c r="CG17" s="1">
        <f t="shared" si="1"/>
        <v>0</v>
      </c>
      <c r="CH17" s="1">
        <f t="shared" si="2"/>
        <v>0</v>
      </c>
      <c r="CI17" s="1">
        <f t="shared" si="2"/>
        <v>0</v>
      </c>
      <c r="CJ17" s="1">
        <f t="shared" si="2"/>
        <v>0</v>
      </c>
      <c r="DO17">
        <v>0.31836998722082532</v>
      </c>
      <c r="DP17">
        <v>0.69615855742326493</v>
      </c>
      <c r="DQ17">
        <v>0.59184944920791149</v>
      </c>
      <c r="DS17">
        <f t="array" ref="DS17">SUM(AH16:AJ18*$DO$11:$DQ$13)+SUM(AH45:AJ47*$DO$15:$DQ$17)</f>
        <v>0</v>
      </c>
      <c r="DT17">
        <f t="array" ref="DT17">SUM(AI16:AK18*$DO$11:$DQ$13)+SUM(AI45:AK47*$DO$15:$DQ$17)</f>
        <v>0</v>
      </c>
      <c r="DU17">
        <f t="array" ref="DU17">SUM(AJ16:AL18*$DO$11:$DQ$13)+SUM(AJ45:AL47*$DO$15:$DQ$17)</f>
        <v>0</v>
      </c>
      <c r="DV17">
        <f t="array" ref="DV17">SUM(AK16:AM18*$DO$11:$DQ$13)+SUM(AK45:AM47*$DO$15:$DQ$17)</f>
        <v>-0.18322002028701356</v>
      </c>
      <c r="DW17">
        <f t="array" ref="DW17">SUM(AL16:AN18*$DO$11:$DQ$13)+SUM(AL45:AN47*$DO$15:$DQ$17)</f>
        <v>-1.1262689047395704</v>
      </c>
      <c r="DX17">
        <f t="array" ref="DX17">SUM(AM16:AO18*$DO$11:$DQ$13)+SUM(AM45:AO47*$DO$15:$DQ$17)</f>
        <v>-2.6921488231520359</v>
      </c>
      <c r="DY17">
        <f t="array" ref="DY17">SUM(AN16:AP18*$DO$11:$DQ$13)+SUM(AN45:AP47*$DO$15:$DQ$17)</f>
        <v>-4.4063447232641417</v>
      </c>
      <c r="DZ17">
        <f t="array" ref="DZ17">SUM(AO16:AQ18*$DO$11:$DQ$13)+SUM(AO45:AQ47*$DO$15:$DQ$17)</f>
        <v>-6.0434399174403204</v>
      </c>
      <c r="EA17">
        <f t="array" ref="EA17">SUM(AP16:AR18*$DO$11:$DQ$13)+SUM(AP45:AR47*$DO$15:$DQ$17)</f>
        <v>-7.9961584624580668</v>
      </c>
      <c r="EB17">
        <f t="array" ref="EB17">SUM(AQ16:AS18*$DO$11:$DQ$13)+SUM(AQ45:AS47*$DO$15:$DQ$17)</f>
        <v>-9.6899534565357808</v>
      </c>
      <c r="EC17">
        <f t="array" ref="EC17">SUM(AR16:AT18*$DO$11:$DQ$13)+SUM(AR45:AT47*$DO$15:$DQ$17)</f>
        <v>-10.095434302999543</v>
      </c>
      <c r="ED17">
        <f t="array" ref="ED17">SUM(AS16:AU18*$DO$11:$DQ$13)+SUM(AS45:AU47*$DO$15:$DQ$17)</f>
        <v>-9.0918400738098804</v>
      </c>
      <c r="EE17">
        <f t="array" ref="EE17">SUM(AT16:AV18*$DO$11:$DQ$13)+SUM(AT45:AV47*$DO$15:$DQ$17)</f>
        <v>-7.4223537376183097</v>
      </c>
      <c r="EF17">
        <f t="array" ref="EF17">SUM(AU16:AW18*$DO$11:$DQ$13)+SUM(AU45:AW47*$DO$15:$DQ$17)</f>
        <v>-6.1912636650908128</v>
      </c>
      <c r="EG17">
        <f t="array" ref="EG17">SUM(AV16:AX18*$DO$11:$DQ$13)+SUM(AV45:AX47*$DO$15:$DQ$17)</f>
        <v>-6.3270391907185584</v>
      </c>
      <c r="EH17">
        <f t="array" ref="EH17">SUM(AW16:AY18*$DO$11:$DQ$13)+SUM(AW45:AY47*$DO$15:$DQ$17)</f>
        <v>-5.7323259315172095</v>
      </c>
      <c r="EI17">
        <f t="array" ref="EI17">SUM(AX16:AZ18*$DO$11:$DQ$13)+SUM(AX45:AZ47*$DO$15:$DQ$17)</f>
        <v>-3.5523370454609418</v>
      </c>
      <c r="EJ17">
        <f t="array" ref="EJ17">SUM(AY16:BA18*$DO$11:$DQ$13)+SUM(AY45:BA47*$DO$15:$DQ$17)</f>
        <v>0.68729979482832282</v>
      </c>
      <c r="EK17">
        <f t="array" ref="EK17">SUM(AZ16:BB18*$DO$11:$DQ$13)+SUM(AZ45:BB47*$DO$15:$DQ$17)</f>
        <v>5.7758074743981851</v>
      </c>
      <c r="EL17">
        <f t="array" ref="EL17">SUM(BA16:BC18*$DO$11:$DQ$13)+SUM(BA45:BC47*$DO$15:$DQ$17)</f>
        <v>8.1837840520215188</v>
      </c>
      <c r="EM17">
        <f t="array" ref="EM17">SUM(BB16:BD18*$DO$11:$DQ$13)+SUM(BB45:BD47*$DO$15:$DQ$17)</f>
        <v>6.4775708881378637</v>
      </c>
      <c r="EN17">
        <f t="array" ref="EN17">SUM(BC16:BE18*$DO$11:$DQ$13)+SUM(BC45:BE47*$DO$15:$DQ$17)</f>
        <v>2.1274001666689211</v>
      </c>
      <c r="EO17">
        <f t="array" ref="EO17">SUM(BD16:BF18*$DO$11:$DQ$13)+SUM(BD45:BF47*$DO$15:$DQ$17)</f>
        <v>0</v>
      </c>
      <c r="EP17">
        <f t="array" ref="EP17">SUM(BE16:BG18*$DO$11:$DQ$13)+SUM(BE45:BG47*$DO$15:$DQ$17)</f>
        <v>0</v>
      </c>
      <c r="ES17" s="127"/>
      <c r="ET17" s="127"/>
      <c r="EU17" s="127"/>
      <c r="EV17" s="127"/>
      <c r="EW17" s="127"/>
      <c r="EX17" s="127"/>
      <c r="EY17" s="127"/>
      <c r="EZ17" s="127"/>
      <c r="FA17" s="127"/>
      <c r="FB17" s="127"/>
      <c r="FC17" s="127"/>
      <c r="FD17" s="127"/>
      <c r="FE17" s="127"/>
      <c r="FF17" s="127"/>
      <c r="FG17" s="127"/>
      <c r="FH17" s="127"/>
      <c r="FI17" s="127"/>
      <c r="FJ17" s="127"/>
      <c r="FK17" s="127"/>
      <c r="FL17" s="127"/>
      <c r="FM17" s="127"/>
      <c r="FN17" s="127"/>
      <c r="FO17" s="127"/>
      <c r="FP17" s="127"/>
    </row>
    <row r="18" spans="1:200" ht="27.75" customHeight="1" x14ac:dyDescent="0.25">
      <c r="A18" s="78">
        <v>0</v>
      </c>
      <c r="B18" s="78">
        <v>0</v>
      </c>
      <c r="C18" s="78">
        <v>0</v>
      </c>
      <c r="D18" s="78">
        <v>0</v>
      </c>
      <c r="E18" s="78">
        <v>0</v>
      </c>
      <c r="F18" s="78">
        <v>0</v>
      </c>
      <c r="G18" s="78">
        <v>0</v>
      </c>
      <c r="H18" s="78">
        <v>0</v>
      </c>
      <c r="I18" s="78">
        <v>0</v>
      </c>
      <c r="J18" s="78">
        <v>0.266666680574417</v>
      </c>
      <c r="K18" s="78">
        <v>0.46666669845580999</v>
      </c>
      <c r="L18" s="78">
        <v>0.86274516582489003</v>
      </c>
      <c r="M18" s="78">
        <v>0.99607849121093694</v>
      </c>
      <c r="N18" s="78">
        <v>0.99607849121093694</v>
      </c>
      <c r="O18" s="78">
        <v>0.99607849121093694</v>
      </c>
      <c r="P18" s="78">
        <v>0.99607849121093694</v>
      </c>
      <c r="Q18" s="78">
        <v>0.99607849121093694</v>
      </c>
      <c r="R18" s="78">
        <v>0.99607849121093694</v>
      </c>
      <c r="S18" s="78">
        <v>0.99607849121093694</v>
      </c>
      <c r="T18" s="78">
        <v>0.99607849121093694</v>
      </c>
      <c r="U18" s="78">
        <v>0.99607849121093694</v>
      </c>
      <c r="V18" s="78">
        <v>0.55686277151107699</v>
      </c>
      <c r="W18" s="78">
        <v>0</v>
      </c>
      <c r="X18" s="78">
        <v>0</v>
      </c>
      <c r="Y18" s="78">
        <v>0</v>
      </c>
      <c r="Z18" s="78">
        <v>0</v>
      </c>
      <c r="AA18" s="78">
        <v>0</v>
      </c>
      <c r="AB18" s="78">
        <v>0</v>
      </c>
      <c r="AC18" s="79"/>
      <c r="AD18" s="79"/>
      <c r="AE18" s="79"/>
      <c r="AF18" s="79"/>
      <c r="AG18" s="79"/>
      <c r="AH18" s="1">
        <f t="array" ref="AH18">SUM(A17:C19*$AD$11:$AF$13)</f>
        <v>0</v>
      </c>
      <c r="AI18" s="1">
        <f t="array" ref="AI18">SUM(B17:D19*$AD$11:$AF$13)</f>
        <v>0</v>
      </c>
      <c r="AJ18" s="1">
        <f t="array" ref="AJ18">SUM(C17:E19*$AD$11:$AF$13)</f>
        <v>0</v>
      </c>
      <c r="AK18" s="1">
        <f t="array" ref="AK18">SUM(D17:F19*$AD$11:$AF$13)</f>
        <v>0</v>
      </c>
      <c r="AL18" s="1">
        <f t="array" ref="AL18">SUM(E17:G19*$AD$11:$AF$13)</f>
        <v>0</v>
      </c>
      <c r="AM18" s="1">
        <f t="array" ref="AM18">SUM(F17:H19*$AD$11:$AF$13)</f>
        <v>-0.14509804546832999</v>
      </c>
      <c r="AN18" s="1">
        <f t="array" ref="AN18">SUM(G17:I19*$AD$11:$AF$13)</f>
        <v>-0.87843139469623499</v>
      </c>
      <c r="AO18" s="1">
        <f t="array" ref="AO18">SUM(H17:J19*$AD$11:$AF$13)</f>
        <v>-1.870588317513465</v>
      </c>
      <c r="AP18" s="1">
        <f t="array" ref="AP18">SUM(I17:K19*$AD$11:$AF$13)</f>
        <v>-2.7215687632560721</v>
      </c>
      <c r="AQ18" s="1">
        <f t="array" ref="AQ18">SUM(J17:L19*$AD$11:$AF$13)</f>
        <v>-2.8862746804952608</v>
      </c>
      <c r="AR18" s="1">
        <f t="array" ref="AR18">SUM(K17:M19*$AD$11:$AF$13)</f>
        <v>-2.431372687220573</v>
      </c>
      <c r="AS18" s="1">
        <f t="array" ref="AS18">SUM(L17:N19*$AD$11:$AF$13)</f>
        <v>-1.4156863540410987</v>
      </c>
      <c r="AT18" s="1">
        <f t="array" ref="AT18">SUM(M17:O19*$AD$11:$AF$13)</f>
        <v>-0.43137258291244507</v>
      </c>
      <c r="AU18" s="1">
        <f t="array" ref="AU18">SUM(N17:P19*$AD$11:$AF$13)</f>
        <v>0.19215685129165727</v>
      </c>
      <c r="AV18" s="1">
        <f t="array" ref="AV18">SUM(O17:Q19*$AD$11:$AF$13)</f>
        <v>0.8705882728099823</v>
      </c>
      <c r="AW18" s="1">
        <f t="array" ref="AW18">SUM(P17:R19*$AD$11:$AF$13)</f>
        <v>1.5137255787849422</v>
      </c>
      <c r="AX18" s="1">
        <f t="array" ref="AX18">SUM(Q17:S19*$AD$11:$AF$13)</f>
        <v>1.5803922414779659</v>
      </c>
      <c r="AY18" s="1">
        <f t="array" ref="AY18">SUM(R17:T19*$AD$11:$AF$13)</f>
        <v>0.88235297799110379</v>
      </c>
      <c r="AZ18" s="1">
        <f t="array" ref="AZ18">SUM(S17:U19*$AD$11:$AF$13)</f>
        <v>0.15294116735458385</v>
      </c>
      <c r="BA18" s="1">
        <f t="array" ref="BA18">SUM(T17:V19*$AD$11:$AF$13)</f>
        <v>0.48235297203063987</v>
      </c>
      <c r="BB18" s="1">
        <f t="array" ref="BB18">SUM(U17:W19*$AD$11:$AF$13)</f>
        <v>0.48235297203063987</v>
      </c>
      <c r="BC18" s="1">
        <f t="array" ref="BC18">SUM(V17:X19*$AD$11:$AF$13)</f>
        <v>0.48235297203063998</v>
      </c>
      <c r="BD18" s="1">
        <f t="array" ref="BD18">SUM(W17:Y19*$AD$11:$AF$13)</f>
        <v>0</v>
      </c>
      <c r="BE18" s="1">
        <f t="array" ref="BE18">SUM(X17:Z19*$AD$11:$AF$13)</f>
        <v>0</v>
      </c>
      <c r="BF18" s="1">
        <f t="array" ref="BF18">SUM(Y17:AA19*$AD$11:$AF$13)</f>
        <v>0</v>
      </c>
      <c r="BG18" s="1">
        <f t="array" ref="BG18">SUM(Z17:AB19*$AD$11:$AF$13)</f>
        <v>0</v>
      </c>
      <c r="BH18" s="79"/>
      <c r="BI18" s="79"/>
      <c r="BJ18" s="79"/>
      <c r="BK18" s="1">
        <f t="shared" si="3"/>
        <v>0</v>
      </c>
      <c r="BL18" s="1">
        <f t="shared" si="3"/>
        <v>0</v>
      </c>
      <c r="BM18" s="1">
        <f t="shared" si="3"/>
        <v>0</v>
      </c>
      <c r="BN18" s="1">
        <f t="shared" si="3"/>
        <v>0</v>
      </c>
      <c r="BO18" s="1">
        <f t="shared" si="3"/>
        <v>0</v>
      </c>
      <c r="BP18" s="1">
        <f t="shared" si="3"/>
        <v>0</v>
      </c>
      <c r="BQ18" s="1">
        <f t="shared" si="3"/>
        <v>0</v>
      </c>
      <c r="BR18" s="1">
        <f t="shared" si="3"/>
        <v>0</v>
      </c>
      <c r="BS18" s="1">
        <f t="shared" si="3"/>
        <v>0</v>
      </c>
      <c r="BT18" s="1">
        <f t="shared" si="66"/>
        <v>0</v>
      </c>
      <c r="BU18" s="1">
        <f t="shared" si="66"/>
        <v>0</v>
      </c>
      <c r="BV18" s="1">
        <f t="shared" si="66"/>
        <v>0</v>
      </c>
      <c r="BW18" s="1">
        <f t="shared" si="66"/>
        <v>0</v>
      </c>
      <c r="BX18" s="1">
        <f t="shared" si="66"/>
        <v>0.19215685129165727</v>
      </c>
      <c r="BY18" s="1">
        <f t="shared" si="66"/>
        <v>0.8705882728099823</v>
      </c>
      <c r="BZ18" s="1">
        <f t="shared" si="66"/>
        <v>1.5137255787849422</v>
      </c>
      <c r="CA18" s="1">
        <f t="shared" si="66"/>
        <v>1.5803922414779659</v>
      </c>
      <c r="CB18" s="1">
        <f t="shared" si="66"/>
        <v>0.88235297799110379</v>
      </c>
      <c r="CC18" s="1">
        <f t="shared" si="66"/>
        <v>0.15294116735458385</v>
      </c>
      <c r="CD18" s="1">
        <f t="shared" si="66"/>
        <v>0.48235297203063987</v>
      </c>
      <c r="CE18" s="1">
        <f t="shared" si="4"/>
        <v>0.48235297203063987</v>
      </c>
      <c r="CF18" s="1">
        <f t="shared" si="1"/>
        <v>0.48235297203063998</v>
      </c>
      <c r="CG18" s="1">
        <f t="shared" si="1"/>
        <v>0</v>
      </c>
      <c r="CH18" s="1">
        <f t="shared" si="2"/>
        <v>0</v>
      </c>
      <c r="CI18" s="1">
        <f t="shared" si="2"/>
        <v>0</v>
      </c>
      <c r="CJ18" s="1">
        <f t="shared" si="2"/>
        <v>0</v>
      </c>
      <c r="DS18">
        <f t="array" ref="DS18">SUM(AH17:AJ19*$DO$11:$DQ$13)+SUM(AH46:AJ48*$DO$15:$DQ$17)</f>
        <v>0</v>
      </c>
      <c r="DT18">
        <f t="array" ref="DT18">SUM(AI17:AK19*$DO$11:$DQ$13)+SUM(AI46:AK48*$DO$15:$DQ$17)</f>
        <v>0</v>
      </c>
      <c r="DU18">
        <f t="array" ref="DU18">SUM(AJ17:AL19*$DO$11:$DQ$13)+SUM(AJ46:AL48*$DO$15:$DQ$17)</f>
        <v>-0.55956386354051013</v>
      </c>
      <c r="DV18">
        <f t="array" ref="DV18">SUM(AK17:AM19*$DO$11:$DQ$13)+SUM(AK46:AM48*$DO$15:$DQ$17)</f>
        <v>-1.8327616793974579</v>
      </c>
      <c r="DW18">
        <f t="array" ref="DW18">SUM(AL17:AN19*$DO$11:$DQ$13)+SUM(AL46:AN48*$DO$15:$DQ$17)</f>
        <v>-3.9068975708442171</v>
      </c>
      <c r="DX18">
        <f t="array" ref="DX18">SUM(AM17:AO19*$DO$11:$DQ$13)+SUM(AM46:AO48*$DO$15:$DQ$17)</f>
        <v>-6.2727002502874596</v>
      </c>
      <c r="DY18">
        <f t="array" ref="DY18">SUM(AN17:AP19*$DO$11:$DQ$13)+SUM(AN46:AP48*$DO$15:$DQ$17)</f>
        <v>-8.4122548851042822</v>
      </c>
      <c r="DZ18">
        <f t="array" ref="DZ18">SUM(AO17:AQ19*$DO$11:$DQ$13)+SUM(AO46:AQ48*$DO$15:$DQ$17)</f>
        <v>-9.1871012017323981</v>
      </c>
      <c r="EA18">
        <f t="array" ref="EA18">SUM(AP17:AR19*$DO$11:$DQ$13)+SUM(AP46:AR48*$DO$15:$DQ$17)</f>
        <v>-9.0325435003968906</v>
      </c>
      <c r="EB18">
        <f t="array" ref="EB18">SUM(AQ17:AS19*$DO$11:$DQ$13)+SUM(AQ46:AS48*$DO$15:$DQ$17)</f>
        <v>-7.5170134549533998</v>
      </c>
      <c r="EC18">
        <f t="array" ref="EC18">SUM(AR17:AT19*$DO$11:$DQ$13)+SUM(AR46:AT48*$DO$15:$DQ$17)</f>
        <v>-5.1318952125183763</v>
      </c>
      <c r="ED18">
        <f t="array" ref="ED18">SUM(AS17:AU19*$DO$11:$DQ$13)+SUM(AS46:AU48*$DO$15:$DQ$17)</f>
        <v>-1.8337410629903217</v>
      </c>
      <c r="EE18">
        <f t="array" ref="EE18">SUM(AT17:AV19*$DO$11:$DQ$13)+SUM(AT46:AV48*$DO$15:$DQ$17)</f>
        <v>0.80418227785228069</v>
      </c>
      <c r="EF18">
        <f t="array" ref="EF18">SUM(AU17:AW19*$DO$11:$DQ$13)+SUM(AU46:AW48*$DO$15:$DQ$17)</f>
        <v>2.7770720144256238</v>
      </c>
      <c r="EG18">
        <f t="array" ref="EG18">SUM(AV17:AX19*$DO$11:$DQ$13)+SUM(AV46:AX48*$DO$15:$DQ$17)</f>
        <v>2.3981875467701568</v>
      </c>
      <c r="EH18">
        <f t="array" ref="EH18">SUM(AW17:AY19*$DO$11:$DQ$13)+SUM(AW46:AY48*$DO$15:$DQ$17)</f>
        <v>1.0717971276458162</v>
      </c>
      <c r="EI18">
        <f t="array" ref="EI18">SUM(AX17:AZ19*$DO$11:$DQ$13)+SUM(AX46:AZ48*$DO$15:$DQ$17)</f>
        <v>0.13986597107320842</v>
      </c>
      <c r="EJ18">
        <f t="array" ref="EJ18">SUM(AY17:BA19*$DO$11:$DQ$13)+SUM(AY46:BA48*$DO$15:$DQ$17)</f>
        <v>2.3762327778725796</v>
      </c>
      <c r="EK18">
        <f t="array" ref="EK18">SUM(AZ17:BB19*$DO$11:$DQ$13)+SUM(AZ46:BB48*$DO$15:$DQ$17)</f>
        <v>6.8956157814189432</v>
      </c>
      <c r="EL18">
        <f t="array" ref="EL18">SUM(BA17:BC19*$DO$11:$DQ$13)+SUM(BA46:BC48*$DO$15:$DQ$17)</f>
        <v>9.5596823701883906</v>
      </c>
      <c r="EM18">
        <f t="array" ref="EM18">SUM(BB17:BD19*$DO$11:$DQ$13)+SUM(BB46:BD48*$DO$15:$DQ$17)</f>
        <v>7.9436071290226176</v>
      </c>
      <c r="EN18">
        <f t="array" ref="EN18">SUM(BC17:BE19*$DO$11:$DQ$13)+SUM(BC46:BE48*$DO$15:$DQ$17)</f>
        <v>3.4407928217296462</v>
      </c>
      <c r="EO18">
        <f t="array" ref="EO18">SUM(BD17:BF19*$DO$11:$DQ$13)+SUM(BD46:BF48*$DO$15:$DQ$17)</f>
        <v>0</v>
      </c>
      <c r="EP18">
        <f t="array" ref="EP18">SUM(BE17:BG19*$DO$11:$DQ$13)+SUM(BE46:BG48*$DO$15:$DQ$17)</f>
        <v>0</v>
      </c>
      <c r="ES18" s="127">
        <f t="shared" ref="ES18" si="79">MAX(DS18:DT19)</f>
        <v>0</v>
      </c>
      <c r="ET18" s="127"/>
      <c r="EU18" s="127">
        <f t="shared" ref="EU18" si="80">MAX(DU18:DV19)</f>
        <v>-0.55956386354051013</v>
      </c>
      <c r="EV18" s="127"/>
      <c r="EW18" s="127">
        <f t="shared" ref="EW18" si="81">MAX(DW18:DX19)</f>
        <v>-3.9068975708442171</v>
      </c>
      <c r="EX18" s="127"/>
      <c r="EY18" s="127">
        <f t="shared" ref="EY18" si="82">MAX(DY18:DZ19)</f>
        <v>-5.684212977591848</v>
      </c>
      <c r="EZ18" s="127"/>
      <c r="FA18" s="127">
        <f t="shared" ref="FA18" si="83">MAX(EA18:EB19)</f>
        <v>1.0233998447648394</v>
      </c>
      <c r="FB18" s="127"/>
      <c r="FC18" s="127">
        <f t="shared" ref="FC18" si="84">MAX(EC18:ED19)</f>
        <v>6.6522839126619324</v>
      </c>
      <c r="FD18" s="127"/>
      <c r="FE18" s="127">
        <f t="shared" ref="FE18" si="85">MAX(EE18:EF19)</f>
        <v>9.2224935629726268</v>
      </c>
      <c r="FF18" s="127"/>
      <c r="FG18" s="127">
        <f t="shared" ref="FG18" si="86">MAX(EG18:EH19)</f>
        <v>6.6104009088491082</v>
      </c>
      <c r="FH18" s="127"/>
      <c r="FI18" s="127">
        <f t="shared" ref="FI18" si="87">MAX(EI18:EJ19)</f>
        <v>2.3762327778725796</v>
      </c>
      <c r="FJ18" s="127"/>
      <c r="FK18" s="127">
        <f t="shared" ref="FK18" si="88">MAX(EK18:EL19)</f>
        <v>10.457271245462403</v>
      </c>
      <c r="FL18" s="127"/>
      <c r="FM18" s="127">
        <f t="shared" ref="FM18" si="89">MAX(EM18:EN19)</f>
        <v>8.0291042301852471</v>
      </c>
      <c r="FN18" s="127"/>
      <c r="FO18" s="127">
        <f t="shared" ref="FO18" si="90">MAX(EO18:EP19)</f>
        <v>0</v>
      </c>
      <c r="FP18" s="127"/>
      <c r="FT18">
        <v>0.34682083128461438</v>
      </c>
      <c r="FV18">
        <v>0.30191584059428478</v>
      </c>
      <c r="FX18">
        <v>0.77582003973947178</v>
      </c>
      <c r="FZ18">
        <v>0.69267713551838894</v>
      </c>
      <c r="GB18">
        <v>0.24353514248337527</v>
      </c>
      <c r="GD18">
        <v>0.48696779270157209</v>
      </c>
      <c r="GF18">
        <v>0.27810442540866642</v>
      </c>
      <c r="GH18">
        <v>6.1622575686552938E-3</v>
      </c>
      <c r="GJ18">
        <v>0.57889949894462978</v>
      </c>
      <c r="GL18">
        <v>0.24173084835122194</v>
      </c>
      <c r="GN18">
        <v>0.9696367813694925</v>
      </c>
      <c r="GP18">
        <v>0.93270517170972389</v>
      </c>
      <c r="GR18">
        <v>0.7853924012925958</v>
      </c>
    </row>
    <row r="19" spans="1:200" ht="27.75" customHeight="1" x14ac:dyDescent="0.25">
      <c r="A19" s="78">
        <v>0</v>
      </c>
      <c r="B19" s="78">
        <v>0</v>
      </c>
      <c r="C19" s="78">
        <v>0</v>
      </c>
      <c r="D19" s="78">
        <v>0</v>
      </c>
      <c r="E19" s="78">
        <v>0</v>
      </c>
      <c r="F19" s="78">
        <v>0</v>
      </c>
      <c r="G19" s="78">
        <v>0</v>
      </c>
      <c r="H19" s="78">
        <v>0.14509804546832999</v>
      </c>
      <c r="I19" s="78">
        <v>0.73333334922790505</v>
      </c>
      <c r="J19" s="78">
        <v>0.99215692281723</v>
      </c>
      <c r="K19" s="78">
        <v>0.99607849121093694</v>
      </c>
      <c r="L19" s="78">
        <v>0.99607849121093694</v>
      </c>
      <c r="M19" s="78">
        <v>0.99607849121093694</v>
      </c>
      <c r="N19" s="78">
        <v>0.87450987100601096</v>
      </c>
      <c r="O19" s="78">
        <v>0.80784320831298795</v>
      </c>
      <c r="P19" s="78">
        <v>0.80784320831298795</v>
      </c>
      <c r="Q19" s="78">
        <v>0.29411765933036799</v>
      </c>
      <c r="R19" s="78">
        <v>0.266666680574417</v>
      </c>
      <c r="S19" s="78">
        <v>0.84313732385635298</v>
      </c>
      <c r="T19" s="78">
        <v>0.99607849121093694</v>
      </c>
      <c r="U19" s="78">
        <v>0.99607849121093694</v>
      </c>
      <c r="V19" s="78">
        <v>0.458823561668395</v>
      </c>
      <c r="W19" s="78">
        <v>0</v>
      </c>
      <c r="X19" s="78">
        <v>0</v>
      </c>
      <c r="Y19" s="78">
        <v>0</v>
      </c>
      <c r="Z19" s="78">
        <v>0</v>
      </c>
      <c r="AA19" s="78">
        <v>0</v>
      </c>
      <c r="AB19" s="78">
        <v>0</v>
      </c>
      <c r="AC19" s="79"/>
      <c r="AD19" s="79"/>
      <c r="AE19" s="79"/>
      <c r="AF19" s="79"/>
      <c r="AG19" s="79"/>
      <c r="AH19" s="1">
        <f t="array" ref="AH19">SUM(A18:C20*$AD$11:$AF$13)</f>
        <v>0</v>
      </c>
      <c r="AI19" s="1">
        <f t="array" ref="AI19">SUM(B18:D20*$AD$11:$AF$13)</f>
        <v>0</v>
      </c>
      <c r="AJ19" s="1">
        <f t="array" ref="AJ19">SUM(C18:E20*$AD$11:$AF$13)</f>
        <v>0</v>
      </c>
      <c r="AK19" s="1">
        <f t="array" ref="AK19">SUM(D18:F20*$AD$11:$AF$13)</f>
        <v>0</v>
      </c>
      <c r="AL19" s="1">
        <f t="array" ref="AL19">SUM(E18:G20*$AD$11:$AF$13)</f>
        <v>-0.44313728809356601</v>
      </c>
      <c r="AM19" s="1">
        <f t="array" ref="AM19">SUM(F18:H20*$AD$11:$AF$13)</f>
        <v>-1.301960885524748</v>
      </c>
      <c r="AN19" s="1">
        <f t="array" ref="AN19">SUM(G18:I20*$AD$11:$AF$13)</f>
        <v>-2.298039376735685</v>
      </c>
      <c r="AO19" s="1">
        <f t="array" ref="AO19">SUM(H18:J20*$AD$11:$AF$13)</f>
        <v>-2.5372550785541517</v>
      </c>
      <c r="AP19" s="1">
        <f t="array" ref="AP19">SUM(I18:K20*$AD$11:$AF$13)</f>
        <v>-2.1019609272480011</v>
      </c>
      <c r="AQ19" s="1">
        <f t="array" ref="AQ19">SUM(J18:L20*$AD$11:$AF$13)</f>
        <v>-0.69411769509315502</v>
      </c>
      <c r="AR19" s="1">
        <f t="array" ref="AR19">SUM(K18:M20*$AD$11:$AF$13)</f>
        <v>0.63529416918754578</v>
      </c>
      <c r="AS19" s="1">
        <f t="array" ref="AS19">SUM(L18:N20*$AD$11:$AF$13)</f>
        <v>1.9333334714174277</v>
      </c>
      <c r="AT19" s="1">
        <f t="array" ref="AT19">SUM(M18:O20*$AD$11:$AF$13)</f>
        <v>2.5176472216844559</v>
      </c>
      <c r="AU19" s="1">
        <f t="array" ref="AU19">SUM(N18:P20*$AD$11:$AF$13)</f>
        <v>2.8666668385267249</v>
      </c>
      <c r="AV19" s="1">
        <f t="array" ref="AV19">SUM(O18:Q20*$AD$11:$AF$13)</f>
        <v>2.9882354736328107</v>
      </c>
      <c r="AW19" s="1">
        <f t="array" ref="AW19">SUM(P18:R20*$AD$11:$AF$13)</f>
        <v>2.9882354736328107</v>
      </c>
      <c r="AX19" s="1">
        <f t="array" ref="AX19">SUM(Q18:S20*$AD$11:$AF$13)</f>
        <v>2.203921675682067</v>
      </c>
      <c r="AY19" s="1">
        <f t="array" ref="AY19">SUM(R18:T20*$AD$11:$AF$13)</f>
        <v>1.2078431844711299</v>
      </c>
      <c r="AZ19" s="1">
        <f t="array" ref="AZ19">SUM(S18:U20*$AD$11:$AF$13)</f>
        <v>0.2627450823783879</v>
      </c>
      <c r="BA19" s="1">
        <f t="array" ref="BA19">SUM(T18:V20*$AD$11:$AF$13)</f>
        <v>0.44705884158611298</v>
      </c>
      <c r="BB19" s="1">
        <f t="array" ref="BB19">SUM(U18:W20*$AD$11:$AF$13)</f>
        <v>0.44705884158611298</v>
      </c>
      <c r="BC19" s="1">
        <f t="array" ref="BC19">SUM(V18:X20*$AD$11:$AF$13)</f>
        <v>0.39607845246791795</v>
      </c>
      <c r="BD19" s="1">
        <f t="array" ref="BD19">SUM(W18:Y20*$AD$11:$AF$13)</f>
        <v>0</v>
      </c>
      <c r="BE19" s="1">
        <f t="array" ref="BE19">SUM(X18:Z20*$AD$11:$AF$13)</f>
        <v>0</v>
      </c>
      <c r="BF19" s="1">
        <f t="array" ref="BF19">SUM(Y18:AA20*$AD$11:$AF$13)</f>
        <v>0</v>
      </c>
      <c r="BG19" s="1">
        <f t="array" ref="BG19">SUM(Z18:AB20*$AD$11:$AF$13)</f>
        <v>0</v>
      </c>
      <c r="BH19" s="79"/>
      <c r="BI19" s="79"/>
      <c r="BJ19" s="79"/>
      <c r="BK19" s="1">
        <f t="shared" si="3"/>
        <v>0</v>
      </c>
      <c r="BL19" s="1">
        <f t="shared" si="3"/>
        <v>0</v>
      </c>
      <c r="BM19" s="1">
        <f t="shared" si="3"/>
        <v>0</v>
      </c>
      <c r="BN19" s="1">
        <f t="shared" si="3"/>
        <v>0</v>
      </c>
      <c r="BO19" s="1">
        <f t="shared" si="3"/>
        <v>0</v>
      </c>
      <c r="BP19" s="1">
        <f t="shared" si="3"/>
        <v>0</v>
      </c>
      <c r="BQ19" s="1">
        <f t="shared" si="3"/>
        <v>0</v>
      </c>
      <c r="BR19" s="1">
        <f t="shared" si="3"/>
        <v>0</v>
      </c>
      <c r="BS19" s="1">
        <f t="shared" si="3"/>
        <v>0</v>
      </c>
      <c r="BT19" s="1">
        <f t="shared" si="66"/>
        <v>0</v>
      </c>
      <c r="BU19" s="1">
        <f t="shared" si="66"/>
        <v>0.63529416918754578</v>
      </c>
      <c r="BV19" s="1">
        <f t="shared" si="66"/>
        <v>1.9333334714174277</v>
      </c>
      <c r="BW19" s="1">
        <f t="shared" si="66"/>
        <v>2.5176472216844559</v>
      </c>
      <c r="BX19" s="1">
        <f t="shared" si="66"/>
        <v>2.8666668385267249</v>
      </c>
      <c r="BY19" s="1">
        <f t="shared" si="66"/>
        <v>2.9882354736328107</v>
      </c>
      <c r="BZ19" s="1">
        <f t="shared" si="66"/>
        <v>2.9882354736328107</v>
      </c>
      <c r="CA19" s="1">
        <f t="shared" si="66"/>
        <v>2.203921675682067</v>
      </c>
      <c r="CB19" s="1">
        <f t="shared" si="66"/>
        <v>1.2078431844711299</v>
      </c>
      <c r="CC19" s="1">
        <f t="shared" si="66"/>
        <v>0.2627450823783879</v>
      </c>
      <c r="CD19" s="1">
        <f t="shared" si="66"/>
        <v>0.44705884158611298</v>
      </c>
      <c r="CE19" s="1">
        <f t="shared" si="4"/>
        <v>0.44705884158611298</v>
      </c>
      <c r="CF19" s="1">
        <f t="shared" si="4"/>
        <v>0.39607845246791795</v>
      </c>
      <c r="CG19" s="1">
        <f t="shared" si="4"/>
        <v>0</v>
      </c>
      <c r="CH19" s="1">
        <f t="shared" si="4"/>
        <v>0</v>
      </c>
      <c r="CI19" s="1">
        <f t="shared" si="4"/>
        <v>0</v>
      </c>
      <c r="CJ19" s="1">
        <f t="shared" si="4"/>
        <v>0</v>
      </c>
      <c r="DS19">
        <f t="array" ref="DS19">SUM(AH18:AJ20*$DO$11:$DQ$13)+SUM(AH47:AJ49*$DO$15:$DQ$17)</f>
        <v>0</v>
      </c>
      <c r="DT19">
        <f t="array" ref="DT19">SUM(AI18:AK20*$DO$11:$DQ$13)+SUM(AI47:AK49*$DO$15:$DQ$17)</f>
        <v>0</v>
      </c>
      <c r="DU19">
        <f t="array" ref="DU19">SUM(AJ18:AL20*$DO$11:$DQ$13)+SUM(AJ47:AL49*$DO$15:$DQ$17)</f>
        <v>-1.2542885400732304</v>
      </c>
      <c r="DV19">
        <f t="array" ref="DV19">SUM(AK18:AM20*$DO$11:$DQ$13)+SUM(AK47:AM49*$DO$15:$DQ$17)</f>
        <v>-3.8498620271643804</v>
      </c>
      <c r="DW19">
        <f t="array" ref="DW19">SUM(AL18:AN20*$DO$11:$DQ$13)+SUM(AL47:AN49*$DO$15:$DQ$17)</f>
        <v>-6.9486412558933397</v>
      </c>
      <c r="DX19">
        <f t="array" ref="DX19">SUM(AM18:AO20*$DO$11:$DQ$13)+SUM(AM47:AO49*$DO$15:$DQ$17)</f>
        <v>-8.5530653770485721</v>
      </c>
      <c r="DY19">
        <f t="array" ref="DY19">SUM(AN18:AP20*$DO$11:$DQ$13)+SUM(AN47:AP49*$DO$15:$DQ$17)</f>
        <v>-8.0234758805269166</v>
      </c>
      <c r="DZ19">
        <f t="array" ref="DZ19">SUM(AO18:AQ20*$DO$11:$DQ$13)+SUM(AO47:AQ49*$DO$15:$DQ$17)</f>
        <v>-5.684212977591848</v>
      </c>
      <c r="EA19">
        <f t="array" ref="EA19">SUM(AP18:AR20*$DO$11:$DQ$13)+SUM(AP47:AR49*$DO$15:$DQ$17)</f>
        <v>-2.2455753886749061</v>
      </c>
      <c r="EB19">
        <f t="array" ref="EB19">SUM(AQ18:AS20*$DO$11:$DQ$13)+SUM(AQ47:AS49*$DO$15:$DQ$17)</f>
        <v>1.0233998447648394</v>
      </c>
      <c r="EC19">
        <f t="array" ref="EC19">SUM(AR18:AT20*$DO$11:$DQ$13)+SUM(AR47:AT49*$DO$15:$DQ$17)</f>
        <v>3.9961499324748373</v>
      </c>
      <c r="ED19">
        <f t="array" ref="ED19">SUM(AS18:AU20*$DO$11:$DQ$13)+SUM(AS47:AU49*$DO$15:$DQ$17)</f>
        <v>6.6522839126619324</v>
      </c>
      <c r="EE19">
        <f t="array" ref="EE19">SUM(AT18:AV20*$DO$11:$DQ$13)+SUM(AT47:AV49*$DO$15:$DQ$17)</f>
        <v>8.4916789541276927</v>
      </c>
      <c r="EF19">
        <f t="array" ref="EF19">SUM(AU18:AW20*$DO$11:$DQ$13)+SUM(AU47:AW49*$DO$15:$DQ$17)</f>
        <v>9.2224935629726268</v>
      </c>
      <c r="EG19">
        <f t="array" ref="EG19">SUM(AV18:AX20*$DO$11:$DQ$13)+SUM(AV47:AX49*$DO$15:$DQ$17)</f>
        <v>6.6104009088491082</v>
      </c>
      <c r="EH19">
        <f t="array" ref="EH19">SUM(AW18:AY20*$DO$11:$DQ$13)+SUM(AW47:AY49*$DO$15:$DQ$17)</f>
        <v>2.2839286428865107</v>
      </c>
      <c r="EI19">
        <f t="array" ref="EI19">SUM(AX18:AZ20*$DO$11:$DQ$13)+SUM(AX47:AZ49*$DO$15:$DQ$17)</f>
        <v>-1.0698759691748365</v>
      </c>
      <c r="EJ19">
        <f t="array" ref="EJ19">SUM(AY18:BA20*$DO$11:$DQ$13)+SUM(AY47:BA49*$DO$15:$DQ$17)</f>
        <v>1.9147751645333109</v>
      </c>
      <c r="EK19">
        <f t="array" ref="EK19">SUM(AZ18:BB20*$DO$11:$DQ$13)+SUM(AZ47:BB49*$DO$15:$DQ$17)</f>
        <v>7.6759168477855608</v>
      </c>
      <c r="EL19">
        <f t="array" ref="EL19">SUM(BA18:BC20*$DO$11:$DQ$13)+SUM(BA47:BC49*$DO$15:$DQ$17)</f>
        <v>10.457271245462403</v>
      </c>
      <c r="EM19">
        <f t="array" ref="EM19">SUM(BB18:BD20*$DO$11:$DQ$13)+SUM(BB47:BD49*$DO$15:$DQ$17)</f>
        <v>8.0291042301852471</v>
      </c>
      <c r="EN19">
        <f t="array" ref="EN19">SUM(BC18:BE20*$DO$11:$DQ$13)+SUM(BC47:BE49*$DO$15:$DQ$17)</f>
        <v>3.4431922085356756</v>
      </c>
      <c r="EO19">
        <f t="array" ref="EO19">SUM(BD18:BF20*$DO$11:$DQ$13)+SUM(BD47:BF49*$DO$15:$DQ$17)</f>
        <v>0</v>
      </c>
      <c r="EP19">
        <f t="array" ref="EP19">SUM(BE18:BG20*$DO$11:$DQ$13)+SUM(BE47:BG49*$DO$15:$DQ$17)</f>
        <v>0</v>
      </c>
      <c r="ES19" s="127"/>
      <c r="ET19" s="127"/>
      <c r="EU19" s="127"/>
      <c r="EV19" s="127"/>
      <c r="EW19" s="127"/>
      <c r="EX19" s="127"/>
      <c r="EY19" s="127"/>
      <c r="EZ19" s="127"/>
      <c r="FA19" s="127"/>
      <c r="FB19" s="127"/>
      <c r="FC19" s="127"/>
      <c r="FD19" s="127"/>
      <c r="FE19" s="127"/>
      <c r="FF19" s="127"/>
      <c r="FG19" s="127"/>
      <c r="FH19" s="127"/>
      <c r="FI19" s="127"/>
      <c r="FJ19" s="127"/>
      <c r="FK19" s="127"/>
      <c r="FL19" s="127"/>
      <c r="FM19" s="127"/>
      <c r="FN19" s="127"/>
      <c r="FO19" s="127"/>
      <c r="FP19" s="127"/>
    </row>
    <row r="20" spans="1:200" ht="27.75" customHeight="1" x14ac:dyDescent="0.25">
      <c r="A20" s="78">
        <v>0</v>
      </c>
      <c r="B20" s="78">
        <v>0</v>
      </c>
      <c r="C20" s="78">
        <v>0</v>
      </c>
      <c r="D20" s="78">
        <v>0</v>
      </c>
      <c r="E20" s="78">
        <v>0</v>
      </c>
      <c r="F20" s="78">
        <v>0</v>
      </c>
      <c r="G20" s="78">
        <v>0.44313728809356601</v>
      </c>
      <c r="H20" s="78">
        <v>0.85882359743118197</v>
      </c>
      <c r="I20" s="78">
        <v>0.99607849121093694</v>
      </c>
      <c r="J20" s="78">
        <v>0.94901967048644997</v>
      </c>
      <c r="K20" s="78">
        <v>0.89019614458084095</v>
      </c>
      <c r="L20" s="78">
        <v>0.450980424880981</v>
      </c>
      <c r="M20" s="78">
        <v>0.34901961684226901</v>
      </c>
      <c r="N20" s="78">
        <v>0.121568635106086</v>
      </c>
      <c r="O20" s="78">
        <v>0</v>
      </c>
      <c r="P20" s="78">
        <v>0</v>
      </c>
      <c r="Q20" s="78">
        <v>0</v>
      </c>
      <c r="R20" s="78">
        <v>0</v>
      </c>
      <c r="S20" s="78">
        <v>0.78431379795074396</v>
      </c>
      <c r="T20" s="78">
        <v>0.99607849121093694</v>
      </c>
      <c r="U20" s="78">
        <v>0.94509810209274203</v>
      </c>
      <c r="V20" s="78">
        <v>0.16078431904315901</v>
      </c>
      <c r="W20" s="78">
        <v>0</v>
      </c>
      <c r="X20" s="78">
        <v>0</v>
      </c>
      <c r="Y20" s="78">
        <v>0</v>
      </c>
      <c r="Z20" s="78">
        <v>0</v>
      </c>
      <c r="AA20" s="78">
        <v>0</v>
      </c>
      <c r="AB20" s="78">
        <v>0</v>
      </c>
      <c r="AC20" s="79"/>
      <c r="AD20" s="79"/>
      <c r="AE20" s="79"/>
      <c r="AF20" s="79"/>
      <c r="AG20" s="79"/>
      <c r="AH20" s="1">
        <f t="array" ref="AH20">SUM(A19:C21*$AD$11:$AF$13)</f>
        <v>0</v>
      </c>
      <c r="AI20" s="1">
        <f t="array" ref="AI20">SUM(B19:D21*$AD$11:$AF$13)</f>
        <v>0</v>
      </c>
      <c r="AJ20" s="1">
        <f t="array" ref="AJ20">SUM(C19:E21*$AD$11:$AF$13)</f>
        <v>0</v>
      </c>
      <c r="AK20" s="1">
        <f t="array" ref="AK20">SUM(D19:F21*$AD$11:$AF$13)</f>
        <v>0</v>
      </c>
      <c r="AL20" s="1">
        <f t="array" ref="AL20">SUM(E19:G21*$AD$11:$AF$13)</f>
        <v>-0.66274511814117398</v>
      </c>
      <c r="AM20" s="1">
        <f t="array" ref="AM20">SUM(F19:H21*$AD$11:$AF$13)</f>
        <v>-1.513725563883781</v>
      </c>
      <c r="AN20" s="1">
        <f t="array" ref="AN20">SUM(G19:I21*$AD$11:$AF$13)</f>
        <v>-1.470588311553001</v>
      </c>
      <c r="AO20" s="1">
        <f t="array" ref="AO20">SUM(H19:J21*$AD$11:$AF$13)</f>
        <v>-5.8823540806769964E-2</v>
      </c>
      <c r="AP20" s="1">
        <f t="array" ref="AP20">SUM(I19:K21*$AD$11:$AF$13)</f>
        <v>1.7882353961467738</v>
      </c>
      <c r="AQ20" s="1">
        <f t="array" ref="AQ20">SUM(J19:L21*$AD$11:$AF$13)</f>
        <v>2.7411766350269309</v>
      </c>
      <c r="AR20" s="1">
        <f t="array" ref="AR20">SUM(K19:M21*$AD$11:$AF$13)</f>
        <v>2.9882354736328107</v>
      </c>
      <c r="AS20" s="1">
        <f t="array" ref="AS20">SUM(L19:N21*$AD$11:$AF$13)</f>
        <v>2.8666668534278847</v>
      </c>
      <c r="AT20" s="1">
        <f t="array" ref="AT20">SUM(M19:O21*$AD$11:$AF$13)</f>
        <v>2.678431570529936</v>
      </c>
      <c r="AU20" s="1">
        <f t="array" ref="AU20">SUM(N19:P21*$AD$11:$AF$13)</f>
        <v>2.4901962876319867</v>
      </c>
      <c r="AV20" s="1">
        <f t="array" ref="AV20">SUM(O19:Q21*$AD$11:$AF$13)</f>
        <v>1.9098040759563439</v>
      </c>
      <c r="AW20" s="1">
        <f t="array" ref="AW20">SUM(P19:R21*$AD$11:$AF$13)</f>
        <v>1.1803922355175021</v>
      </c>
      <c r="AX20" s="1">
        <f t="array" ref="AX20">SUM(Q19:S21*$AD$11:$AF$13)</f>
        <v>0.30980393290519703</v>
      </c>
      <c r="AY20" s="1">
        <f t="array" ref="AY20">SUM(R19:T21*$AD$11:$AF$13)</f>
        <v>1.5686273574829213E-2</v>
      </c>
      <c r="AZ20" s="1">
        <f t="array" ref="AZ20">SUM(S19:U21*$AD$11:$AF$13)</f>
        <v>1.568627357482888E-2</v>
      </c>
      <c r="BA20" s="1">
        <f t="array" ref="BA20">SUM(T19:V21*$AD$11:$AF$13)</f>
        <v>0.53725492954254073</v>
      </c>
      <c r="BB20" s="1">
        <f t="array" ref="BB20">SUM(U19:W21*$AD$11:$AF$13)</f>
        <v>0.53725492954254095</v>
      </c>
      <c r="BC20" s="1">
        <f t="array" ref="BC20">SUM(V19:X21*$AD$11:$AF$13)</f>
        <v>0.458823561668395</v>
      </c>
      <c r="BD20" s="1">
        <f t="array" ref="BD20">SUM(W19:Y21*$AD$11:$AF$13)</f>
        <v>0</v>
      </c>
      <c r="BE20" s="1">
        <f t="array" ref="BE20">SUM(X19:Z21*$AD$11:$AF$13)</f>
        <v>0</v>
      </c>
      <c r="BF20" s="1">
        <f t="array" ref="BF20">SUM(Y19:AA21*$AD$11:$AF$13)</f>
        <v>0</v>
      </c>
      <c r="BG20" s="1">
        <f t="array" ref="BG20">SUM(Z19:AB21*$AD$11:$AF$13)</f>
        <v>0</v>
      </c>
      <c r="BH20" s="79"/>
      <c r="BI20" s="79"/>
      <c r="BJ20" s="79"/>
      <c r="BK20" s="1">
        <f t="shared" si="3"/>
        <v>0</v>
      </c>
      <c r="BL20" s="1">
        <f t="shared" si="3"/>
        <v>0</v>
      </c>
      <c r="BM20" s="1">
        <f t="shared" si="3"/>
        <v>0</v>
      </c>
      <c r="BN20" s="1">
        <f t="shared" si="3"/>
        <v>0</v>
      </c>
      <c r="BO20" s="1">
        <f t="shared" si="3"/>
        <v>0</v>
      </c>
      <c r="BP20" s="1">
        <f t="shared" si="3"/>
        <v>0</v>
      </c>
      <c r="BQ20" s="1">
        <f t="shared" si="3"/>
        <v>0</v>
      </c>
      <c r="BR20" s="1">
        <f t="shared" si="3"/>
        <v>0</v>
      </c>
      <c r="BS20" s="1">
        <f t="shared" si="3"/>
        <v>1.7882353961467738</v>
      </c>
      <c r="BT20" s="1">
        <f t="shared" si="66"/>
        <v>2.7411766350269309</v>
      </c>
      <c r="BU20" s="1">
        <f t="shared" si="66"/>
        <v>2.9882354736328107</v>
      </c>
      <c r="BV20" s="1">
        <f t="shared" si="66"/>
        <v>2.8666668534278847</v>
      </c>
      <c r="BW20" s="1">
        <f t="shared" si="66"/>
        <v>2.678431570529936</v>
      </c>
      <c r="BX20" s="1">
        <f t="shared" si="66"/>
        <v>2.4901962876319867</v>
      </c>
      <c r="BY20" s="1">
        <f t="shared" si="66"/>
        <v>1.9098040759563439</v>
      </c>
      <c r="BZ20" s="1">
        <f t="shared" si="66"/>
        <v>1.1803922355175021</v>
      </c>
      <c r="CA20" s="1">
        <f t="shared" si="66"/>
        <v>0.30980393290519703</v>
      </c>
      <c r="CB20" s="1">
        <f t="shared" si="66"/>
        <v>1.5686273574829213E-2</v>
      </c>
      <c r="CC20" s="1">
        <f t="shared" si="66"/>
        <v>1.568627357482888E-2</v>
      </c>
      <c r="CD20" s="1">
        <f t="shared" si="66"/>
        <v>0.53725492954254073</v>
      </c>
      <c r="CE20" s="1">
        <f t="shared" si="4"/>
        <v>0.53725492954254095</v>
      </c>
      <c r="CF20" s="1">
        <f t="shared" si="4"/>
        <v>0.458823561668395</v>
      </c>
      <c r="CG20" s="1">
        <f t="shared" si="4"/>
        <v>0</v>
      </c>
      <c r="CH20" s="1">
        <f t="shared" si="4"/>
        <v>0</v>
      </c>
      <c r="CI20" s="1">
        <f t="shared" si="4"/>
        <v>0</v>
      </c>
      <c r="CJ20" s="1">
        <f t="shared" si="4"/>
        <v>0</v>
      </c>
      <c r="DS20">
        <f t="array" ref="DS20">SUM(AH19:AJ21*$DO$11:$DQ$13)+SUM(AH48:AJ50*$DO$15:$DQ$17)</f>
        <v>0</v>
      </c>
      <c r="DT20">
        <f t="array" ref="DT20">SUM(AI19:AK21*$DO$11:$DQ$13)+SUM(AI48:AK50*$DO$15:$DQ$17)</f>
        <v>0</v>
      </c>
      <c r="DU20">
        <f t="array" ref="DU20">SUM(AJ19:AL21*$DO$11:$DQ$13)+SUM(AJ48:AL50*$DO$15:$DQ$17)</f>
        <v>-1.1685450153118944</v>
      </c>
      <c r="DV20">
        <f t="array" ref="DV20">SUM(AK19:AM21*$DO$11:$DQ$13)+SUM(AK48:AM50*$DO$15:$DQ$17)</f>
        <v>-4.2831499734273999</v>
      </c>
      <c r="DW20">
        <f t="array" ref="DW20">SUM(AL19:AN21*$DO$11:$DQ$13)+SUM(AL48:AN50*$DO$15:$DQ$17)</f>
        <v>-6.6063159610902336</v>
      </c>
      <c r="DX20">
        <f t="array" ref="DX20">SUM(AM19:AO21*$DO$11:$DQ$13)+SUM(AM48:AO50*$DO$15:$DQ$17)</f>
        <v>-5.8759012131857631</v>
      </c>
      <c r="DY20">
        <f t="array" ref="DY20">SUM(AN19:AP21*$DO$11:$DQ$13)+SUM(AN48:AP50*$DO$15:$DQ$17)</f>
        <v>-1.6725313924247471</v>
      </c>
      <c r="DZ20">
        <f t="array" ref="DZ20">SUM(AO19:AQ21*$DO$11:$DQ$13)+SUM(AO48:AQ50*$DO$15:$DQ$17)</f>
        <v>2.780550914597046</v>
      </c>
      <c r="EA20">
        <f t="array" ref="EA20">SUM(AP19:AR21*$DO$11:$DQ$13)+SUM(AP48:AR50*$DO$15:$DQ$17)</f>
        <v>6.7085534455756965</v>
      </c>
      <c r="EB20">
        <f t="array" ref="EB20">SUM(AQ19:AS21*$DO$11:$DQ$13)+SUM(AQ48:AS50*$DO$15:$DQ$17)</f>
        <v>8.4812961913935041</v>
      </c>
      <c r="EC20">
        <f t="array" ref="EC20">SUM(AR19:AT21*$DO$11:$DQ$13)+SUM(AR48:AT50*$DO$15:$DQ$17)</f>
        <v>9.0196856508434102</v>
      </c>
      <c r="ED20">
        <f t="array" ref="ED20">SUM(AS19:AU21*$DO$11:$DQ$13)+SUM(AS48:AU50*$DO$15:$DQ$17)</f>
        <v>8.6963639141822551</v>
      </c>
      <c r="EE20">
        <f t="array" ref="EE20">SUM(AT19:AV21*$DO$11:$DQ$13)+SUM(AT48:AV50*$DO$15:$DQ$17)</f>
        <v>8.416358579159251</v>
      </c>
      <c r="EF20">
        <f t="array" ref="EF20">SUM(AU19:AW21*$DO$11:$DQ$13)+SUM(AU48:AW50*$DO$15:$DQ$17)</f>
        <v>6.880840713653372</v>
      </c>
      <c r="EG20">
        <f t="array" ref="EG20">SUM(AV19:AX21*$DO$11:$DQ$13)+SUM(AV48:AX50*$DO$15:$DQ$17)</f>
        <v>2.495484583174604</v>
      </c>
      <c r="EH20">
        <f t="array" ref="EH20">SUM(AW19:AY21*$DO$11:$DQ$13)+SUM(AW48:AY50*$DO$15:$DQ$17)</f>
        <v>-2.8682506035551989</v>
      </c>
      <c r="EI20">
        <f t="array" ref="EI20">SUM(AX19:AZ21*$DO$11:$DQ$13)+SUM(AX48:AZ50*$DO$15:$DQ$17)</f>
        <v>-5.2471883160385504</v>
      </c>
      <c r="EJ20">
        <f t="array" ref="EJ20">SUM(AY19:BA21*$DO$11:$DQ$13)+SUM(AY48:BA50*$DO$15:$DQ$17)</f>
        <v>0.34095488382380135</v>
      </c>
      <c r="EK20">
        <f t="array" ref="EK20">SUM(AZ19:BB21*$DO$11:$DQ$13)+SUM(AZ48:BB50*$DO$15:$DQ$17)</f>
        <v>8.1187997132055401</v>
      </c>
      <c r="EL20">
        <f t="array" ref="EL20">SUM(BA19:BC21*$DO$11:$DQ$13)+SUM(BA48:BC50*$DO$15:$DQ$17)</f>
        <v>10.2219604398933</v>
      </c>
      <c r="EM20">
        <f t="array" ref="EM20">SUM(BB19:BD21*$DO$11:$DQ$13)+SUM(BB48:BD50*$DO$15:$DQ$17)</f>
        <v>7.0254507365329193</v>
      </c>
      <c r="EN20">
        <f t="array" ref="EN20">SUM(BC19:BE21*$DO$11:$DQ$13)+SUM(BC48:BE50*$DO$15:$DQ$17)</f>
        <v>2.1049336512948922</v>
      </c>
      <c r="EO20">
        <f t="array" ref="EO20">SUM(BD19:BF21*$DO$11:$DQ$13)+SUM(BD48:BF50*$DO$15:$DQ$17)</f>
        <v>0</v>
      </c>
      <c r="EP20">
        <f t="array" ref="EP20">SUM(BE19:BG21*$DO$11:$DQ$13)+SUM(BE48:BG50*$DO$15:$DQ$17)</f>
        <v>0</v>
      </c>
      <c r="ES20" s="127">
        <f t="shared" ref="ES20" si="91">MAX(DS20:DT21)</f>
        <v>0</v>
      </c>
      <c r="ET20" s="127"/>
      <c r="EU20" s="127">
        <f t="shared" ref="EU20" si="92">MAX(DU20:DV21)</f>
        <v>-1.1015334087213051</v>
      </c>
      <c r="EV20" s="127"/>
      <c r="EW20" s="127">
        <f t="shared" ref="EW20" si="93">MAX(DW20:DX21)</f>
        <v>6.8174740390607447E-3</v>
      </c>
      <c r="EX20" s="127"/>
      <c r="EY20" s="127">
        <f t="shared" ref="EY20" si="94">MAX(DY20:DZ21)</f>
        <v>9.0762389547102007</v>
      </c>
      <c r="EZ20" s="127"/>
      <c r="FA20" s="127">
        <f t="shared" ref="FA20" si="95">MAX(EA20:EB21)</f>
        <v>9.1602950610885774</v>
      </c>
      <c r="FB20" s="127"/>
      <c r="FC20" s="127">
        <f t="shared" ref="FC20" si="96">MAX(EC20:ED21)</f>
        <v>9.0196856508434102</v>
      </c>
      <c r="FD20" s="127"/>
      <c r="FE20" s="127">
        <f t="shared" ref="FE20" si="97">MAX(EE20:EF21)</f>
        <v>8.416358579159251</v>
      </c>
      <c r="FF20" s="127"/>
      <c r="FG20" s="127">
        <f t="shared" ref="FG20" si="98">MAX(EG20:EH21)</f>
        <v>2.495484583174604</v>
      </c>
      <c r="FH20" s="127"/>
      <c r="FI20" s="127">
        <f t="shared" ref="FI20" si="99">MAX(EI20:EJ21)</f>
        <v>0.45761932900182778</v>
      </c>
      <c r="FJ20" s="127"/>
      <c r="FK20" s="127">
        <f t="shared" ref="FK20" si="100">MAX(EK20:EL21)</f>
        <v>10.2219604398933</v>
      </c>
      <c r="FL20" s="127"/>
      <c r="FM20" s="127">
        <f t="shared" ref="FM20" si="101">MAX(EM20:EN21)</f>
        <v>7.0254507365329193</v>
      </c>
      <c r="FN20" s="127"/>
      <c r="FO20" s="127">
        <f t="shared" ref="FO20" si="102">MAX(EO20:EP21)</f>
        <v>0</v>
      </c>
      <c r="FP20" s="127"/>
      <c r="FT20">
        <v>0.98073088343709425</v>
      </c>
      <c r="FV20">
        <v>0.32817347666986085</v>
      </c>
      <c r="FX20">
        <v>0.78804607988783526</v>
      </c>
      <c r="FZ20">
        <v>0.75772396201334435</v>
      </c>
      <c r="GB20">
        <v>0.68449583019081073</v>
      </c>
      <c r="GD20">
        <v>0.72812810833585606</v>
      </c>
      <c r="GF20">
        <v>0.34702091986819572</v>
      </c>
      <c r="GH20">
        <v>1.5960857384115346E-2</v>
      </c>
      <c r="GJ20">
        <v>0.89273517125771085</v>
      </c>
      <c r="GL20">
        <v>0.97872963873814678</v>
      </c>
      <c r="GN20">
        <v>0.45348830584485089</v>
      </c>
      <c r="GP20">
        <v>0.66580334173803202</v>
      </c>
      <c r="GR20">
        <v>0.70137004323189511</v>
      </c>
    </row>
    <row r="21" spans="1:200" ht="27.75" customHeight="1" x14ac:dyDescent="0.25">
      <c r="A21" s="78">
        <v>0</v>
      </c>
      <c r="B21" s="78">
        <v>0</v>
      </c>
      <c r="C21" s="78">
        <v>0</v>
      </c>
      <c r="D21" s="78">
        <v>0</v>
      </c>
      <c r="E21" s="78">
        <v>0</v>
      </c>
      <c r="F21" s="78">
        <v>0</v>
      </c>
      <c r="G21" s="78">
        <v>0.66274511814117398</v>
      </c>
      <c r="H21" s="78">
        <v>0.99607849121093694</v>
      </c>
      <c r="I21" s="78">
        <v>0.69019609689712502</v>
      </c>
      <c r="J21" s="78">
        <v>0.24313727021217299</v>
      </c>
      <c r="K21" s="78">
        <v>0</v>
      </c>
      <c r="L21" s="78">
        <v>0</v>
      </c>
      <c r="M21" s="78">
        <v>0</v>
      </c>
      <c r="N21" s="78">
        <v>0</v>
      </c>
      <c r="O21" s="78">
        <v>0</v>
      </c>
      <c r="P21" s="78">
        <v>0</v>
      </c>
      <c r="Q21" s="78">
        <v>0</v>
      </c>
      <c r="R21" s="78">
        <v>0.188235312700271</v>
      </c>
      <c r="S21" s="78">
        <v>0.90588241815567005</v>
      </c>
      <c r="T21" s="78">
        <v>0.99607849121093694</v>
      </c>
      <c r="U21" s="78">
        <v>0.91764712333679099</v>
      </c>
      <c r="V21" s="78">
        <v>0</v>
      </c>
      <c r="W21" s="78">
        <v>0</v>
      </c>
      <c r="X21" s="78">
        <v>0</v>
      </c>
      <c r="Y21" s="78">
        <v>0</v>
      </c>
      <c r="Z21" s="78">
        <v>0</v>
      </c>
      <c r="AA21" s="78">
        <v>0</v>
      </c>
      <c r="AB21" s="78">
        <v>0</v>
      </c>
      <c r="AC21" s="79"/>
      <c r="AD21" s="79"/>
      <c r="AE21" s="79"/>
      <c r="AF21" s="79"/>
      <c r="AG21" s="79"/>
      <c r="AH21" s="1">
        <f t="array" ref="AH21">SUM(A20:C22*$AD$11:$AF$13)</f>
        <v>0</v>
      </c>
      <c r="AI21" s="1">
        <f t="array" ref="AI21">SUM(B20:D22*$AD$11:$AF$13)</f>
        <v>0</v>
      </c>
      <c r="AJ21" s="1">
        <f t="array" ref="AJ21">SUM(C20:E22*$AD$11:$AF$13)</f>
        <v>0</v>
      </c>
      <c r="AK21" s="1">
        <f t="array" ref="AK21">SUM(D20:F22*$AD$11:$AF$13)</f>
        <v>0</v>
      </c>
      <c r="AL21" s="1">
        <f t="array" ref="AL21">SUM(E20:G22*$AD$11:$AF$13)</f>
        <v>0.37254904955625451</v>
      </c>
      <c r="AM21" s="1">
        <f t="array" ref="AM21">SUM(F20:H22*$AD$11:$AF$13)</f>
        <v>0.74509810656309039</v>
      </c>
      <c r="AN21" s="1">
        <f t="array" ref="AN21">SUM(G20:I22*$AD$11:$AF$13)</f>
        <v>1.7411765977740274</v>
      </c>
      <c r="AO21" s="1">
        <f t="array" ref="AO21">SUM(H20:J22*$AD$11:$AF$13)</f>
        <v>2.3176472187042227</v>
      </c>
      <c r="AP21" s="1">
        <f t="array" ref="AP21">SUM(I20:K22*$AD$11:$AF$13)</f>
        <v>2.8352943062782279</v>
      </c>
      <c r="AQ21" s="1">
        <f t="array" ref="AQ21">SUM(J20:L22*$AD$11:$AF$13)</f>
        <v>2.2901962399482718</v>
      </c>
      <c r="AR21" s="1">
        <f t="array" ref="AR21">SUM(K20:M22*$AD$11:$AF$13)</f>
        <v>1.6901961863040911</v>
      </c>
      <c r="AS21" s="1">
        <f t="array" ref="AS21">SUM(L20:N22*$AD$11:$AF$13)</f>
        <v>0.92156867682933596</v>
      </c>
      <c r="AT21" s="1">
        <f t="array" ref="AT21">SUM(M20:O22*$AD$11:$AF$13)</f>
        <v>0.47058825194835502</v>
      </c>
      <c r="AU21" s="1">
        <f t="array" ref="AU21">SUM(N20:P22*$AD$11:$AF$13)</f>
        <v>0.121568635106086</v>
      </c>
      <c r="AV21" s="1">
        <f t="array" ref="AV21">SUM(O20:Q22*$AD$11:$AF$13)</f>
        <v>0</v>
      </c>
      <c r="AW21" s="1">
        <f t="array" ref="AW21">SUM(P20:R22*$AD$11:$AF$13)</f>
        <v>-0.32941177487373302</v>
      </c>
      <c r="AX21" s="1">
        <f t="array" ref="AX21">SUM(Q20:S22*$AD$11:$AF$13)</f>
        <v>-0.54117646813392595</v>
      </c>
      <c r="AY21" s="1">
        <f t="array" ref="AY21">SUM(R20:T22*$AD$11:$AF$13)</f>
        <v>-0.54117646813392617</v>
      </c>
      <c r="AZ21" s="1">
        <f t="array" ref="AZ21">SUM(S20:U22*$AD$11:$AF$13)</f>
        <v>8.2352995872496781E-2</v>
      </c>
      <c r="BA21" s="1">
        <f t="array" ref="BA21">SUM(T20:V22*$AD$11:$AF$13)</f>
        <v>0.45490200817584903</v>
      </c>
      <c r="BB21" s="1">
        <f t="array" ref="BB21">SUM(U20:W22*$AD$11:$AF$13)</f>
        <v>0.45490200817584903</v>
      </c>
      <c r="BC21" s="1">
        <f t="array" ref="BC21">SUM(V20:X22*$AD$11:$AF$13)</f>
        <v>0.16078431904315901</v>
      </c>
      <c r="BD21" s="1">
        <f t="array" ref="BD21">SUM(W20:Y22*$AD$11:$AF$13)</f>
        <v>0</v>
      </c>
      <c r="BE21" s="1">
        <f t="array" ref="BE21">SUM(X20:Z22*$AD$11:$AF$13)</f>
        <v>0</v>
      </c>
      <c r="BF21" s="1">
        <f t="array" ref="BF21">SUM(Y20:AA22*$AD$11:$AF$13)</f>
        <v>0</v>
      </c>
      <c r="BG21" s="1">
        <f t="array" ref="BG21">SUM(Z20:AB22*$AD$11:$AF$13)</f>
        <v>0</v>
      </c>
      <c r="BH21" s="79"/>
      <c r="BI21" s="79"/>
      <c r="BJ21" s="79"/>
      <c r="BK21" s="1">
        <f t="shared" si="3"/>
        <v>0</v>
      </c>
      <c r="BL21" s="1">
        <f t="shared" si="3"/>
        <v>0</v>
      </c>
      <c r="BM21" s="1">
        <f t="shared" si="3"/>
        <v>0</v>
      </c>
      <c r="BN21" s="1">
        <f t="shared" si="3"/>
        <v>0</v>
      </c>
      <c r="BO21" s="1">
        <f t="shared" si="3"/>
        <v>0.37254904955625451</v>
      </c>
      <c r="BP21" s="1">
        <f t="shared" si="3"/>
        <v>0.74509810656309039</v>
      </c>
      <c r="BQ21" s="1">
        <f t="shared" si="3"/>
        <v>1.7411765977740274</v>
      </c>
      <c r="BR21" s="1">
        <f t="shared" si="3"/>
        <v>2.3176472187042227</v>
      </c>
      <c r="BS21" s="1">
        <f t="shared" si="3"/>
        <v>2.8352943062782279</v>
      </c>
      <c r="BT21" s="1">
        <f t="shared" si="66"/>
        <v>2.2901962399482718</v>
      </c>
      <c r="BU21" s="1">
        <f t="shared" si="66"/>
        <v>1.6901961863040911</v>
      </c>
      <c r="BV21" s="1">
        <f t="shared" si="66"/>
        <v>0.92156867682933596</v>
      </c>
      <c r="BW21" s="1">
        <f t="shared" si="66"/>
        <v>0.47058825194835502</v>
      </c>
      <c r="BX21" s="1">
        <f t="shared" si="66"/>
        <v>0.121568635106086</v>
      </c>
      <c r="BY21" s="1">
        <f t="shared" si="66"/>
        <v>0</v>
      </c>
      <c r="BZ21" s="1">
        <f t="shared" si="66"/>
        <v>0</v>
      </c>
      <c r="CA21" s="1">
        <f t="shared" si="66"/>
        <v>0</v>
      </c>
      <c r="CB21" s="1">
        <f t="shared" si="66"/>
        <v>0</v>
      </c>
      <c r="CC21" s="1">
        <f t="shared" si="66"/>
        <v>8.2352995872496781E-2</v>
      </c>
      <c r="CD21" s="1">
        <f t="shared" si="66"/>
        <v>0.45490200817584903</v>
      </c>
      <c r="CE21" s="1">
        <f t="shared" si="4"/>
        <v>0.45490200817584903</v>
      </c>
      <c r="CF21" s="1">
        <f t="shared" si="4"/>
        <v>0.16078431904315901</v>
      </c>
      <c r="CG21" s="1">
        <f t="shared" si="4"/>
        <v>0</v>
      </c>
      <c r="CH21" s="1">
        <f t="shared" si="4"/>
        <v>0</v>
      </c>
      <c r="CI21" s="1">
        <f t="shared" si="4"/>
        <v>0</v>
      </c>
      <c r="CJ21" s="1">
        <f t="shared" si="4"/>
        <v>0</v>
      </c>
      <c r="DS21">
        <f t="array" ref="DS21">SUM(AH20:AJ22*$DO$11:$DQ$13)+SUM(AH49:AJ51*$DO$15:$DQ$17)</f>
        <v>0</v>
      </c>
      <c r="DT21">
        <f t="array" ref="DT21">SUM(AI20:AK22*$DO$11:$DQ$13)+SUM(AI49:AK51*$DO$15:$DQ$17)</f>
        <v>0</v>
      </c>
      <c r="DU21">
        <f t="array" ref="DU21">SUM(AJ20:AL22*$DO$11:$DQ$13)+SUM(AJ49:AL51*$DO$15:$DQ$17)</f>
        <v>-1.1015334087213051</v>
      </c>
      <c r="DV21">
        <f t="array" ref="DV21">SUM(AK20:AM22*$DO$11:$DQ$13)+SUM(AK49:AM51*$DO$15:$DQ$17)</f>
        <v>-3.2322717569797446</v>
      </c>
      <c r="DW21">
        <f t="array" ref="DW21">SUM(AL20:AN22*$DO$11:$DQ$13)+SUM(AL49:AN51*$DO$15:$DQ$17)</f>
        <v>-3.4770723572499427</v>
      </c>
      <c r="DX21">
        <f t="array" ref="DX21">SUM(AM20:AO22*$DO$11:$DQ$13)+SUM(AM49:AO51*$DO$15:$DQ$17)</f>
        <v>6.8174740390607447E-3</v>
      </c>
      <c r="DY21">
        <f t="array" ref="DY21">SUM(AN20:AP22*$DO$11:$DQ$13)+SUM(AN49:AP51*$DO$15:$DQ$17)</f>
        <v>5.8425782228869458</v>
      </c>
      <c r="DZ21">
        <f t="array" ref="DZ21">SUM(AO20:AQ22*$DO$11:$DQ$13)+SUM(AO49:AQ51*$DO$15:$DQ$17)</f>
        <v>9.0762389547102007</v>
      </c>
      <c r="EA21">
        <f t="array" ref="EA21">SUM(AP20:AR22*$DO$11:$DQ$13)+SUM(AP49:AR51*$DO$15:$DQ$17)</f>
        <v>9.1602950610885774</v>
      </c>
      <c r="EB21">
        <f t="array" ref="EB21">SUM(AQ20:AS22*$DO$11:$DQ$13)+SUM(AQ49:AS51*$DO$15:$DQ$17)</f>
        <v>7.8823042792858127</v>
      </c>
      <c r="EC21">
        <f t="array" ref="EC21">SUM(AR20:AT22*$DO$11:$DQ$13)+SUM(AR49:AT51*$DO$15:$DQ$17)</f>
        <v>6.3889065958972981</v>
      </c>
      <c r="ED21">
        <f t="array" ref="ED21">SUM(AS20:AU22*$DO$11:$DQ$13)+SUM(AS49:AU51*$DO$15:$DQ$17)</f>
        <v>4.9000118736110814</v>
      </c>
      <c r="EE21">
        <f t="array" ref="EE21">SUM(AT20:AV22*$DO$11:$DQ$13)+SUM(AT49:AV51*$DO$15:$DQ$17)</f>
        <v>4.0440492353227802</v>
      </c>
      <c r="EF21">
        <f t="array" ref="EF21">SUM(AU20:AW22*$DO$11:$DQ$13)+SUM(AU49:AW51*$DO$15:$DQ$17)</f>
        <v>1.7701246379810427</v>
      </c>
      <c r="EG21">
        <f t="array" ref="EG21">SUM(AV20:AX22*$DO$11:$DQ$13)+SUM(AV49:AX51*$DO$15:$DQ$17)</f>
        <v>-3.2438786173662226</v>
      </c>
      <c r="EH21">
        <f t="array" ref="EH21">SUM(AW20:AY22*$DO$11:$DQ$13)+SUM(AW49:AY51*$DO$15:$DQ$17)</f>
        <v>-7.8242692168742218</v>
      </c>
      <c r="EI21">
        <f t="array" ref="EI21">SUM(AX20:AZ22*$DO$11:$DQ$13)+SUM(AX49:AZ51*$DO$15:$DQ$17)</f>
        <v>-7.3792462482164636</v>
      </c>
      <c r="EJ21">
        <f t="array" ref="EJ21">SUM(AY20:BA22*$DO$11:$DQ$13)+SUM(AY49:BA51*$DO$15:$DQ$17)</f>
        <v>0.45761932900182778</v>
      </c>
      <c r="EK21">
        <f t="array" ref="EK21">SUM(AZ20:BB22*$DO$11:$DQ$13)+SUM(AZ49:BB51*$DO$15:$DQ$17)</f>
        <v>9.1167110154205933</v>
      </c>
      <c r="EL21">
        <f t="array" ref="EL21">SUM(BA20:BC22*$DO$11:$DQ$13)+SUM(BA49:BC51*$DO$15:$DQ$17)</f>
        <v>9.8771533545348209</v>
      </c>
      <c r="EM21">
        <f t="array" ref="EM21">SUM(BB20:BD22*$DO$11:$DQ$13)+SUM(BB49:BD51*$DO$15:$DQ$17)</f>
        <v>6.0816113000885457</v>
      </c>
      <c r="EN21">
        <f t="array" ref="EN21">SUM(BC20:BE22*$DO$11:$DQ$13)+SUM(BC49:BE51*$DO$15:$DQ$17)</f>
        <v>0.97923752335794201</v>
      </c>
      <c r="EO21">
        <f t="array" ref="EO21">SUM(BD20:BF22*$DO$11:$DQ$13)+SUM(BD49:BF51*$DO$15:$DQ$17)</f>
        <v>0</v>
      </c>
      <c r="EP21">
        <f t="array" ref="EP21">SUM(BE20:BG22*$DO$11:$DQ$13)+SUM(BE49:BG51*$DO$15:$DQ$17)</f>
        <v>0</v>
      </c>
      <c r="ES21" s="127"/>
      <c r="ET21" s="127"/>
      <c r="EU21" s="127"/>
      <c r="EV21" s="127"/>
      <c r="EW21" s="127"/>
      <c r="EX21" s="127"/>
      <c r="EY21" s="127"/>
      <c r="EZ21" s="127"/>
      <c r="FA21" s="127"/>
      <c r="FB21" s="127"/>
      <c r="FC21" s="127"/>
      <c r="FD21" s="127"/>
      <c r="FE21" s="127"/>
      <c r="FF21" s="127"/>
      <c r="FG21" s="127"/>
      <c r="FH21" s="127"/>
      <c r="FI21" s="127"/>
      <c r="FJ21" s="127"/>
      <c r="FK21" s="127"/>
      <c r="FL21" s="127"/>
      <c r="FM21" s="127"/>
      <c r="FN21" s="127"/>
      <c r="FO21" s="127"/>
      <c r="FP21" s="127"/>
    </row>
    <row r="22" spans="1:200" ht="27.75" customHeight="1" x14ac:dyDescent="0.25">
      <c r="A22" s="78">
        <v>0</v>
      </c>
      <c r="B22" s="78">
        <v>0</v>
      </c>
      <c r="C22" s="78">
        <v>0</v>
      </c>
      <c r="D22" s="78">
        <v>0</v>
      </c>
      <c r="E22" s="78">
        <v>0</v>
      </c>
      <c r="F22" s="78">
        <v>0</v>
      </c>
      <c r="G22" s="78">
        <v>7.0588238537311498E-2</v>
      </c>
      <c r="H22" s="78">
        <v>0.48627454042434598</v>
      </c>
      <c r="I22" s="78">
        <v>0</v>
      </c>
      <c r="J22" s="78">
        <v>0</v>
      </c>
      <c r="K22" s="78">
        <v>0</v>
      </c>
      <c r="L22" s="78">
        <v>0</v>
      </c>
      <c r="M22" s="78">
        <v>0</v>
      </c>
      <c r="N22" s="78">
        <v>0</v>
      </c>
      <c r="O22" s="78">
        <v>0</v>
      </c>
      <c r="P22" s="78">
        <v>0</v>
      </c>
      <c r="Q22" s="78">
        <v>0</v>
      </c>
      <c r="R22" s="78">
        <v>0.32941177487373302</v>
      </c>
      <c r="S22" s="78">
        <v>0.99607849121093694</v>
      </c>
      <c r="T22" s="78">
        <v>0.99607849121093694</v>
      </c>
      <c r="U22" s="78">
        <v>0.65098041296005205</v>
      </c>
      <c r="V22" s="78">
        <v>0</v>
      </c>
      <c r="W22" s="78">
        <v>0</v>
      </c>
      <c r="X22" s="78">
        <v>0</v>
      </c>
      <c r="Y22" s="78">
        <v>0</v>
      </c>
      <c r="Z22" s="78">
        <v>0</v>
      </c>
      <c r="AA22" s="78">
        <v>0</v>
      </c>
      <c r="AB22" s="78">
        <v>0</v>
      </c>
      <c r="AC22" s="79"/>
      <c r="AD22" s="79"/>
      <c r="AE22" s="79"/>
      <c r="AF22" s="79"/>
      <c r="AG22" s="79"/>
      <c r="AH22" s="1">
        <f t="array" ref="AH22">SUM(A21:C23*$AD$11:$AF$13)</f>
        <v>0</v>
      </c>
      <c r="AI22" s="1">
        <f t="array" ref="AI22">SUM(B21:D23*$AD$11:$AF$13)</f>
        <v>0</v>
      </c>
      <c r="AJ22" s="1">
        <f t="array" ref="AJ22">SUM(C21:E23*$AD$11:$AF$13)</f>
        <v>0</v>
      </c>
      <c r="AK22" s="1">
        <f t="array" ref="AK22">SUM(D21:F23*$AD$11:$AF$13)</f>
        <v>0</v>
      </c>
      <c r="AL22" s="1">
        <f t="array" ref="AL22">SUM(E21:G23*$AD$11:$AF$13)</f>
        <v>0.66274511814117398</v>
      </c>
      <c r="AM22" s="1">
        <f t="array" ref="AM22">SUM(F21:H23*$AD$11:$AF$13)</f>
        <v>1.6588236093521109</v>
      </c>
      <c r="AN22" s="1">
        <f t="array" ref="AN22">SUM(G21:I23*$AD$11:$AF$13)</f>
        <v>2.3490197062492362</v>
      </c>
      <c r="AO22" s="1">
        <f t="array" ref="AO22">SUM(H21:J23*$AD$11:$AF$13)</f>
        <v>1.9294118583202349</v>
      </c>
      <c r="AP22" s="1">
        <f t="array" ref="AP22">SUM(I21:K23*$AD$11:$AF$13)</f>
        <v>0.93333336710929804</v>
      </c>
      <c r="AQ22" s="1">
        <f t="array" ref="AQ22">SUM(J21:L23*$AD$11:$AF$13)</f>
        <v>0.24313727021217299</v>
      </c>
      <c r="AR22" s="1">
        <f t="array" ref="AR22">SUM(K21:M23*$AD$11:$AF$13)</f>
        <v>0</v>
      </c>
      <c r="AS22" s="1">
        <f t="array" ref="AS22">SUM(L21:N23*$AD$11:$AF$13)</f>
        <v>0</v>
      </c>
      <c r="AT22" s="1">
        <f t="array" ref="AT22">SUM(M21:O23*$AD$11:$AF$13)</f>
        <v>0</v>
      </c>
      <c r="AU22" s="1">
        <f t="array" ref="AU22">SUM(N21:P23*$AD$11:$AF$13)</f>
        <v>0</v>
      </c>
      <c r="AV22" s="1">
        <f t="array" ref="AV22">SUM(O21:Q23*$AD$11:$AF$13)</f>
        <v>0</v>
      </c>
      <c r="AW22" s="1">
        <f t="array" ref="AW22">SUM(P21:R23*$AD$11:$AF$13)</f>
        <v>-0.35686275362968506</v>
      </c>
      <c r="AX22" s="1">
        <f t="array" ref="AX22">SUM(Q21:S23*$AD$11:$AF$13)</f>
        <v>-0.44705882668495189</v>
      </c>
      <c r="AY22" s="1">
        <f t="array" ref="AY22">SUM(R21:T23*$AD$11:$AF$13)</f>
        <v>-0.38431373238563604</v>
      </c>
      <c r="AZ22" s="1">
        <f t="array" ref="AZ22">SUM(S21:U23*$AD$11:$AF$13)</f>
        <v>0.66666671633720287</v>
      </c>
      <c r="BA22" s="1">
        <f t="array" ref="BA22">SUM(T21:V23*$AD$11:$AF$13)</f>
        <v>0.75686278939246998</v>
      </c>
      <c r="BB22" s="1">
        <f t="array" ref="BB22">SUM(U21:W23*$AD$11:$AF$13)</f>
        <v>0.69411769509315402</v>
      </c>
      <c r="BC22" s="1">
        <f t="array" ref="BC22">SUM(V21:X23*$AD$11:$AF$13)</f>
        <v>0</v>
      </c>
      <c r="BD22" s="1">
        <f t="array" ref="BD22">SUM(W21:Y23*$AD$11:$AF$13)</f>
        <v>0</v>
      </c>
      <c r="BE22" s="1">
        <f t="array" ref="BE22">SUM(X21:Z23*$AD$11:$AF$13)</f>
        <v>0</v>
      </c>
      <c r="BF22" s="1">
        <f t="array" ref="BF22">SUM(Y21:AA23*$AD$11:$AF$13)</f>
        <v>0</v>
      </c>
      <c r="BG22" s="1">
        <f t="array" ref="BG22">SUM(Z21:AB23*$AD$11:$AF$13)</f>
        <v>0</v>
      </c>
      <c r="BH22" s="79"/>
      <c r="BI22" s="79"/>
      <c r="BJ22" s="79"/>
      <c r="BK22" s="1">
        <f t="shared" si="3"/>
        <v>0</v>
      </c>
      <c r="BL22" s="1">
        <f t="shared" si="3"/>
        <v>0</v>
      </c>
      <c r="BM22" s="1">
        <f t="shared" si="3"/>
        <v>0</v>
      </c>
      <c r="BN22" s="1">
        <f t="shared" si="3"/>
        <v>0</v>
      </c>
      <c r="BO22" s="1">
        <f t="shared" si="3"/>
        <v>0.66274511814117398</v>
      </c>
      <c r="BP22" s="1">
        <f t="shared" si="3"/>
        <v>1.6588236093521109</v>
      </c>
      <c r="BQ22" s="1">
        <f t="shared" si="3"/>
        <v>2.3490197062492362</v>
      </c>
      <c r="BR22" s="1">
        <f t="shared" si="3"/>
        <v>1.9294118583202349</v>
      </c>
      <c r="BS22" s="1">
        <f t="shared" si="3"/>
        <v>0.93333336710929804</v>
      </c>
      <c r="BT22" s="1">
        <f t="shared" si="66"/>
        <v>0.24313727021217299</v>
      </c>
      <c r="BU22" s="1">
        <f t="shared" si="66"/>
        <v>0</v>
      </c>
      <c r="BV22" s="1">
        <f t="shared" si="66"/>
        <v>0</v>
      </c>
      <c r="BW22" s="1">
        <f t="shared" si="66"/>
        <v>0</v>
      </c>
      <c r="BX22" s="1">
        <f t="shared" si="66"/>
        <v>0</v>
      </c>
      <c r="BY22" s="1">
        <f t="shared" si="66"/>
        <v>0</v>
      </c>
      <c r="BZ22" s="1">
        <f t="shared" si="66"/>
        <v>0</v>
      </c>
      <c r="CA22" s="1">
        <f t="shared" si="66"/>
        <v>0</v>
      </c>
      <c r="CB22" s="1">
        <f t="shared" si="66"/>
        <v>0</v>
      </c>
      <c r="CC22" s="1">
        <f t="shared" si="66"/>
        <v>0.66666671633720287</v>
      </c>
      <c r="CD22" s="1">
        <f t="shared" si="66"/>
        <v>0.75686278939246998</v>
      </c>
      <c r="CE22" s="1">
        <f t="shared" si="4"/>
        <v>0.69411769509315402</v>
      </c>
      <c r="CF22" s="1">
        <f t="shared" si="4"/>
        <v>0</v>
      </c>
      <c r="CG22" s="1">
        <f t="shared" si="4"/>
        <v>0</v>
      </c>
      <c r="CH22" s="1">
        <f t="shared" si="4"/>
        <v>0</v>
      </c>
      <c r="CI22" s="1">
        <f t="shared" si="4"/>
        <v>0</v>
      </c>
      <c r="CJ22" s="1">
        <f t="shared" si="4"/>
        <v>0</v>
      </c>
      <c r="DS22">
        <f t="array" ref="DS22">SUM(AH21:AJ23*$DO$11:$DQ$13)+SUM(AH50:AJ52*$DO$15:$DQ$17)</f>
        <v>0</v>
      </c>
      <c r="DT22">
        <f t="array" ref="DT22">SUM(AI21:AK23*$DO$11:$DQ$13)+SUM(AI50:AK52*$DO$15:$DQ$17)</f>
        <v>0</v>
      </c>
      <c r="DU22">
        <f t="array" ref="DU22">SUM(AJ21:AL23*$DO$11:$DQ$13)+SUM(AJ50:AL52*$DO$15:$DQ$17)</f>
        <v>-0.73167165293716652</v>
      </c>
      <c r="DV22">
        <f t="array" ref="DV22">SUM(AK21:AM23*$DO$11:$DQ$13)+SUM(AK50:AM52*$DO$15:$DQ$17)</f>
        <v>-1.6712494174508943</v>
      </c>
      <c r="DW22">
        <f t="array" ref="DW22">SUM(AL21:AN23*$DO$11:$DQ$13)+SUM(AL50:AN52*$DO$15:$DQ$17)</f>
        <v>-0.54723646620626765</v>
      </c>
      <c r="DX22">
        <f t="array" ref="DX22">SUM(AM21:AO23*$DO$11:$DQ$13)+SUM(AM50:AO52*$DO$15:$DQ$17)</f>
        <v>3.1955666801523295</v>
      </c>
      <c r="DY22">
        <f t="array" ref="DY22">SUM(AN21:AP23*$DO$11:$DQ$13)+SUM(AN50:AP52*$DO$15:$DQ$17)</f>
        <v>7.2381682516935166</v>
      </c>
      <c r="DZ22">
        <f t="array" ref="DZ22">SUM(AO21:AQ23*$DO$11:$DQ$13)+SUM(AO50:AQ52*$DO$15:$DQ$17)</f>
        <v>7.9161967599916094</v>
      </c>
      <c r="EA22">
        <f t="array" ref="EA22">SUM(AP21:AR23*$DO$11:$DQ$13)+SUM(AP50:AR52*$DO$15:$DQ$17)</f>
        <v>5.145276537154917</v>
      </c>
      <c r="EB22">
        <f t="array" ref="EB22">SUM(AQ21:AS23*$DO$11:$DQ$13)+SUM(AQ50:AS52*$DO$15:$DQ$17)</f>
        <v>3.2102256002898901</v>
      </c>
      <c r="EC22">
        <f t="array" ref="EC22">SUM(AR21:AT23*$DO$11:$DQ$13)+SUM(AR50:AT52*$DO$15:$DQ$17)</f>
        <v>1.9996609405791537</v>
      </c>
      <c r="ED22">
        <f t="array" ref="ED22">SUM(AS21:AU23*$DO$11:$DQ$13)+SUM(AS50:AU52*$DO$15:$DQ$17)</f>
        <v>1.0997835196582328</v>
      </c>
      <c r="EE22">
        <f t="array" ref="EE22">SUM(AT21:AV23*$DO$11:$DQ$13)+SUM(AT50:AV52*$DO$15:$DQ$17)</f>
        <v>-0.43116947255188731</v>
      </c>
      <c r="EF22">
        <f t="array" ref="EF22">SUM(AU21:AW23*$DO$11:$DQ$13)+SUM(AU50:AW52*$DO$15:$DQ$17)</f>
        <v>-3.213569528465797</v>
      </c>
      <c r="EG22">
        <f t="array" ref="EG22">SUM(AV21:AX23*$DO$11:$DQ$13)+SUM(AV50:AX52*$DO$15:$DQ$17)</f>
        <v>-7.8549328662600661</v>
      </c>
      <c r="EH22">
        <f t="array" ref="EH22">SUM(AW21:AY23*$DO$11:$DQ$13)+SUM(AW50:AY52*$DO$15:$DQ$17)</f>
        <v>-9.93075867658745</v>
      </c>
      <c r="EI22">
        <f t="array" ref="EI22">SUM(AX21:AZ23*$DO$11:$DQ$13)+SUM(AX50:AZ52*$DO$15:$DQ$17)</f>
        <v>-6.4453071546619443</v>
      </c>
      <c r="EJ22">
        <f t="array" ref="EJ22">SUM(AY21:BA23*$DO$11:$DQ$13)+SUM(AY50:BA52*$DO$15:$DQ$17)</f>
        <v>2.8939032739285833</v>
      </c>
      <c r="EK22">
        <f t="array" ref="EK22">SUM(AZ21:BB23*$DO$11:$DQ$13)+SUM(AZ50:BB52*$DO$15:$DQ$17)</f>
        <v>10.293372018315765</v>
      </c>
      <c r="EL22">
        <f t="array" ref="EL22">SUM(BA21:BC23*$DO$11:$DQ$13)+SUM(BA50:BC52*$DO$15:$DQ$17)</f>
        <v>9.2991645935079976</v>
      </c>
      <c r="EM22">
        <f t="array" ref="EM22">SUM(BB21:BD23*$DO$11:$DQ$13)+SUM(BB50:BD52*$DO$15:$DQ$17)</f>
        <v>4.8332768091693934</v>
      </c>
      <c r="EN22">
        <f t="array" ref="EN22">SUM(BC21:BE23*$DO$11:$DQ$13)+SUM(BC50:BE52*$DO$15:$DQ$17)</f>
        <v>0.2160523620180369</v>
      </c>
      <c r="EO22">
        <f t="array" ref="EO22">SUM(BD21:BF23*$DO$11:$DQ$13)+SUM(BD50:BF52*$DO$15:$DQ$17)</f>
        <v>0</v>
      </c>
      <c r="EP22">
        <f t="array" ref="EP22">SUM(BE21:BG23*$DO$11:$DQ$13)+SUM(BE50:BG52*$DO$15:$DQ$17)</f>
        <v>0</v>
      </c>
      <c r="ES22" s="127">
        <f t="shared" ref="ES22" si="103">MAX(DS22:DT23)</f>
        <v>0</v>
      </c>
      <c r="ET22" s="127"/>
      <c r="EU22" s="127">
        <f t="shared" ref="EU22" si="104">MAX(DU22:DV23)</f>
        <v>-0.24967456448342901</v>
      </c>
      <c r="EV22" s="127"/>
      <c r="EW22" s="127">
        <f t="shared" ref="EW22" si="105">MAX(DW22:DX23)</f>
        <v>3.1955666801523295</v>
      </c>
      <c r="EX22" s="127"/>
      <c r="EY22" s="127">
        <f t="shared" ref="EY22" si="106">MAX(DY22:DZ23)</f>
        <v>7.9161967599916094</v>
      </c>
      <c r="EZ22" s="127"/>
      <c r="FA22" s="127">
        <f t="shared" ref="FA22" si="107">MAX(EA22:EB23)</f>
        <v>5.145276537154917</v>
      </c>
      <c r="FB22" s="127"/>
      <c r="FC22" s="127">
        <f t="shared" ref="FC22" si="108">MAX(EC22:ED23)</f>
        <v>1.9996609405791537</v>
      </c>
      <c r="FD22" s="127"/>
      <c r="FE22" s="127">
        <f t="shared" ref="FE22" si="109">MAX(EE22:EF23)</f>
        <v>-0.43116947255188731</v>
      </c>
      <c r="FF22" s="127"/>
      <c r="FG22" s="127">
        <f t="shared" ref="FG22" si="110">MAX(EG22:EH23)</f>
        <v>-7.8549328662600661</v>
      </c>
      <c r="FH22" s="127"/>
      <c r="FI22" s="127">
        <f t="shared" ref="FI22" si="111">MAX(EI22:EJ23)</f>
        <v>6.1326431050954362</v>
      </c>
      <c r="FJ22" s="127"/>
      <c r="FK22" s="127">
        <f t="shared" ref="FK22" si="112">MAX(EK22:EL23)</f>
        <v>10.70048317209357</v>
      </c>
      <c r="FL22" s="127"/>
      <c r="FM22" s="127">
        <f t="shared" ref="FM22" si="113">MAX(EM22:EN23)</f>
        <v>4.8332768091693934</v>
      </c>
      <c r="FN22" s="127"/>
      <c r="FO22" s="127">
        <f t="shared" ref="FO22" si="114">MAX(EO22:EP23)</f>
        <v>0</v>
      </c>
      <c r="FP22" s="127"/>
      <c r="FT22">
        <v>0.82236386600463529</v>
      </c>
      <c r="FV22">
        <v>0.82808274567796814</v>
      </c>
      <c r="FX22">
        <v>0.33123176625168782</v>
      </c>
      <c r="FZ22">
        <v>0.1638637204597031</v>
      </c>
      <c r="GB22">
        <v>0.84047788438630566</v>
      </c>
      <c r="GD22">
        <v>0.90233157595058699</v>
      </c>
      <c r="GF22">
        <v>0.80749550438816686</v>
      </c>
      <c r="GH22">
        <v>0.36826978602152061</v>
      </c>
      <c r="GJ22">
        <v>0.73728392920762942</v>
      </c>
      <c r="GL22">
        <v>0.95064329121328295</v>
      </c>
      <c r="GN22">
        <v>0.40621297070634621</v>
      </c>
      <c r="GP22">
        <v>0.25396415787032511</v>
      </c>
      <c r="GR22">
        <v>0.14069301372140253</v>
      </c>
    </row>
    <row r="23" spans="1:200" ht="27.75" customHeight="1" x14ac:dyDescent="0.25">
      <c r="A23" s="78">
        <v>0</v>
      </c>
      <c r="B23" s="78">
        <v>0</v>
      </c>
      <c r="C23" s="78">
        <v>0</v>
      </c>
      <c r="D23" s="78">
        <v>0</v>
      </c>
      <c r="E23" s="78">
        <v>0</v>
      </c>
      <c r="F23" s="78">
        <v>0</v>
      </c>
      <c r="G23" s="78">
        <v>0</v>
      </c>
      <c r="H23" s="78">
        <v>0</v>
      </c>
      <c r="I23" s="78">
        <v>0</v>
      </c>
      <c r="J23" s="78">
        <v>0</v>
      </c>
      <c r="K23" s="78">
        <v>0</v>
      </c>
      <c r="L23" s="78">
        <v>0</v>
      </c>
      <c r="M23" s="78">
        <v>0</v>
      </c>
      <c r="N23" s="78">
        <v>0</v>
      </c>
      <c r="O23" s="78">
        <v>0</v>
      </c>
      <c r="P23" s="78">
        <v>0</v>
      </c>
      <c r="Q23" s="78">
        <v>0</v>
      </c>
      <c r="R23" s="78">
        <v>0.54509806632995605</v>
      </c>
      <c r="S23" s="78">
        <v>0.99607849121093694</v>
      </c>
      <c r="T23" s="78">
        <v>0.93333339691162098</v>
      </c>
      <c r="U23" s="78">
        <v>0.223529428243637</v>
      </c>
      <c r="V23" s="78">
        <v>0</v>
      </c>
      <c r="W23" s="78">
        <v>0</v>
      </c>
      <c r="X23" s="78">
        <v>0</v>
      </c>
      <c r="Y23" s="78">
        <v>0</v>
      </c>
      <c r="Z23" s="78">
        <v>0</v>
      </c>
      <c r="AA23" s="78">
        <v>0</v>
      </c>
      <c r="AB23" s="78">
        <v>0</v>
      </c>
      <c r="AC23" s="79"/>
      <c r="AD23" s="79"/>
      <c r="AE23" s="79"/>
      <c r="AF23" s="79"/>
      <c r="AG23" s="79"/>
      <c r="AH23" s="1">
        <f t="array" ref="AH23">SUM(A22:C24*$AD$11:$AF$13)</f>
        <v>0</v>
      </c>
      <c r="AI23" s="1">
        <f t="array" ref="AI23">SUM(B22:D24*$AD$11:$AF$13)</f>
        <v>0</v>
      </c>
      <c r="AJ23" s="1">
        <f t="array" ref="AJ23">SUM(C22:E24*$AD$11:$AF$13)</f>
        <v>0</v>
      </c>
      <c r="AK23" s="1">
        <f t="array" ref="AK23">SUM(D22:F24*$AD$11:$AF$13)</f>
        <v>0</v>
      </c>
      <c r="AL23" s="1">
        <f t="array" ref="AL23">SUM(E22:G24*$AD$11:$AF$13)</f>
        <v>7.0588238537311498E-2</v>
      </c>
      <c r="AM23" s="1">
        <f t="array" ref="AM23">SUM(F22:H24*$AD$11:$AF$13)</f>
        <v>0.55686277896165748</v>
      </c>
      <c r="AN23" s="1">
        <f t="array" ref="AN23">SUM(G22:I24*$AD$11:$AF$13)</f>
        <v>0.55686277896165748</v>
      </c>
      <c r="AO23" s="1">
        <f t="array" ref="AO23">SUM(H22:J24*$AD$11:$AF$13)</f>
        <v>0.48627454042434598</v>
      </c>
      <c r="AP23" s="1">
        <f t="array" ref="AP23">SUM(I22:K24*$AD$11:$AF$13)</f>
        <v>0</v>
      </c>
      <c r="AQ23" s="1">
        <f t="array" ref="AQ23">SUM(J22:L24*$AD$11:$AF$13)</f>
        <v>0</v>
      </c>
      <c r="AR23" s="1">
        <f t="array" ref="AR23">SUM(K22:M24*$AD$11:$AF$13)</f>
        <v>0</v>
      </c>
      <c r="AS23" s="1">
        <f t="array" ref="AS23">SUM(L22:N24*$AD$11:$AF$13)</f>
        <v>0</v>
      </c>
      <c r="AT23" s="1">
        <f t="array" ref="AT23">SUM(M22:O24*$AD$11:$AF$13)</f>
        <v>0</v>
      </c>
      <c r="AU23" s="1">
        <f t="array" ref="AU23">SUM(N22:P24*$AD$11:$AF$13)</f>
        <v>0</v>
      </c>
      <c r="AV23" s="1">
        <f t="array" ref="AV23">SUM(O22:Q24*$AD$11:$AF$13)</f>
        <v>-0.82352948188781705</v>
      </c>
      <c r="AW23" s="1">
        <f t="array" ref="AW23">SUM(P22:R24*$AD$11:$AF$13)</f>
        <v>-1.474509924650192</v>
      </c>
      <c r="AX23" s="1">
        <f t="array" ref="AX23">SUM(Q22:S24*$AD$11:$AF$13)</f>
        <v>-1.474509924650192</v>
      </c>
      <c r="AY23" s="1">
        <f t="array" ref="AY23">SUM(R22:T24*$AD$11:$AF$13)</f>
        <v>-0.3137255012989052</v>
      </c>
      <c r="AZ23" s="1">
        <f t="array" ref="AZ23">SUM(S22:U24*$AD$11:$AF$13)</f>
        <v>0.98823535442352162</v>
      </c>
      <c r="BA23" s="1">
        <f t="array" ref="BA23">SUM(T22:V24*$AD$11:$AF$13)</f>
        <v>0.98823535442352206</v>
      </c>
      <c r="BB23" s="1">
        <f t="array" ref="BB23">SUM(U22:W24*$AD$11:$AF$13)</f>
        <v>0.65098041296005205</v>
      </c>
      <c r="BC23" s="1">
        <f t="array" ref="BC23">SUM(V22:X24*$AD$11:$AF$13)</f>
        <v>0</v>
      </c>
      <c r="BD23" s="1">
        <f t="array" ref="BD23">SUM(W22:Y24*$AD$11:$AF$13)</f>
        <v>0</v>
      </c>
      <c r="BE23" s="1">
        <f t="array" ref="BE23">SUM(X22:Z24*$AD$11:$AF$13)</f>
        <v>0</v>
      </c>
      <c r="BF23" s="1">
        <f t="array" ref="BF23">SUM(Y22:AA24*$AD$11:$AF$13)</f>
        <v>0</v>
      </c>
      <c r="BG23" s="1">
        <f t="array" ref="BG23">SUM(Z22:AB24*$AD$11:$AF$13)</f>
        <v>0</v>
      </c>
      <c r="BH23" s="79"/>
      <c r="BI23" s="79"/>
      <c r="BJ23" s="79"/>
      <c r="BK23" s="1">
        <f t="shared" si="3"/>
        <v>0</v>
      </c>
      <c r="BL23" s="1">
        <f t="shared" si="3"/>
        <v>0</v>
      </c>
      <c r="BM23" s="1">
        <f t="shared" si="3"/>
        <v>0</v>
      </c>
      <c r="BN23" s="1">
        <f t="shared" si="3"/>
        <v>0</v>
      </c>
      <c r="BO23" s="1">
        <f t="shared" si="3"/>
        <v>7.0588238537311498E-2</v>
      </c>
      <c r="BP23" s="1">
        <f t="shared" si="3"/>
        <v>0.55686277896165748</v>
      </c>
      <c r="BQ23" s="1">
        <f t="shared" si="3"/>
        <v>0.55686277896165748</v>
      </c>
      <c r="BR23" s="1">
        <f t="shared" si="3"/>
        <v>0.48627454042434598</v>
      </c>
      <c r="BS23" s="1">
        <f t="shared" si="3"/>
        <v>0</v>
      </c>
      <c r="BT23" s="1">
        <f t="shared" si="66"/>
        <v>0</v>
      </c>
      <c r="BU23" s="1">
        <f t="shared" si="66"/>
        <v>0</v>
      </c>
      <c r="BV23" s="1">
        <f t="shared" si="66"/>
        <v>0</v>
      </c>
      <c r="BW23" s="1">
        <f t="shared" si="66"/>
        <v>0</v>
      </c>
      <c r="BX23" s="1">
        <f t="shared" si="66"/>
        <v>0</v>
      </c>
      <c r="BY23" s="1">
        <f t="shared" si="66"/>
        <v>0</v>
      </c>
      <c r="BZ23" s="1">
        <f t="shared" si="66"/>
        <v>0</v>
      </c>
      <c r="CA23" s="1">
        <f t="shared" si="66"/>
        <v>0</v>
      </c>
      <c r="CB23" s="1">
        <f t="shared" si="66"/>
        <v>0</v>
      </c>
      <c r="CC23" s="1">
        <f t="shared" si="66"/>
        <v>0.98823535442352162</v>
      </c>
      <c r="CD23" s="1">
        <f t="shared" si="66"/>
        <v>0.98823535442352206</v>
      </c>
      <c r="CE23" s="1">
        <f t="shared" si="4"/>
        <v>0.65098041296005205</v>
      </c>
      <c r="CF23" s="1">
        <f t="shared" si="4"/>
        <v>0</v>
      </c>
      <c r="CG23" s="1">
        <f t="shared" si="4"/>
        <v>0</v>
      </c>
      <c r="CH23" s="1">
        <f t="shared" si="4"/>
        <v>0</v>
      </c>
      <c r="CI23" s="1">
        <f t="shared" si="4"/>
        <v>0</v>
      </c>
      <c r="CJ23" s="1">
        <f t="shared" si="4"/>
        <v>0</v>
      </c>
      <c r="DS23">
        <f t="array" ref="DS23">SUM(AH22:AJ24*$DO$11:$DQ$13)+SUM(AH51:AJ53*$DO$15:$DQ$17)</f>
        <v>0</v>
      </c>
      <c r="DT23">
        <f t="array" ref="DT23">SUM(AI22:AK24*$DO$11:$DQ$13)+SUM(AI51:AK53*$DO$15:$DQ$17)</f>
        <v>0</v>
      </c>
      <c r="DU23">
        <f t="array" ref="DU23">SUM(AJ22:AL24*$DO$11:$DQ$13)+SUM(AJ51:AL53*$DO$15:$DQ$17)</f>
        <v>-0.24967456448342901</v>
      </c>
      <c r="DV23">
        <f t="array" ref="DV23">SUM(AK22:AM24*$DO$11:$DQ$13)+SUM(AK51:AM53*$DO$15:$DQ$17)</f>
        <v>-0.58572549144023489</v>
      </c>
      <c r="DW23">
        <f t="array" ref="DW23">SUM(AL22:AN24*$DO$11:$DQ$13)+SUM(AL51:AN53*$DO$15:$DQ$17)</f>
        <v>0.4455339068084081</v>
      </c>
      <c r="DX23">
        <f t="array" ref="DX23">SUM(AM22:AO24*$DO$11:$DQ$13)+SUM(AM51:AO53*$DO$15:$DQ$17)</f>
        <v>2.134744431876574</v>
      </c>
      <c r="DY23">
        <f t="array" ref="DY23">SUM(AN22:AP24*$DO$11:$DQ$13)+SUM(AN51:AP53*$DO$15:$DQ$17)</f>
        <v>3.7816202986456324</v>
      </c>
      <c r="DZ23">
        <f t="array" ref="DZ23">SUM(AO22:AQ24*$DO$11:$DQ$13)+SUM(AO51:AQ53*$DO$15:$DQ$17)</f>
        <v>3.4139612814756335</v>
      </c>
      <c r="EA23">
        <f t="array" ref="EA23">SUM(AP22:AR24*$DO$11:$DQ$13)+SUM(AP51:AR53*$DO$15:$DQ$17)</f>
        <v>1.2069168286117704</v>
      </c>
      <c r="EB23">
        <f t="array" ref="EB23">SUM(AQ22:AS24*$DO$11:$DQ$13)+SUM(AQ51:AS53*$DO$15:$DQ$17)</f>
        <v>0.32671333769717326</v>
      </c>
      <c r="EC23">
        <f t="array" ref="EC23">SUM(AR22:AT24*$DO$11:$DQ$13)+SUM(AR51:AT53*$DO$15:$DQ$17)</f>
        <v>0</v>
      </c>
      <c r="ED23">
        <f t="array" ref="ED23">SUM(AS22:AU24*$DO$11:$DQ$13)+SUM(AS51:AU53*$DO$15:$DQ$17)</f>
        <v>0</v>
      </c>
      <c r="EE23">
        <f t="array" ref="EE23">SUM(AT22:AV24*$DO$11:$DQ$13)+SUM(AT51:AV53*$DO$15:$DQ$17)</f>
        <v>-1.9740919258993781</v>
      </c>
      <c r="EF23">
        <f t="array" ref="EF23">SUM(AU22:AW24*$DO$11:$DQ$13)+SUM(AU51:AW53*$DO$15:$DQ$17)</f>
        <v>-5.7061153904958726</v>
      </c>
      <c r="EG23">
        <f t="array" ref="EG23">SUM(AV22:AX24*$DO$11:$DQ$13)+SUM(AV51:AX53*$DO$15:$DQ$17)</f>
        <v>-10.204085348876466</v>
      </c>
      <c r="EH23">
        <f t="array" ref="EH23">SUM(AW22:AY24*$DO$11:$DQ$13)+SUM(AW51:AY53*$DO$15:$DQ$17)</f>
        <v>-9.5836014958129123</v>
      </c>
      <c r="EI23">
        <f t="array" ref="EI23">SUM(AX22:AZ24*$DO$11:$DQ$13)+SUM(AX51:AZ53*$DO$15:$DQ$17)</f>
        <v>-3.5576419279714235</v>
      </c>
      <c r="EJ23">
        <f t="array" ref="EJ23">SUM(AY22:BA24*$DO$11:$DQ$13)+SUM(AY51:BA53*$DO$15:$DQ$17)</f>
        <v>6.1326431050954362</v>
      </c>
      <c r="EK23">
        <f t="array" ref="EK23">SUM(AZ22:BB24*$DO$11:$DQ$13)+SUM(AZ51:BB53*$DO$15:$DQ$17)</f>
        <v>10.70048317209357</v>
      </c>
      <c r="EL23">
        <f t="array" ref="EL23">SUM(BA22:BC24*$DO$11:$DQ$13)+SUM(BA51:BC53*$DO$15:$DQ$17)</f>
        <v>8.1116385872439452</v>
      </c>
      <c r="EM23">
        <f t="array" ref="EM23">SUM(BB22:BD24*$DO$11:$DQ$13)+SUM(BB51:BD53*$DO$15:$DQ$17)</f>
        <v>3.1487198566658487</v>
      </c>
      <c r="EN23">
        <f t="array" ref="EN23">SUM(BC22:BE24*$DO$11:$DQ$13)+SUM(BC51:BE53*$DO$15:$DQ$17)</f>
        <v>0</v>
      </c>
      <c r="EO23">
        <f t="array" ref="EO23">SUM(BD22:BF24*$DO$11:$DQ$13)+SUM(BD51:BF53*$DO$15:$DQ$17)</f>
        <v>0</v>
      </c>
      <c r="EP23">
        <f t="array" ref="EP23">SUM(BE22:BG24*$DO$11:$DQ$13)+SUM(BE51:BG53*$DO$15:$DQ$17)</f>
        <v>0</v>
      </c>
      <c r="ES23" s="127"/>
      <c r="ET23" s="127"/>
      <c r="EU23" s="127"/>
      <c r="EV23" s="127"/>
      <c r="EW23" s="127"/>
      <c r="EX23" s="127"/>
      <c r="EY23" s="127"/>
      <c r="EZ23" s="127"/>
      <c r="FA23" s="127"/>
      <c r="FB23" s="127"/>
      <c r="FC23" s="127"/>
      <c r="FD23" s="127"/>
      <c r="FE23" s="127"/>
      <c r="FF23" s="127"/>
      <c r="FG23" s="127"/>
      <c r="FH23" s="127"/>
      <c r="FI23" s="127"/>
      <c r="FJ23" s="127"/>
      <c r="FK23" s="127"/>
      <c r="FL23" s="127"/>
      <c r="FM23" s="127"/>
      <c r="FN23" s="127"/>
      <c r="FO23" s="127"/>
      <c r="FP23" s="127"/>
    </row>
    <row r="24" spans="1:200" ht="27.75" customHeight="1" x14ac:dyDescent="0.25">
      <c r="A24" s="78">
        <v>0</v>
      </c>
      <c r="B24" s="78">
        <v>0</v>
      </c>
      <c r="C24" s="78">
        <v>0</v>
      </c>
      <c r="D24" s="78">
        <v>0</v>
      </c>
      <c r="E24" s="78">
        <v>0</v>
      </c>
      <c r="F24" s="78">
        <v>0</v>
      </c>
      <c r="G24" s="78">
        <v>0</v>
      </c>
      <c r="H24" s="78">
        <v>0</v>
      </c>
      <c r="I24" s="78">
        <v>0</v>
      </c>
      <c r="J24" s="78">
        <v>0</v>
      </c>
      <c r="K24" s="78">
        <v>0</v>
      </c>
      <c r="L24" s="78">
        <v>0</v>
      </c>
      <c r="M24" s="78">
        <v>0</v>
      </c>
      <c r="N24" s="78">
        <v>0</v>
      </c>
      <c r="O24" s="78">
        <v>0</v>
      </c>
      <c r="P24" s="78">
        <v>0</v>
      </c>
      <c r="Q24" s="78">
        <v>0.82352948188781705</v>
      </c>
      <c r="R24" s="78">
        <v>0.98039221763610795</v>
      </c>
      <c r="S24" s="78">
        <v>0.99607849121093694</v>
      </c>
      <c r="T24" s="78">
        <v>0.65882354974746704</v>
      </c>
      <c r="U24" s="78">
        <v>0</v>
      </c>
      <c r="V24" s="78">
        <v>0</v>
      </c>
      <c r="W24" s="78">
        <v>0</v>
      </c>
      <c r="X24" s="78">
        <v>0</v>
      </c>
      <c r="Y24" s="78">
        <v>0</v>
      </c>
      <c r="Z24" s="78">
        <v>0</v>
      </c>
      <c r="AA24" s="78">
        <v>0</v>
      </c>
      <c r="AB24" s="78">
        <v>0</v>
      </c>
      <c r="AC24" s="79"/>
      <c r="AD24" s="79"/>
      <c r="AE24" s="79"/>
      <c r="AF24" s="79"/>
      <c r="AG24" s="79"/>
      <c r="AH24" s="1">
        <f t="array" ref="AH24">SUM(A23:C25*$AD$11:$AF$13)</f>
        <v>0</v>
      </c>
      <c r="AI24" s="1">
        <f t="array" ref="AI24">SUM(B23:D25*$AD$11:$AF$13)</f>
        <v>0</v>
      </c>
      <c r="AJ24" s="1">
        <f t="array" ref="AJ24">SUM(C23:E25*$AD$11:$AF$13)</f>
        <v>0</v>
      </c>
      <c r="AK24" s="1">
        <f t="array" ref="AK24">SUM(D23:F25*$AD$11:$AF$13)</f>
        <v>0</v>
      </c>
      <c r="AL24" s="1">
        <f t="array" ref="AL24">SUM(E23:G25*$AD$11:$AF$13)</f>
        <v>0</v>
      </c>
      <c r="AM24" s="1">
        <f t="array" ref="AM24">SUM(F23:H25*$AD$11:$AF$13)</f>
        <v>0</v>
      </c>
      <c r="AN24" s="1">
        <f t="array" ref="AN24">SUM(G23:I25*$AD$11:$AF$13)</f>
        <v>0</v>
      </c>
      <c r="AO24" s="1">
        <f t="array" ref="AO24">SUM(H23:J25*$AD$11:$AF$13)</f>
        <v>0</v>
      </c>
      <c r="AP24" s="1">
        <f t="array" ref="AP24">SUM(I23:K25*$AD$11:$AF$13)</f>
        <v>0</v>
      </c>
      <c r="AQ24" s="1">
        <f t="array" ref="AQ24">SUM(J23:L25*$AD$11:$AF$13)</f>
        <v>0</v>
      </c>
      <c r="AR24" s="1">
        <f t="array" ref="AR24">SUM(K23:M25*$AD$11:$AF$13)</f>
        <v>0</v>
      </c>
      <c r="AS24" s="1">
        <f t="array" ref="AS24">SUM(L23:N25*$AD$11:$AF$13)</f>
        <v>0</v>
      </c>
      <c r="AT24" s="1">
        <f t="array" ref="AT24">SUM(M23:O25*$AD$11:$AF$13)</f>
        <v>0</v>
      </c>
      <c r="AU24" s="1">
        <f t="array" ref="AU24">SUM(N23:P25*$AD$11:$AF$13)</f>
        <v>0</v>
      </c>
      <c r="AV24" s="1">
        <f t="array" ref="AV24">SUM(O23:Q25*$AD$11:$AF$13)</f>
        <v>-0.94901967048644997</v>
      </c>
      <c r="AW24" s="1">
        <f t="array" ref="AW24">SUM(P23:R25*$AD$11:$AF$13)</f>
        <v>-1.4000000953674308</v>
      </c>
      <c r="AX24" s="1">
        <f t="array" ref="AX24">SUM(Q23:S25*$AD$11:$AF$13)</f>
        <v>-1.3411765694618218</v>
      </c>
      <c r="AY24" s="1">
        <f t="array" ref="AY24">SUM(R23:T25*$AD$11:$AF$13)</f>
        <v>0.31764706969261214</v>
      </c>
      <c r="AZ24" s="1">
        <f t="array" ref="AZ24">SUM(S23:U25*$AD$11:$AF$13)</f>
        <v>0.99215692281722989</v>
      </c>
      <c r="BA24" s="1">
        <f t="array" ref="BA24">SUM(T23:V25*$AD$11:$AF$13)</f>
        <v>0.93333339691162098</v>
      </c>
      <c r="BB24" s="1">
        <f t="array" ref="BB24">SUM(U23:W25*$AD$11:$AF$13)</f>
        <v>0.223529428243637</v>
      </c>
      <c r="BC24" s="1">
        <f t="array" ref="BC24">SUM(V23:X25*$AD$11:$AF$13)</f>
        <v>0</v>
      </c>
      <c r="BD24" s="1">
        <f t="array" ref="BD24">SUM(W23:Y25*$AD$11:$AF$13)</f>
        <v>0</v>
      </c>
      <c r="BE24" s="1">
        <f t="array" ref="BE24">SUM(X23:Z25*$AD$11:$AF$13)</f>
        <v>0</v>
      </c>
      <c r="BF24" s="1">
        <f t="array" ref="BF24">SUM(Y23:AA25*$AD$11:$AF$13)</f>
        <v>0</v>
      </c>
      <c r="BG24" s="1">
        <f t="array" ref="BG24">SUM(Z23:AB25*$AD$11:$AF$13)</f>
        <v>0</v>
      </c>
      <c r="BH24" s="79"/>
      <c r="BI24" s="79"/>
      <c r="BJ24" s="79"/>
      <c r="BK24" s="1">
        <f t="shared" si="3"/>
        <v>0</v>
      </c>
      <c r="BL24" s="1">
        <f t="shared" si="3"/>
        <v>0</v>
      </c>
      <c r="BM24" s="1">
        <f t="shared" si="3"/>
        <v>0</v>
      </c>
      <c r="BN24" s="1">
        <f t="shared" si="3"/>
        <v>0</v>
      </c>
      <c r="BO24" s="1">
        <f t="shared" si="3"/>
        <v>0</v>
      </c>
      <c r="BP24" s="1">
        <f t="shared" si="3"/>
        <v>0</v>
      </c>
      <c r="BQ24" s="1">
        <f t="shared" si="3"/>
        <v>0</v>
      </c>
      <c r="BR24" s="1">
        <f t="shared" si="3"/>
        <v>0</v>
      </c>
      <c r="BS24" s="1">
        <f t="shared" si="3"/>
        <v>0</v>
      </c>
      <c r="BT24" s="1">
        <f t="shared" si="66"/>
        <v>0</v>
      </c>
      <c r="BU24" s="1">
        <f t="shared" si="66"/>
        <v>0</v>
      </c>
      <c r="BV24" s="1">
        <f t="shared" si="66"/>
        <v>0</v>
      </c>
      <c r="BW24" s="1">
        <f t="shared" si="66"/>
        <v>0</v>
      </c>
      <c r="BX24" s="1">
        <f t="shared" si="66"/>
        <v>0</v>
      </c>
      <c r="BY24" s="1">
        <f t="shared" si="66"/>
        <v>0</v>
      </c>
      <c r="BZ24" s="1">
        <f t="shared" si="66"/>
        <v>0</v>
      </c>
      <c r="CA24" s="1">
        <f t="shared" si="66"/>
        <v>0</v>
      </c>
      <c r="CB24" s="1">
        <f t="shared" si="66"/>
        <v>0.31764706969261214</v>
      </c>
      <c r="CC24" s="1">
        <f t="shared" si="66"/>
        <v>0.99215692281722989</v>
      </c>
      <c r="CD24" s="1">
        <f t="shared" si="66"/>
        <v>0.93333339691162098</v>
      </c>
      <c r="CE24" s="1">
        <f t="shared" si="4"/>
        <v>0.223529428243637</v>
      </c>
      <c r="CF24" s="1">
        <f t="shared" si="4"/>
        <v>0</v>
      </c>
      <c r="CG24" s="1">
        <f t="shared" si="4"/>
        <v>0</v>
      </c>
      <c r="CH24" s="1">
        <f t="shared" si="4"/>
        <v>0</v>
      </c>
      <c r="CI24" s="1">
        <f t="shared" si="4"/>
        <v>0</v>
      </c>
      <c r="CJ24" s="1">
        <f t="shared" si="4"/>
        <v>0</v>
      </c>
      <c r="DS24">
        <f t="array" ref="DS24">SUM(AH23:AJ25*$DO$11:$DQ$13)+SUM(AH52:AJ54*$DO$15:$DQ$17)</f>
        <v>0</v>
      </c>
      <c r="DT24">
        <f t="array" ref="DT24">SUM(AI23:AK25*$DO$11:$DQ$13)+SUM(AI52:AK54*$DO$15:$DQ$17)</f>
        <v>0</v>
      </c>
      <c r="DU24">
        <f t="array" ref="DU24">SUM(AJ23:AL25*$DO$11:$DQ$13)+SUM(AJ52:AL54*$DO$15:$DQ$17)</f>
        <v>-2.0580463349243776E-2</v>
      </c>
      <c r="DV24">
        <f t="array" ref="DV24">SUM(AK23:AM25*$DO$11:$DQ$13)+SUM(AK52:AM54*$DO$15:$DQ$17)</f>
        <v>-0.13061240848890107</v>
      </c>
      <c r="DW24">
        <f t="array" ref="DW24">SUM(AL23:AN25*$DO$11:$DQ$13)+SUM(AL52:AN54*$DO$15:$DQ$17)</f>
        <v>0.13067881740119244</v>
      </c>
      <c r="DX24">
        <f t="array" ref="DX24">SUM(AM23:AO25*$DO$11:$DQ$13)+SUM(AM52:AO54*$DO$15:$DQ$17)</f>
        <v>0.45155577796805796</v>
      </c>
      <c r="DY24">
        <f t="array" ref="DY24">SUM(AN23:AP25*$DO$11:$DQ$13)+SUM(AN52:AP54*$DO$15:$DQ$17)</f>
        <v>0.65379735518921556</v>
      </c>
      <c r="DZ24">
        <f t="array" ref="DZ24">SUM(AO23:AQ25*$DO$11:$DQ$13)+SUM(AO52:AQ54*$DO$15:$DQ$17)</f>
        <v>0.65342667539434651</v>
      </c>
      <c r="EA24">
        <f t="array" ref="EA24">SUM(AP23:AR25*$DO$11:$DQ$13)+SUM(AP52:AR54*$DO$15:$DQ$17)</f>
        <v>0</v>
      </c>
      <c r="EB24">
        <f t="array" ref="EB24">SUM(AQ23:AS25*$DO$11:$DQ$13)+SUM(AQ52:AS54*$DO$15:$DQ$17)</f>
        <v>0</v>
      </c>
      <c r="EC24">
        <f t="array" ref="EC24">SUM(AR23:AT25*$DO$11:$DQ$13)+SUM(AR52:AT54*$DO$15:$DQ$17)</f>
        <v>0</v>
      </c>
      <c r="ED24">
        <f t="array" ref="ED24">SUM(AS23:AU25*$DO$11:$DQ$13)+SUM(AS52:AU54*$DO$15:$DQ$17)</f>
        <v>-0.44071841954868912</v>
      </c>
      <c r="EE24">
        <f t="array" ref="EE24">SUM(AT23:AV25*$DO$11:$DQ$13)+SUM(AT52:AV54*$DO$15:$DQ$17)</f>
        <v>-3.4644011929447931</v>
      </c>
      <c r="EF24">
        <f t="array" ref="EF24">SUM(AU23:AW25*$DO$11:$DQ$13)+SUM(AU52:AW54*$DO$15:$DQ$17)</f>
        <v>-8.0326940206367166</v>
      </c>
      <c r="EG24">
        <f t="array" ref="EG24">SUM(AV23:AX25*$DO$11:$DQ$13)+SUM(AV52:AX54*$DO$15:$DQ$17)</f>
        <v>-10.055122198950924</v>
      </c>
      <c r="EH24">
        <f t="array" ref="EH24">SUM(AW23:AY25*$DO$11:$DQ$13)+SUM(AW52:AY54*$DO$15:$DQ$17)</f>
        <v>-6.2252093983887473</v>
      </c>
      <c r="EI24">
        <f t="array" ref="EI24">SUM(AX23:AZ25*$DO$11:$DQ$13)+SUM(AX52:AZ54*$DO$15:$DQ$17)</f>
        <v>2.2271157425017125</v>
      </c>
      <c r="EJ24">
        <f t="array" ref="EJ24">SUM(AY23:BA25*$DO$11:$DQ$13)+SUM(AY52:BA54*$DO$15:$DQ$17)</f>
        <v>8.9944310038592974</v>
      </c>
      <c r="EK24">
        <f t="array" ref="EK24">SUM(AZ23:BB25*$DO$11:$DQ$13)+SUM(AZ52:BB54*$DO$15:$DQ$17)</f>
        <v>10.127779486937833</v>
      </c>
      <c r="EL24">
        <f t="array" ref="EL24">SUM(BA23:BC25*$DO$11:$DQ$13)+SUM(BA52:BC54*$DO$15:$DQ$17)</f>
        <v>5.986413649852933</v>
      </c>
      <c r="EM24">
        <f t="array" ref="EM24">SUM(BB23:BD25*$DO$11:$DQ$13)+SUM(BB52:BD54*$DO$15:$DQ$17)</f>
        <v>1.3789870582118537</v>
      </c>
      <c r="EN24">
        <f t="array" ref="EN24">SUM(BC23:BE25*$DO$11:$DQ$13)+SUM(BC52:BE54*$DO$15:$DQ$17)</f>
        <v>0</v>
      </c>
      <c r="EO24">
        <f t="array" ref="EO24">SUM(BD23:BF25*$DO$11:$DQ$13)+SUM(BD52:BF54*$DO$15:$DQ$17)</f>
        <v>0</v>
      </c>
      <c r="EP24">
        <f t="array" ref="EP24">SUM(BE23:BG25*$DO$11:$DQ$13)+SUM(BE52:BG54*$DO$15:$DQ$17)</f>
        <v>0</v>
      </c>
      <c r="ES24" s="127">
        <f t="shared" ref="ES24" si="115">MAX(DS24:DT25)</f>
        <v>0</v>
      </c>
      <c r="ET24" s="127"/>
      <c r="EU24" s="127">
        <f t="shared" ref="EU24" si="116">MAX(DU24:DV25)</f>
        <v>0</v>
      </c>
      <c r="EV24" s="127"/>
      <c r="EW24" s="127">
        <f t="shared" ref="EW24" si="117">MAX(DW24:DX25)</f>
        <v>0.45155577796805796</v>
      </c>
      <c r="EX24" s="127"/>
      <c r="EY24" s="127">
        <f t="shared" ref="EY24" si="118">MAX(DY24:DZ25)</f>
        <v>0.65379735518921556</v>
      </c>
      <c r="EZ24" s="127"/>
      <c r="FA24" s="127">
        <f t="shared" ref="FA24" si="119">MAX(EA24:EB25)</f>
        <v>0</v>
      </c>
      <c r="FB24" s="127"/>
      <c r="FC24" s="127">
        <f t="shared" ref="FC24" si="120">MAX(EC24:ED25)</f>
        <v>0</v>
      </c>
      <c r="FD24" s="127"/>
      <c r="FE24" s="127">
        <f t="shared" ref="FE24" si="121">MAX(EE24:EF25)</f>
        <v>-3.4644011929447931</v>
      </c>
      <c r="FF24" s="127"/>
      <c r="FG24" s="127">
        <f t="shared" ref="FG24" si="122">MAX(EG24:EH25)</f>
        <v>-1.1011953757707713</v>
      </c>
      <c r="FH24" s="127"/>
      <c r="FI24" s="127">
        <f t="shared" ref="FI24" si="123">MAX(EI24:EJ25)</f>
        <v>10.523966133587916</v>
      </c>
      <c r="FJ24" s="127"/>
      <c r="FK24" s="127">
        <f t="shared" ref="FK24" si="124">MAX(EK24:EL25)</f>
        <v>10.127779486937833</v>
      </c>
      <c r="FL24" s="127"/>
      <c r="FM24" s="127">
        <f t="shared" ref="FM24" si="125">MAX(EM24:EN25)</f>
        <v>1.3789870582118537</v>
      </c>
      <c r="FN24" s="127"/>
      <c r="FO24" s="127">
        <f t="shared" ref="FO24" si="126">MAX(EO24:EP25)</f>
        <v>0</v>
      </c>
      <c r="FP24" s="127"/>
      <c r="FT24">
        <v>0.95496272281351069</v>
      </c>
      <c r="FV24">
        <v>0.32233146151537484</v>
      </c>
      <c r="FX24">
        <v>0.16307642574796755</v>
      </c>
      <c r="FZ24">
        <v>0.49446079040847624</v>
      </c>
      <c r="GB24">
        <v>7.6757388213135713E-2</v>
      </c>
      <c r="GD24">
        <v>0.63281019498481517</v>
      </c>
      <c r="GF24">
        <v>0.56370277274367719</v>
      </c>
      <c r="GH24">
        <v>0.36808471169648782</v>
      </c>
      <c r="GJ24">
        <v>0.45406819419430133</v>
      </c>
      <c r="GL24">
        <v>0.1645299637414086</v>
      </c>
      <c r="GN24">
        <v>0.68701911360008505</v>
      </c>
      <c r="GP24">
        <v>0.38469911663613543</v>
      </c>
      <c r="GR24">
        <v>0.27364551997092634</v>
      </c>
    </row>
    <row r="25" spans="1:200" ht="27.75" customHeight="1" x14ac:dyDescent="0.25">
      <c r="A25" s="78">
        <v>0</v>
      </c>
      <c r="B25" s="78">
        <v>0</v>
      </c>
      <c r="C25" s="78">
        <v>0</v>
      </c>
      <c r="D25" s="78">
        <v>0</v>
      </c>
      <c r="E25" s="78">
        <v>0</v>
      </c>
      <c r="F25" s="78">
        <v>0</v>
      </c>
      <c r="G25" s="78">
        <v>0</v>
      </c>
      <c r="H25" s="78">
        <v>0</v>
      </c>
      <c r="I25" s="78">
        <v>0</v>
      </c>
      <c r="J25" s="78">
        <v>0</v>
      </c>
      <c r="K25" s="78">
        <v>0</v>
      </c>
      <c r="L25" s="78">
        <v>0</v>
      </c>
      <c r="M25" s="78">
        <v>0</v>
      </c>
      <c r="N25" s="78">
        <v>0</v>
      </c>
      <c r="O25" s="78">
        <v>0</v>
      </c>
      <c r="P25" s="78">
        <v>0</v>
      </c>
      <c r="Q25" s="78">
        <v>0.94901967048644997</v>
      </c>
      <c r="R25" s="78">
        <v>0.99607849121093694</v>
      </c>
      <c r="S25" s="78">
        <v>0.93725496530532804</v>
      </c>
      <c r="T25" s="78">
        <v>0.223529428243637</v>
      </c>
      <c r="U25" s="78">
        <v>0</v>
      </c>
      <c r="V25" s="78">
        <v>0</v>
      </c>
      <c r="W25" s="78">
        <v>0</v>
      </c>
      <c r="X25" s="78">
        <v>0</v>
      </c>
      <c r="Y25" s="78">
        <v>0</v>
      </c>
      <c r="Z25" s="78">
        <v>0</v>
      </c>
      <c r="AA25" s="78">
        <v>0</v>
      </c>
      <c r="AB25" s="78">
        <v>0</v>
      </c>
      <c r="AC25" s="79"/>
      <c r="AD25" s="79"/>
      <c r="AE25" s="79"/>
      <c r="AF25" s="79"/>
      <c r="AG25" s="79"/>
      <c r="AH25" s="1">
        <f t="array" ref="AH25">SUM(A24:C26*$AD$11:$AF$13)</f>
        <v>0</v>
      </c>
      <c r="AI25" s="1">
        <f t="array" ref="AI25">SUM(B24:D26*$AD$11:$AF$13)</f>
        <v>0</v>
      </c>
      <c r="AJ25" s="1">
        <f t="array" ref="AJ25">SUM(C24:E26*$AD$11:$AF$13)</f>
        <v>0</v>
      </c>
      <c r="AK25" s="1">
        <f t="array" ref="AK25">SUM(D24:F26*$AD$11:$AF$13)</f>
        <v>0</v>
      </c>
      <c r="AL25" s="1">
        <f t="array" ref="AL25">SUM(E24:G26*$AD$11:$AF$13)</f>
        <v>0</v>
      </c>
      <c r="AM25" s="1">
        <f t="array" ref="AM25">SUM(F24:H26*$AD$11:$AF$13)</f>
        <v>0</v>
      </c>
      <c r="AN25" s="1">
        <f t="array" ref="AN25">SUM(G24:I26*$AD$11:$AF$13)</f>
        <v>0</v>
      </c>
      <c r="AO25" s="1">
        <f t="array" ref="AO25">SUM(H24:J26*$AD$11:$AF$13)</f>
        <v>0</v>
      </c>
      <c r="AP25" s="1">
        <f t="array" ref="AP25">SUM(I24:K26*$AD$11:$AF$13)</f>
        <v>0</v>
      </c>
      <c r="AQ25" s="1">
        <f t="array" ref="AQ25">SUM(J24:L26*$AD$11:$AF$13)</f>
        <v>0</v>
      </c>
      <c r="AR25" s="1">
        <f t="array" ref="AR25">SUM(K24:M26*$AD$11:$AF$13)</f>
        <v>0</v>
      </c>
      <c r="AS25" s="1">
        <f t="array" ref="AS25">SUM(L24:N26*$AD$11:$AF$13)</f>
        <v>0</v>
      </c>
      <c r="AT25" s="1">
        <f t="array" ref="AT25">SUM(M24:O26*$AD$11:$AF$13)</f>
        <v>0</v>
      </c>
      <c r="AU25" s="1">
        <f t="array" ref="AU25">SUM(N24:P26*$AD$11:$AF$13)</f>
        <v>-0.34901961684226901</v>
      </c>
      <c r="AV25" s="1">
        <f t="array" ref="AV25">SUM(O24:Q26*$AD$11:$AF$13)</f>
        <v>-0.50980392098426697</v>
      </c>
      <c r="AW25" s="1">
        <f t="array" ref="AW25">SUM(P24:R26*$AD$11:$AF$13)</f>
        <v>-0.47450980544090116</v>
      </c>
      <c r="AX25" s="1">
        <f t="array" ref="AX25">SUM(Q24:S26*$AD$11:$AF$13)</f>
        <v>0.53333339095115684</v>
      </c>
      <c r="AY25" s="1">
        <f t="array" ref="AY25">SUM(R24:T26*$AD$11:$AF$13)</f>
        <v>1.3529412448406219</v>
      </c>
      <c r="AZ25" s="1">
        <f t="array" ref="AZ25">SUM(S24:U26*$AD$11:$AF$13)</f>
        <v>1.317647129297256</v>
      </c>
      <c r="BA25" s="1">
        <f t="array" ref="BA25">SUM(T24:V26*$AD$11:$AF$13)</f>
        <v>0.65882354974746704</v>
      </c>
      <c r="BB25" s="1">
        <f t="array" ref="BB25">SUM(U24:W26*$AD$11:$AF$13)</f>
        <v>0</v>
      </c>
      <c r="BC25" s="1">
        <f t="array" ref="BC25">SUM(V24:X26*$AD$11:$AF$13)</f>
        <v>0</v>
      </c>
      <c r="BD25" s="1">
        <f t="array" ref="BD25">SUM(W24:Y26*$AD$11:$AF$13)</f>
        <v>0</v>
      </c>
      <c r="BE25" s="1">
        <f t="array" ref="BE25">SUM(X24:Z26*$AD$11:$AF$13)</f>
        <v>0</v>
      </c>
      <c r="BF25" s="1">
        <f t="array" ref="BF25">SUM(Y24:AA26*$AD$11:$AF$13)</f>
        <v>0</v>
      </c>
      <c r="BG25" s="1">
        <f t="array" ref="BG25">SUM(Z24:AB26*$AD$11:$AF$13)</f>
        <v>0</v>
      </c>
      <c r="BH25" s="79"/>
      <c r="BI25" s="79"/>
      <c r="BJ25" s="79"/>
      <c r="BK25" s="1">
        <f t="shared" si="3"/>
        <v>0</v>
      </c>
      <c r="BL25" s="1">
        <f t="shared" si="3"/>
        <v>0</v>
      </c>
      <c r="BM25" s="1">
        <f t="shared" si="3"/>
        <v>0</v>
      </c>
      <c r="BN25" s="1">
        <f t="shared" si="3"/>
        <v>0</v>
      </c>
      <c r="BO25" s="1">
        <f t="shared" si="3"/>
        <v>0</v>
      </c>
      <c r="BP25" s="1">
        <f t="shared" si="3"/>
        <v>0</v>
      </c>
      <c r="BQ25" s="1">
        <f t="shared" si="3"/>
        <v>0</v>
      </c>
      <c r="BR25" s="1">
        <f t="shared" si="3"/>
        <v>0</v>
      </c>
      <c r="BS25" s="1">
        <f t="shared" si="3"/>
        <v>0</v>
      </c>
      <c r="BT25" s="1">
        <f t="shared" si="66"/>
        <v>0</v>
      </c>
      <c r="BU25" s="1">
        <f t="shared" si="66"/>
        <v>0</v>
      </c>
      <c r="BV25" s="1">
        <f t="shared" si="66"/>
        <v>0</v>
      </c>
      <c r="BW25" s="1">
        <f t="shared" si="66"/>
        <v>0</v>
      </c>
      <c r="BX25" s="1">
        <f t="shared" si="66"/>
        <v>0</v>
      </c>
      <c r="BY25" s="1">
        <f t="shared" si="66"/>
        <v>0</v>
      </c>
      <c r="BZ25" s="1">
        <f t="shared" si="66"/>
        <v>0</v>
      </c>
      <c r="CA25" s="1">
        <f t="shared" si="66"/>
        <v>0.53333339095115684</v>
      </c>
      <c r="CB25" s="1">
        <f t="shared" si="66"/>
        <v>1.3529412448406219</v>
      </c>
      <c r="CC25" s="1">
        <f t="shared" si="66"/>
        <v>1.317647129297256</v>
      </c>
      <c r="CD25" s="1">
        <f t="shared" si="66"/>
        <v>0.65882354974746704</v>
      </c>
      <c r="CE25" s="1">
        <f t="shared" si="4"/>
        <v>0</v>
      </c>
      <c r="CF25" s="1">
        <f t="shared" si="4"/>
        <v>0</v>
      </c>
      <c r="CG25" s="1">
        <f t="shared" si="4"/>
        <v>0</v>
      </c>
      <c r="CH25" s="1">
        <f t="shared" si="4"/>
        <v>0</v>
      </c>
      <c r="CI25" s="1">
        <f t="shared" si="4"/>
        <v>0</v>
      </c>
      <c r="CJ25" s="1">
        <f t="shared" si="4"/>
        <v>0</v>
      </c>
      <c r="DS25">
        <f t="array" ref="DS25">SUM(AH24:AJ26*$DO$11:$DQ$13)+SUM(AH53:AJ55*$DO$15:$DQ$17)</f>
        <v>0</v>
      </c>
      <c r="DT25">
        <f t="array" ref="DT25">SUM(AI24:AK26*$DO$11:$DQ$13)+SUM(AI53:AK55*$DO$15:$DQ$17)</f>
        <v>0</v>
      </c>
      <c r="DU25">
        <f t="array" ref="DU25">SUM(AJ24:AL26*$DO$11:$DQ$13)+SUM(AJ53:AL55*$DO$15:$DQ$17)</f>
        <v>0</v>
      </c>
      <c r="DV25">
        <f t="array" ref="DV25">SUM(AK24:AM26*$DO$11:$DQ$13)+SUM(AK53:AM55*$DO$15:$DQ$17)</f>
        <v>0</v>
      </c>
      <c r="DW25">
        <f t="array" ref="DW25">SUM(AL24:AN26*$DO$11:$DQ$13)+SUM(AL53:AN55*$DO$15:$DQ$17)</f>
        <v>0</v>
      </c>
      <c r="DX25">
        <f t="array" ref="DX25">SUM(AM24:AO26*$DO$11:$DQ$13)+SUM(AM53:AO55*$DO$15:$DQ$17)</f>
        <v>0</v>
      </c>
      <c r="DY25">
        <f t="array" ref="DY25">SUM(AN24:AP26*$DO$11:$DQ$13)+SUM(AN53:AP55*$DO$15:$DQ$17)</f>
        <v>0</v>
      </c>
      <c r="DZ25">
        <f t="array" ref="DZ25">SUM(AO24:AQ26*$DO$11:$DQ$13)+SUM(AO53:AQ55*$DO$15:$DQ$17)</f>
        <v>0</v>
      </c>
      <c r="EA25">
        <f t="array" ref="EA25">SUM(AP24:AR26*$DO$11:$DQ$13)+SUM(AP53:AR55*$DO$15:$DQ$17)</f>
        <v>0</v>
      </c>
      <c r="EB25">
        <f t="array" ref="EB25">SUM(AQ24:AS26*$DO$11:$DQ$13)+SUM(AQ53:AS55*$DO$15:$DQ$17)</f>
        <v>0</v>
      </c>
      <c r="EC25">
        <f t="array" ref="EC25">SUM(AR24:AT26*$DO$11:$DQ$13)+SUM(AR53:AT55*$DO$15:$DQ$17)</f>
        <v>-2.4759462010243274E-2</v>
      </c>
      <c r="ED25">
        <f t="array" ref="ED25">SUM(AS24:AU26*$DO$11:$DQ$13)+SUM(AS53:AU55*$DO$15:$DQ$17)</f>
        <v>-1.3759161383215552</v>
      </c>
      <c r="EE25">
        <f t="array" ref="EE25">SUM(AT24:AV26*$DO$11:$DQ$13)+SUM(AT53:AV55*$DO$15:$DQ$17)</f>
        <v>-5.4839422583327453</v>
      </c>
      <c r="EF25">
        <f t="array" ref="EF25">SUM(AU24:AW26*$DO$11:$DQ$13)+SUM(AU53:AW55*$DO$15:$DQ$17)</f>
        <v>-9.3708017079068231</v>
      </c>
      <c r="EG25">
        <f t="array" ref="EG25">SUM(AV24:AX26*$DO$11:$DQ$13)+SUM(AV53:AX55*$DO$15:$DQ$17)</f>
        <v>-7.9782216613685639</v>
      </c>
      <c r="EH25">
        <f t="array" ref="EH25">SUM(AW24:AY26*$DO$11:$DQ$13)+SUM(AW53:AY55*$DO$15:$DQ$17)</f>
        <v>-1.1011953757707713</v>
      </c>
      <c r="EI25">
        <f t="array" ref="EI25">SUM(AX24:AZ26*$DO$11:$DQ$13)+SUM(AX53:AZ55*$DO$15:$DQ$17)</f>
        <v>8.0894352936351552</v>
      </c>
      <c r="EJ25">
        <f t="array" ref="EJ25">SUM(AY24:BA26*$DO$11:$DQ$13)+SUM(AY53:BA55*$DO$15:$DQ$17)</f>
        <v>10.523966133587916</v>
      </c>
      <c r="EK25">
        <f t="array" ref="EK25">SUM(AZ24:BB26*$DO$11:$DQ$13)+SUM(AZ53:BB55*$DO$15:$DQ$17)</f>
        <v>8.4234974407690704</v>
      </c>
      <c r="EL25">
        <f t="array" ref="EL25">SUM(BA24:BC26*$DO$11:$DQ$13)+SUM(BA53:BC55*$DO$15:$DQ$17)</f>
        <v>3.444425152252133</v>
      </c>
      <c r="EM25">
        <f t="array" ref="EM25">SUM(BB24:BD26*$DO$11:$DQ$13)+SUM(BB53:BD55*$DO$15:$DQ$17)</f>
        <v>0.30036549111244848</v>
      </c>
      <c r="EN25">
        <f t="array" ref="EN25">SUM(BC24:BE26*$DO$11:$DQ$13)+SUM(BC53:BE55*$DO$15:$DQ$17)</f>
        <v>0</v>
      </c>
      <c r="EO25">
        <f t="array" ref="EO25">SUM(BD24:BF26*$DO$11:$DQ$13)+SUM(BD53:BF55*$DO$15:$DQ$17)</f>
        <v>0</v>
      </c>
      <c r="EP25">
        <f t="array" ref="EP25">SUM(BE24:BG26*$DO$11:$DQ$13)+SUM(BE53:BG55*$DO$15:$DQ$17)</f>
        <v>0</v>
      </c>
      <c r="ES25" s="127"/>
      <c r="ET25" s="127"/>
      <c r="EU25" s="127"/>
      <c r="EV25" s="127"/>
      <c r="EW25" s="127"/>
      <c r="EX25" s="127"/>
      <c r="EY25" s="127"/>
      <c r="EZ25" s="127"/>
      <c r="FA25" s="127"/>
      <c r="FB25" s="127"/>
      <c r="FC25" s="127"/>
      <c r="FD25" s="127"/>
      <c r="FE25" s="127"/>
      <c r="FF25" s="127"/>
      <c r="FG25" s="127"/>
      <c r="FH25" s="127"/>
      <c r="FI25" s="127"/>
      <c r="FJ25" s="127"/>
      <c r="FK25" s="127"/>
      <c r="FL25" s="127"/>
      <c r="FM25" s="127"/>
      <c r="FN25" s="127"/>
      <c r="FO25" s="127"/>
      <c r="FP25" s="127"/>
    </row>
    <row r="26" spans="1:200" ht="27.75" customHeight="1" x14ac:dyDescent="0.25">
      <c r="A26" s="78">
        <v>0</v>
      </c>
      <c r="B26" s="78">
        <v>0</v>
      </c>
      <c r="C26" s="78">
        <v>0</v>
      </c>
      <c r="D26" s="78">
        <v>0</v>
      </c>
      <c r="E26" s="78">
        <v>0</v>
      </c>
      <c r="F26" s="78">
        <v>0</v>
      </c>
      <c r="G26" s="78">
        <v>0</v>
      </c>
      <c r="H26" s="78">
        <v>0</v>
      </c>
      <c r="I26" s="78">
        <v>0</v>
      </c>
      <c r="J26" s="78">
        <v>0</v>
      </c>
      <c r="K26" s="78">
        <v>0</v>
      </c>
      <c r="L26" s="78">
        <v>0</v>
      </c>
      <c r="M26" s="78">
        <v>0</v>
      </c>
      <c r="N26" s="78">
        <v>0</v>
      </c>
      <c r="O26" s="78">
        <v>0</v>
      </c>
      <c r="P26" s="78">
        <v>0.34901961684226901</v>
      </c>
      <c r="Q26" s="78">
        <v>0.98431378602981501</v>
      </c>
      <c r="R26" s="78">
        <v>0.94509810209274203</v>
      </c>
      <c r="S26" s="78">
        <v>0.33725491166114802</v>
      </c>
      <c r="T26" s="78">
        <v>0</v>
      </c>
      <c r="U26" s="78">
        <v>0</v>
      </c>
      <c r="V26" s="78">
        <v>0</v>
      </c>
      <c r="W26" s="78">
        <v>0</v>
      </c>
      <c r="X26" s="78">
        <v>0</v>
      </c>
      <c r="Y26" s="78">
        <v>0</v>
      </c>
      <c r="Z26" s="78">
        <v>0</v>
      </c>
      <c r="AA26" s="78">
        <v>0</v>
      </c>
      <c r="AB26" s="78">
        <v>0</v>
      </c>
      <c r="AC26" s="79"/>
      <c r="AD26" s="79"/>
      <c r="AE26" s="79"/>
      <c r="AF26" s="79"/>
      <c r="AG26" s="79"/>
      <c r="AH26" s="1">
        <f t="array" ref="AH26">SUM(A25:C27*$AD$11:$AF$13)</f>
        <v>0</v>
      </c>
      <c r="AI26" s="1">
        <f t="array" ref="AI26">SUM(B25:D27*$AD$11:$AF$13)</f>
        <v>0</v>
      </c>
      <c r="AJ26" s="1">
        <f t="array" ref="AJ26">SUM(C25:E27*$AD$11:$AF$13)</f>
        <v>0</v>
      </c>
      <c r="AK26" s="1">
        <f t="array" ref="AK26">SUM(D25:F27*$AD$11:$AF$13)</f>
        <v>0</v>
      </c>
      <c r="AL26" s="1">
        <f t="array" ref="AL26">SUM(E25:G27*$AD$11:$AF$13)</f>
        <v>0</v>
      </c>
      <c r="AM26" s="1">
        <f t="array" ref="AM26">SUM(F25:H27*$AD$11:$AF$13)</f>
        <v>0</v>
      </c>
      <c r="AN26" s="1">
        <f t="array" ref="AN26">SUM(G25:I27*$AD$11:$AF$13)</f>
        <v>0</v>
      </c>
      <c r="AO26" s="1">
        <f t="array" ref="AO26">SUM(H25:J27*$AD$11:$AF$13)</f>
        <v>0</v>
      </c>
      <c r="AP26" s="1">
        <f t="array" ref="AP26">SUM(I25:K27*$AD$11:$AF$13)</f>
        <v>0</v>
      </c>
      <c r="AQ26" s="1">
        <f t="array" ref="AQ26">SUM(J25:L27*$AD$11:$AF$13)</f>
        <v>0</v>
      </c>
      <c r="AR26" s="1">
        <f t="array" ref="AR26">SUM(K25:M27*$AD$11:$AF$13)</f>
        <v>0</v>
      </c>
      <c r="AS26" s="1">
        <f t="array" ref="AS26">SUM(L25:N27*$AD$11:$AF$13)</f>
        <v>0</v>
      </c>
      <c r="AT26" s="1">
        <f t="array" ref="AT26">SUM(M25:O27*$AD$11:$AF$13)</f>
        <v>-1.9607843831181498E-2</v>
      </c>
      <c r="AU26" s="1">
        <f t="array" ref="AU26">SUM(N25:P27*$AD$11:$AF$13)</f>
        <v>-0.82745105214416947</v>
      </c>
      <c r="AV26" s="1">
        <f t="array" ref="AV26">SUM(O25:Q27*$AD$11:$AF$13)</f>
        <v>-0.84313732571899846</v>
      </c>
      <c r="AW26" s="1">
        <f t="array" ref="AW26">SUM(P25:R27*$AD$11:$AF$13)</f>
        <v>-0.44313728809356701</v>
      </c>
      <c r="AX26" s="1">
        <f t="array" ref="AX26">SUM(Q25:S27*$AD$11:$AF$13)</f>
        <v>1.3019608855247489</v>
      </c>
      <c r="AY26" s="1">
        <f t="array" ref="AY26">SUM(R25:T27*$AD$11:$AF$13)</f>
        <v>1.5411765873432151</v>
      </c>
      <c r="AZ26" s="1">
        <f t="array" ref="AZ26">SUM(S25:U27*$AD$11:$AF$13)</f>
        <v>1.160784393548965</v>
      </c>
      <c r="BA26" s="1">
        <f t="array" ref="BA26">SUM(T25:V27*$AD$11:$AF$13)</f>
        <v>0.223529428243637</v>
      </c>
      <c r="BB26" s="1">
        <f t="array" ref="BB26">SUM(U25:W27*$AD$11:$AF$13)</f>
        <v>0</v>
      </c>
      <c r="BC26" s="1">
        <f t="array" ref="BC26">SUM(V25:X27*$AD$11:$AF$13)</f>
        <v>0</v>
      </c>
      <c r="BD26" s="1">
        <f t="array" ref="BD26">SUM(W25:Y27*$AD$11:$AF$13)</f>
        <v>0</v>
      </c>
      <c r="BE26" s="1">
        <f t="array" ref="BE26">SUM(X25:Z27*$AD$11:$AF$13)</f>
        <v>0</v>
      </c>
      <c r="BF26" s="1">
        <f t="array" ref="BF26">SUM(Y25:AA27*$AD$11:$AF$13)</f>
        <v>0</v>
      </c>
      <c r="BG26" s="1">
        <f t="array" ref="BG26">SUM(Z25:AB27*$AD$11:$AF$13)</f>
        <v>0</v>
      </c>
      <c r="BH26" s="79"/>
      <c r="BI26" s="79"/>
      <c r="BJ26" s="79"/>
      <c r="BK26" s="1">
        <f t="shared" si="3"/>
        <v>0</v>
      </c>
      <c r="BL26" s="1">
        <f t="shared" si="3"/>
        <v>0</v>
      </c>
      <c r="BM26" s="1">
        <f t="shared" si="3"/>
        <v>0</v>
      </c>
      <c r="BN26" s="1">
        <f t="shared" si="3"/>
        <v>0</v>
      </c>
      <c r="BO26" s="1">
        <f t="shared" si="3"/>
        <v>0</v>
      </c>
      <c r="BP26" s="1">
        <f t="shared" si="3"/>
        <v>0</v>
      </c>
      <c r="BQ26" s="1">
        <f t="shared" si="3"/>
        <v>0</v>
      </c>
      <c r="BR26" s="1">
        <f t="shared" si="3"/>
        <v>0</v>
      </c>
      <c r="BS26" s="1">
        <f t="shared" si="3"/>
        <v>0</v>
      </c>
      <c r="BT26" s="1">
        <f t="shared" si="66"/>
        <v>0</v>
      </c>
      <c r="BU26" s="1">
        <f t="shared" si="66"/>
        <v>0</v>
      </c>
      <c r="BV26" s="1">
        <f t="shared" si="66"/>
        <v>0</v>
      </c>
      <c r="BW26" s="1">
        <f t="shared" si="66"/>
        <v>0</v>
      </c>
      <c r="BX26" s="1">
        <f t="shared" si="66"/>
        <v>0</v>
      </c>
      <c r="BY26" s="1">
        <f t="shared" si="66"/>
        <v>0</v>
      </c>
      <c r="BZ26" s="1">
        <f t="shared" si="66"/>
        <v>0</v>
      </c>
      <c r="CA26" s="1">
        <f t="shared" si="66"/>
        <v>1.3019608855247489</v>
      </c>
      <c r="CB26" s="1">
        <f t="shared" si="66"/>
        <v>1.5411765873432151</v>
      </c>
      <c r="CC26" s="1">
        <f t="shared" si="66"/>
        <v>1.160784393548965</v>
      </c>
      <c r="CD26" s="1">
        <f t="shared" si="66"/>
        <v>0.223529428243637</v>
      </c>
      <c r="CE26" s="1">
        <f t="shared" si="4"/>
        <v>0</v>
      </c>
      <c r="CF26" s="1">
        <f t="shared" si="4"/>
        <v>0</v>
      </c>
      <c r="CG26" s="1">
        <f t="shared" si="4"/>
        <v>0</v>
      </c>
      <c r="CH26" s="1">
        <f t="shared" si="4"/>
        <v>0</v>
      </c>
      <c r="CI26" s="1">
        <f t="shared" si="4"/>
        <v>0</v>
      </c>
      <c r="CJ26" s="1">
        <f t="shared" si="4"/>
        <v>0</v>
      </c>
      <c r="DS26">
        <f t="array" ref="DS26">SUM(AH25:AJ27*$DO$11:$DQ$13)+SUM(AH54:AJ56*$DO$15:$DQ$17)</f>
        <v>0</v>
      </c>
      <c r="DT26">
        <f t="array" ref="DT26">SUM(AI25:AK27*$DO$11:$DQ$13)+SUM(AI54:AK56*$DO$15:$DQ$17)</f>
        <v>0</v>
      </c>
      <c r="DU26">
        <f t="array" ref="DU26">SUM(AJ25:AL27*$DO$11:$DQ$13)+SUM(AJ54:AL56*$DO$15:$DQ$17)</f>
        <v>0</v>
      </c>
      <c r="DV26">
        <f t="array" ref="DV26">SUM(AK25:AM27*$DO$11:$DQ$13)+SUM(AK54:AM56*$DO$15:$DQ$17)</f>
        <v>0</v>
      </c>
      <c r="DW26">
        <f t="array" ref="DW26">SUM(AL25:AN27*$DO$11:$DQ$13)+SUM(AL54:AN56*$DO$15:$DQ$17)</f>
        <v>0</v>
      </c>
      <c r="DX26">
        <f t="array" ref="DX26">SUM(AM25:AO27*$DO$11:$DQ$13)+SUM(AM54:AO56*$DO$15:$DQ$17)</f>
        <v>0</v>
      </c>
      <c r="DY26">
        <f t="array" ref="DY26">SUM(AN25:AP27*$DO$11:$DQ$13)+SUM(AN54:AP56*$DO$15:$DQ$17)</f>
        <v>0</v>
      </c>
      <c r="DZ26">
        <f t="array" ref="DZ26">SUM(AO25:AQ27*$DO$11:$DQ$13)+SUM(AO54:AQ56*$DO$15:$DQ$17)</f>
        <v>0</v>
      </c>
      <c r="EA26">
        <f t="array" ref="EA26">SUM(AP25:AR27*$DO$11:$DQ$13)+SUM(AP54:AR56*$DO$15:$DQ$17)</f>
        <v>0</v>
      </c>
      <c r="EB26">
        <f t="array" ref="EB26">SUM(AQ25:AS27*$DO$11:$DQ$13)+SUM(AQ54:AS56*$DO$15:$DQ$17)</f>
        <v>0</v>
      </c>
      <c r="EC26">
        <f t="array" ref="EC26">SUM(AR25:AT27*$DO$11:$DQ$13)+SUM(AR54:AT56*$DO$15:$DQ$17)</f>
        <v>-3.8277424586030666E-2</v>
      </c>
      <c r="ED26">
        <f t="array" ref="ED26">SUM(AS25:AU27*$DO$11:$DQ$13)+SUM(AS54:AU56*$DO$15:$DQ$17)</f>
        <v>-1.752274621410572</v>
      </c>
      <c r="EE26">
        <f t="array" ref="EE26">SUM(AT25:AV27*$DO$11:$DQ$13)+SUM(AT54:AV56*$DO$15:$DQ$17)</f>
        <v>-5.6925495458488582</v>
      </c>
      <c r="EF26">
        <f t="array" ref="EF26">SUM(AU25:AW27*$DO$11:$DQ$13)+SUM(AU54:AW56*$DO$15:$DQ$17)</f>
        <v>-7.4891028705765077</v>
      </c>
      <c r="EG26">
        <f t="array" ref="EG26">SUM(AV25:AX27*$DO$11:$DQ$13)+SUM(AV54:AX56*$DO$15:$DQ$17)</f>
        <v>-3.4637796793065103</v>
      </c>
      <c r="EH26">
        <f t="array" ref="EH26">SUM(AW25:AY27*$DO$11:$DQ$13)+SUM(AW54:AY56*$DO$15:$DQ$17)</f>
        <v>4.6531063304554374</v>
      </c>
      <c r="EI26">
        <f t="array" ref="EI26">SUM(AX25:AZ27*$DO$11:$DQ$13)+SUM(AX54:AZ56*$DO$15:$DQ$17)</f>
        <v>11.220877985259225</v>
      </c>
      <c r="EJ26">
        <f t="array" ref="EJ26">SUM(AY25:BA27*$DO$11:$DQ$13)+SUM(AY54:BA56*$DO$15:$DQ$17)</f>
        <v>9.7770354332502158</v>
      </c>
      <c r="EK26">
        <f t="array" ref="EK26">SUM(AZ25:BB27*$DO$11:$DQ$13)+SUM(AZ54:BB56*$DO$15:$DQ$17)</f>
        <v>5.3547763812710887</v>
      </c>
      <c r="EL26">
        <f t="array" ref="EL26">SUM(BA25:BC27*$DO$11:$DQ$13)+SUM(BA54:BC56*$DO$15:$DQ$17)</f>
        <v>1.3895261968457444</v>
      </c>
      <c r="EM26">
        <f t="array" ref="EM26">SUM(BB25:BD27*$DO$11:$DQ$13)+SUM(BB54:BD56*$DO$15:$DQ$17)</f>
        <v>0</v>
      </c>
      <c r="EN26">
        <f t="array" ref="EN26">SUM(BC25:BE27*$DO$11:$DQ$13)+SUM(BC54:BE56*$DO$15:$DQ$17)</f>
        <v>0</v>
      </c>
      <c r="EO26">
        <f t="array" ref="EO26">SUM(BD25:BF27*$DO$11:$DQ$13)+SUM(BD54:BF56*$DO$15:$DQ$17)</f>
        <v>0</v>
      </c>
      <c r="EP26">
        <f t="array" ref="EP26">SUM(BE25:BG27*$DO$11:$DQ$13)+SUM(BE54:BG56*$DO$15:$DQ$17)</f>
        <v>0</v>
      </c>
      <c r="ES26" s="127">
        <f t="shared" ref="ES26" si="127">MAX(DS26:DT27)</f>
        <v>0</v>
      </c>
      <c r="ET26" s="127"/>
      <c r="EU26" s="127">
        <f t="shared" ref="EU26" si="128">MAX(DU26:DV27)</f>
        <v>0</v>
      </c>
      <c r="EV26" s="127"/>
      <c r="EW26" s="127">
        <f t="shared" ref="EW26" si="129">MAX(DW26:DX27)</f>
        <v>0</v>
      </c>
      <c r="EX26" s="127"/>
      <c r="EY26" s="127">
        <f t="shared" ref="EY26" si="130">MAX(DY26:DZ27)</f>
        <v>0</v>
      </c>
      <c r="EZ26" s="127"/>
      <c r="FA26" s="127">
        <f t="shared" ref="FA26" si="131">MAX(EA26:EB27)</f>
        <v>0</v>
      </c>
      <c r="FB26" s="127"/>
      <c r="FC26" s="127">
        <f t="shared" ref="FC26" si="132">MAX(EC26:ED27)</f>
        <v>-3.4914373070061254E-2</v>
      </c>
      <c r="FD26" s="127"/>
      <c r="FE26" s="127">
        <f t="shared" ref="FE26" si="133">MAX(EE26:EF27)</f>
        <v>-3.5255161072693384</v>
      </c>
      <c r="FF26" s="127"/>
      <c r="FG26" s="127">
        <f t="shared" ref="FG26" si="134">MAX(EG26:EH27)</f>
        <v>8.618319768488881</v>
      </c>
      <c r="FH26" s="127"/>
      <c r="FI26" s="127">
        <f t="shared" ref="FI26" si="135">MAX(EI26:EJ27)</f>
        <v>11.220877985259225</v>
      </c>
      <c r="FJ26" s="127"/>
      <c r="FK26" s="127">
        <f t="shared" ref="FK26" si="136">MAX(EK26:EL27)</f>
        <v>5.3547763812710887</v>
      </c>
      <c r="FL26" s="127"/>
      <c r="FM26" s="127">
        <f t="shared" ref="FM26" si="137">MAX(EM26:EN27)</f>
        <v>0</v>
      </c>
      <c r="FN26" s="127"/>
      <c r="FO26" s="127">
        <f t="shared" ref="FO26" si="138">MAX(EO26:EP27)</f>
        <v>0</v>
      </c>
      <c r="FP26" s="127"/>
      <c r="FT26">
        <v>0.77862672875862771</v>
      </c>
      <c r="FV26">
        <v>0.31516726971965592</v>
      </c>
      <c r="FX26">
        <v>0.97164919477768663</v>
      </c>
      <c r="FZ26">
        <v>0.66325227229117822</v>
      </c>
      <c r="GB26">
        <v>0.60921366246287123</v>
      </c>
      <c r="GD26">
        <v>0.38562646242733833</v>
      </c>
      <c r="GF26">
        <v>9.7534208158065683E-2</v>
      </c>
      <c r="GH26">
        <v>1.0784944018047748E-2</v>
      </c>
      <c r="GJ26">
        <v>3.3840035885299713E-3</v>
      </c>
      <c r="GL26">
        <v>0.19329762214993429</v>
      </c>
      <c r="GN26">
        <v>0.71837106749307067</v>
      </c>
      <c r="GP26">
        <v>0.64915277430259266</v>
      </c>
      <c r="GR26">
        <v>0.41137274022015569</v>
      </c>
    </row>
    <row r="27" spans="1:200" ht="27.75" customHeight="1" x14ac:dyDescent="0.25">
      <c r="A27" s="78">
        <v>0</v>
      </c>
      <c r="B27" s="78">
        <v>0</v>
      </c>
      <c r="C27" s="78">
        <v>0</v>
      </c>
      <c r="D27" s="78">
        <v>0</v>
      </c>
      <c r="E27" s="78">
        <v>0</v>
      </c>
      <c r="F27" s="78">
        <v>0</v>
      </c>
      <c r="G27" s="78">
        <v>0</v>
      </c>
      <c r="H27" s="78">
        <v>0</v>
      </c>
      <c r="I27" s="78">
        <v>0</v>
      </c>
      <c r="J27" s="78">
        <v>0</v>
      </c>
      <c r="K27" s="78">
        <v>0</v>
      </c>
      <c r="L27" s="78">
        <v>0</v>
      </c>
      <c r="M27" s="78">
        <v>0</v>
      </c>
      <c r="N27" s="78">
        <v>0</v>
      </c>
      <c r="O27" s="78">
        <v>1.9607843831181498E-2</v>
      </c>
      <c r="P27" s="78">
        <v>0.80784320831298795</v>
      </c>
      <c r="Q27" s="78">
        <v>0.96470594406127896</v>
      </c>
      <c r="R27" s="78">
        <v>0.61568629741668701</v>
      </c>
      <c r="S27" s="78">
        <v>0</v>
      </c>
      <c r="T27" s="78">
        <v>0</v>
      </c>
      <c r="U27" s="78">
        <v>0</v>
      </c>
      <c r="V27" s="78">
        <v>0</v>
      </c>
      <c r="W27" s="78">
        <v>0</v>
      </c>
      <c r="X27" s="78">
        <v>0</v>
      </c>
      <c r="Y27" s="78">
        <v>0</v>
      </c>
      <c r="Z27" s="78">
        <v>0</v>
      </c>
      <c r="AA27" s="78">
        <v>0</v>
      </c>
      <c r="AB27" s="78">
        <v>0</v>
      </c>
      <c r="AC27" s="79"/>
      <c r="AD27" s="79"/>
      <c r="AE27" s="79"/>
      <c r="AF27" s="79"/>
      <c r="AG27" s="79"/>
      <c r="AH27" s="1">
        <f t="array" ref="AH27">SUM(A26:C28*$AD$11:$AF$13)</f>
        <v>0</v>
      </c>
      <c r="AI27" s="1">
        <f t="array" ref="AI27">SUM(B26:D28*$AD$11:$AF$13)</f>
        <v>0</v>
      </c>
      <c r="AJ27" s="1">
        <f t="array" ref="AJ27">SUM(C26:E28*$AD$11:$AF$13)</f>
        <v>0</v>
      </c>
      <c r="AK27" s="1">
        <f t="array" ref="AK27">SUM(D26:F28*$AD$11:$AF$13)</f>
        <v>0</v>
      </c>
      <c r="AL27" s="1">
        <f t="array" ref="AL27">SUM(E26:G28*$AD$11:$AF$13)</f>
        <v>0</v>
      </c>
      <c r="AM27" s="1">
        <f t="array" ref="AM27">SUM(F26:H28*$AD$11:$AF$13)</f>
        <v>0</v>
      </c>
      <c r="AN27" s="1">
        <f t="array" ref="AN27">SUM(G26:I28*$AD$11:$AF$13)</f>
        <v>0</v>
      </c>
      <c r="AO27" s="1">
        <f t="array" ref="AO27">SUM(H26:J28*$AD$11:$AF$13)</f>
        <v>0</v>
      </c>
      <c r="AP27" s="1">
        <f t="array" ref="AP27">SUM(I26:K28*$AD$11:$AF$13)</f>
        <v>0</v>
      </c>
      <c r="AQ27" s="1">
        <f t="array" ref="AQ27">SUM(J26:L28*$AD$11:$AF$13)</f>
        <v>0</v>
      </c>
      <c r="AR27" s="1">
        <f t="array" ref="AR27">SUM(K26:M28*$AD$11:$AF$13)</f>
        <v>0</v>
      </c>
      <c r="AS27" s="1">
        <f t="array" ref="AS27">SUM(L26:N28*$AD$11:$AF$13)</f>
        <v>0</v>
      </c>
      <c r="AT27" s="1">
        <f t="array" ref="AT27">SUM(M26:O28*$AD$11:$AF$13)</f>
        <v>-1.5686275437474199E-2</v>
      </c>
      <c r="AU27" s="1">
        <f t="array" ref="AU27">SUM(N26:P28*$AD$11:$AF$13)</f>
        <v>-0.12549022026360018</v>
      </c>
      <c r="AV27" s="1">
        <f t="array" ref="AV27">SUM(O26:Q28*$AD$11:$AF$13)</f>
        <v>0.58823531679809071</v>
      </c>
      <c r="AW27" s="1">
        <f t="array" ref="AW27">SUM(P26:R28*$AD$11:$AF$13)</f>
        <v>1.5490196943283068</v>
      </c>
      <c r="AX27" s="1">
        <f t="array" ref="AX27">SUM(Q26:S28*$AD$11:$AF$13)</f>
        <v>1.9960785508155809</v>
      </c>
      <c r="AY27" s="1">
        <f t="array" ref="AY27">SUM(R26:T28*$AD$11:$AF$13)</f>
        <v>1.2823530137538901</v>
      </c>
      <c r="AZ27" s="1">
        <f t="array" ref="AZ27">SUM(S26:U28*$AD$11:$AF$13)</f>
        <v>0.33725491166114802</v>
      </c>
      <c r="BA27" s="1">
        <f t="array" ref="BA27">SUM(T26:V28*$AD$11:$AF$13)</f>
        <v>0</v>
      </c>
      <c r="BB27" s="1">
        <f t="array" ref="BB27">SUM(U26:W28*$AD$11:$AF$13)</f>
        <v>0</v>
      </c>
      <c r="BC27" s="1">
        <f t="array" ref="BC27">SUM(V26:X28*$AD$11:$AF$13)</f>
        <v>0</v>
      </c>
      <c r="BD27" s="1">
        <f t="array" ref="BD27">SUM(W26:Y28*$AD$11:$AF$13)</f>
        <v>0</v>
      </c>
      <c r="BE27" s="1">
        <f t="array" ref="BE27">SUM(X26:Z28*$AD$11:$AF$13)</f>
        <v>0</v>
      </c>
      <c r="BF27" s="1">
        <f t="array" ref="BF27">SUM(Y26:AA28*$AD$11:$AF$13)</f>
        <v>0</v>
      </c>
      <c r="BG27" s="1">
        <f t="array" ref="BG27">SUM(Z26:AB28*$AD$11:$AF$13)</f>
        <v>0</v>
      </c>
      <c r="BH27" s="79"/>
      <c r="BI27" s="79"/>
      <c r="BJ27" s="79"/>
      <c r="BK27" s="1">
        <f t="shared" si="3"/>
        <v>0</v>
      </c>
      <c r="BL27" s="1">
        <f t="shared" si="3"/>
        <v>0</v>
      </c>
      <c r="BM27" s="1">
        <f t="shared" si="3"/>
        <v>0</v>
      </c>
      <c r="BN27" s="1">
        <f t="shared" si="3"/>
        <v>0</v>
      </c>
      <c r="BO27" s="1">
        <f t="shared" si="3"/>
        <v>0</v>
      </c>
      <c r="BP27" s="1">
        <f t="shared" si="3"/>
        <v>0</v>
      </c>
      <c r="BQ27" s="1">
        <f t="shared" si="3"/>
        <v>0</v>
      </c>
      <c r="BR27" s="1">
        <f t="shared" si="3"/>
        <v>0</v>
      </c>
      <c r="BS27" s="1">
        <f t="shared" si="3"/>
        <v>0</v>
      </c>
      <c r="BT27" s="1">
        <f t="shared" si="66"/>
        <v>0</v>
      </c>
      <c r="BU27" s="1">
        <f t="shared" si="66"/>
        <v>0</v>
      </c>
      <c r="BV27" s="1">
        <f t="shared" si="66"/>
        <v>0</v>
      </c>
      <c r="BW27" s="1">
        <f t="shared" si="66"/>
        <v>0</v>
      </c>
      <c r="BX27" s="1">
        <f t="shared" si="66"/>
        <v>0</v>
      </c>
      <c r="BY27" s="1">
        <f t="shared" si="66"/>
        <v>0.58823531679809071</v>
      </c>
      <c r="BZ27" s="1">
        <f t="shared" si="66"/>
        <v>1.5490196943283068</v>
      </c>
      <c r="CA27" s="1">
        <f t="shared" si="66"/>
        <v>1.9960785508155809</v>
      </c>
      <c r="CB27" s="1">
        <f t="shared" si="66"/>
        <v>1.2823530137538901</v>
      </c>
      <c r="CC27" s="1">
        <f t="shared" si="66"/>
        <v>0.33725491166114802</v>
      </c>
      <c r="CD27" s="1">
        <f t="shared" si="66"/>
        <v>0</v>
      </c>
      <c r="CE27" s="1">
        <f t="shared" si="4"/>
        <v>0</v>
      </c>
      <c r="CF27" s="1">
        <f t="shared" si="4"/>
        <v>0</v>
      </c>
      <c r="CG27" s="1">
        <f t="shared" si="4"/>
        <v>0</v>
      </c>
      <c r="CH27" s="1">
        <f t="shared" si="4"/>
        <v>0</v>
      </c>
      <c r="CI27" s="1">
        <f t="shared" si="4"/>
        <v>0</v>
      </c>
      <c r="CJ27" s="1">
        <f t="shared" si="4"/>
        <v>0</v>
      </c>
      <c r="DS27">
        <f t="array" ref="DS27">SUM(AH26:AJ28*$DO$11:$DQ$13)+SUM(AH55:AJ57*$DO$15:$DQ$17)</f>
        <v>0</v>
      </c>
      <c r="DT27">
        <f t="array" ref="DT27">SUM(AI26:AK28*$DO$11:$DQ$13)+SUM(AI55:AK57*$DO$15:$DQ$17)</f>
        <v>0</v>
      </c>
      <c r="DU27">
        <f t="array" ref="DU27">SUM(AJ26:AL28*$DO$11:$DQ$13)+SUM(AJ55:AL57*$DO$15:$DQ$17)</f>
        <v>0</v>
      </c>
      <c r="DV27">
        <f t="array" ref="DV27">SUM(AK26:AM28*$DO$11:$DQ$13)+SUM(AK55:AM57*$DO$15:$DQ$17)</f>
        <v>0</v>
      </c>
      <c r="DW27">
        <f t="array" ref="DW27">SUM(AL26:AN28*$DO$11:$DQ$13)+SUM(AL55:AN57*$DO$15:$DQ$17)</f>
        <v>0</v>
      </c>
      <c r="DX27">
        <f t="array" ref="DX27">SUM(AM26:AO28*$DO$11:$DQ$13)+SUM(AM55:AO57*$DO$15:$DQ$17)</f>
        <v>0</v>
      </c>
      <c r="DY27">
        <f t="array" ref="DY27">SUM(AN26:AP28*$DO$11:$DQ$13)+SUM(AN55:AP57*$DO$15:$DQ$17)</f>
        <v>0</v>
      </c>
      <c r="DZ27">
        <f t="array" ref="DZ27">SUM(AO26:AQ28*$DO$11:$DQ$13)+SUM(AO55:AQ57*$DO$15:$DQ$17)</f>
        <v>0</v>
      </c>
      <c r="EA27">
        <f t="array" ref="EA27">SUM(AP26:AR28*$DO$11:$DQ$13)+SUM(AP55:AR57*$DO$15:$DQ$17)</f>
        <v>0</v>
      </c>
      <c r="EB27">
        <f t="array" ref="EB27">SUM(AQ26:AS28*$DO$11:$DQ$13)+SUM(AQ55:AS57*$DO$15:$DQ$17)</f>
        <v>0</v>
      </c>
      <c r="EC27">
        <f t="array" ref="EC27">SUM(AR26:AT28*$DO$11:$DQ$13)+SUM(AR55:AT57*$DO$15:$DQ$17)</f>
        <v>-3.4914373070061254E-2</v>
      </c>
      <c r="ED27">
        <f t="array" ref="ED27">SUM(AS26:AU28*$DO$11:$DQ$13)+SUM(AS55:AU57*$DO$15:$DQ$17)</f>
        <v>-1.5912183911664597</v>
      </c>
      <c r="EE27">
        <f t="array" ref="EE27">SUM(AT26:AV28*$DO$11:$DQ$13)+SUM(AT55:AV57*$DO$15:$DQ$17)</f>
        <v>-4.1489249703250586</v>
      </c>
      <c r="EF27">
        <f t="array" ref="EF27">SUM(AU26:AW28*$DO$11:$DQ$13)+SUM(AU55:AW57*$DO$15:$DQ$17)</f>
        <v>-3.5255161072693384</v>
      </c>
      <c r="EG27">
        <f t="array" ref="EG27">SUM(AV26:AX28*$DO$11:$DQ$13)+SUM(AV55:AX57*$DO$15:$DQ$17)</f>
        <v>1.8578207823658577</v>
      </c>
      <c r="EH27">
        <f t="array" ref="EH27">SUM(AW26:AY28*$DO$11:$DQ$13)+SUM(AW55:AY57*$DO$15:$DQ$17)</f>
        <v>8.618319768488881</v>
      </c>
      <c r="EI27">
        <f t="array" ref="EI27">SUM(AX26:AZ28*$DO$11:$DQ$13)+SUM(AX55:AZ57*$DO$15:$DQ$17)</f>
        <v>10.506829761013238</v>
      </c>
      <c r="EJ27">
        <f t="array" ref="EJ27">SUM(AY26:BA28*$DO$11:$DQ$13)+SUM(AY55:BA57*$DO$15:$DQ$17)</f>
        <v>6.6589438129092606</v>
      </c>
      <c r="EK27">
        <f t="array" ref="EK27">SUM(AZ26:BB28*$DO$11:$DQ$13)+SUM(AZ55:BB57*$DO$15:$DQ$17)</f>
        <v>2.2771424872078039</v>
      </c>
      <c r="EL27">
        <f t="array" ref="EL27">SUM(BA26:BC28*$DO$11:$DQ$13)+SUM(BA55:BC57*$DO$15:$DQ$17)</f>
        <v>0.30036549111244848</v>
      </c>
      <c r="EM27">
        <f t="array" ref="EM27">SUM(BB26:BD28*$DO$11:$DQ$13)+SUM(BB55:BD57*$DO$15:$DQ$17)</f>
        <v>0</v>
      </c>
      <c r="EN27">
        <f t="array" ref="EN27">SUM(BC26:BE28*$DO$11:$DQ$13)+SUM(BC55:BE57*$DO$15:$DQ$17)</f>
        <v>0</v>
      </c>
      <c r="EO27">
        <f t="array" ref="EO27">SUM(BD26:BF28*$DO$11:$DQ$13)+SUM(BD55:BF57*$DO$15:$DQ$17)</f>
        <v>0</v>
      </c>
      <c r="EP27">
        <f t="array" ref="EP27">SUM(BE26:BG28*$DO$11:$DQ$13)+SUM(BE55:BG57*$DO$15:$DQ$17)</f>
        <v>0</v>
      </c>
      <c r="ES27" s="127"/>
      <c r="ET27" s="127"/>
      <c r="EU27" s="127"/>
      <c r="EV27" s="127"/>
      <c r="EW27" s="127"/>
      <c r="EX27" s="127"/>
      <c r="EY27" s="127"/>
      <c r="EZ27" s="127"/>
      <c r="FA27" s="127"/>
      <c r="FB27" s="127"/>
      <c r="FC27" s="127"/>
      <c r="FD27" s="127"/>
      <c r="FE27" s="127"/>
      <c r="FF27" s="127"/>
      <c r="FG27" s="127"/>
      <c r="FH27" s="127"/>
      <c r="FI27" s="127"/>
      <c r="FJ27" s="127"/>
      <c r="FK27" s="127"/>
      <c r="FL27" s="127"/>
      <c r="FM27" s="127"/>
      <c r="FN27" s="127"/>
      <c r="FO27" s="127"/>
      <c r="FP27" s="127"/>
    </row>
    <row r="28" spans="1:200" ht="27.75" customHeight="1" x14ac:dyDescent="0.25">
      <c r="A28" s="78">
        <v>0</v>
      </c>
      <c r="B28" s="78">
        <v>0</v>
      </c>
      <c r="C28" s="78">
        <v>0</v>
      </c>
      <c r="D28" s="78">
        <v>0</v>
      </c>
      <c r="E28" s="78">
        <v>0</v>
      </c>
      <c r="F28" s="78">
        <v>0</v>
      </c>
      <c r="G28" s="78">
        <v>0</v>
      </c>
      <c r="H28" s="78">
        <v>0</v>
      </c>
      <c r="I28" s="78">
        <v>0</v>
      </c>
      <c r="J28" s="78">
        <v>0</v>
      </c>
      <c r="K28" s="78">
        <v>0</v>
      </c>
      <c r="L28" s="78">
        <v>0</v>
      </c>
      <c r="M28" s="78">
        <v>0</v>
      </c>
      <c r="N28" s="78">
        <v>0</v>
      </c>
      <c r="O28" s="78">
        <v>1.5686275437474199E-2</v>
      </c>
      <c r="P28" s="78">
        <v>0.458823561668395</v>
      </c>
      <c r="Q28" s="78">
        <v>0.270588248968124</v>
      </c>
      <c r="R28" s="78">
        <v>0</v>
      </c>
      <c r="S28" s="78">
        <v>0</v>
      </c>
      <c r="T28" s="78">
        <v>0</v>
      </c>
      <c r="U28" s="78">
        <v>0</v>
      </c>
      <c r="V28" s="78">
        <v>0</v>
      </c>
      <c r="W28" s="78">
        <v>0</v>
      </c>
      <c r="X28" s="78">
        <v>0</v>
      </c>
      <c r="Y28" s="78">
        <v>0</v>
      </c>
      <c r="Z28" s="78">
        <v>0</v>
      </c>
      <c r="AA28" s="78">
        <v>0</v>
      </c>
      <c r="AB28" s="78">
        <v>0</v>
      </c>
      <c r="AC28" s="79"/>
      <c r="AD28" s="79"/>
      <c r="AE28" s="79"/>
      <c r="AF28" s="79"/>
      <c r="AG28" s="79"/>
      <c r="AH28" s="1">
        <f t="array" ref="AH28">SUM(A27:C29*$AD$11:$AF$13)</f>
        <v>0</v>
      </c>
      <c r="AI28" s="1">
        <f t="array" ref="AI28">SUM(B27:D29*$AD$11:$AF$13)</f>
        <v>0</v>
      </c>
      <c r="AJ28" s="1">
        <f t="array" ref="AJ28">SUM(C27:E29*$AD$11:$AF$13)</f>
        <v>0</v>
      </c>
      <c r="AK28" s="1">
        <f t="array" ref="AK28">SUM(D27:F29*$AD$11:$AF$13)</f>
        <v>0</v>
      </c>
      <c r="AL28" s="1">
        <f t="array" ref="AL28">SUM(E27:G29*$AD$11:$AF$13)</f>
        <v>0</v>
      </c>
      <c r="AM28" s="1">
        <f t="array" ref="AM28">SUM(F27:H29*$AD$11:$AF$13)</f>
        <v>0</v>
      </c>
      <c r="AN28" s="1">
        <f t="array" ref="AN28">SUM(G27:I29*$AD$11:$AF$13)</f>
        <v>0</v>
      </c>
      <c r="AO28" s="1">
        <f t="array" ref="AO28">SUM(H27:J29*$AD$11:$AF$13)</f>
        <v>0</v>
      </c>
      <c r="AP28" s="1">
        <f t="array" ref="AP28">SUM(I27:K29*$AD$11:$AF$13)</f>
        <v>0</v>
      </c>
      <c r="AQ28" s="1">
        <f t="array" ref="AQ28">SUM(J27:L29*$AD$11:$AF$13)</f>
        <v>0</v>
      </c>
      <c r="AR28" s="1">
        <f t="array" ref="AR28">SUM(K27:M29*$AD$11:$AF$13)</f>
        <v>0</v>
      </c>
      <c r="AS28" s="1">
        <f t="array" ref="AS28">SUM(L27:N29*$AD$11:$AF$13)</f>
        <v>0</v>
      </c>
      <c r="AT28" s="1">
        <f t="array" ref="AT28">SUM(M27:O29*$AD$11:$AF$13)</f>
        <v>1.9607843831181498E-2</v>
      </c>
      <c r="AU28" s="1">
        <f t="array" ref="AU28">SUM(N27:P29*$AD$11:$AF$13)</f>
        <v>0.82745105214416947</v>
      </c>
      <c r="AV28" s="1">
        <f t="array" ref="AV28">SUM(O27:Q29*$AD$11:$AF$13)</f>
        <v>1.7921569962054484</v>
      </c>
      <c r="AW28" s="1">
        <f t="array" ref="AW28">SUM(P27:R29*$AD$11:$AF$13)</f>
        <v>2.3882354497909537</v>
      </c>
      <c r="AX28" s="1">
        <f t="array" ref="AX28">SUM(Q27:S29*$AD$11:$AF$13)</f>
        <v>1.5803922414779659</v>
      </c>
      <c r="AY28" s="1">
        <f t="array" ref="AY28">SUM(R27:T29*$AD$11:$AF$13)</f>
        <v>0.61568629741668701</v>
      </c>
      <c r="AZ28" s="1">
        <f t="array" ref="AZ28">SUM(S27:U29*$AD$11:$AF$13)</f>
        <v>0</v>
      </c>
      <c r="BA28" s="1">
        <f t="array" ref="BA28">SUM(T27:V29*$AD$11:$AF$13)</f>
        <v>0</v>
      </c>
      <c r="BB28" s="1">
        <f t="array" ref="BB28">SUM(U27:W29*$AD$11:$AF$13)</f>
        <v>0</v>
      </c>
      <c r="BC28" s="1">
        <f t="array" ref="BC28">SUM(V27:X29*$AD$11:$AF$13)</f>
        <v>0</v>
      </c>
      <c r="BD28" s="1">
        <f t="array" ref="BD28">SUM(W27:Y29*$AD$11:$AF$13)</f>
        <v>0</v>
      </c>
      <c r="BE28" s="1">
        <f t="array" ref="BE28">SUM(X27:Z29*$AD$11:$AF$13)</f>
        <v>0</v>
      </c>
      <c r="BF28" s="1">
        <f t="array" ref="BF28">SUM(Y27:AA29*$AD$11:$AF$13)</f>
        <v>0</v>
      </c>
      <c r="BG28" s="1">
        <f t="array" ref="BG28">SUM(Z27:AB29*$AD$11:$AF$13)</f>
        <v>0</v>
      </c>
      <c r="BH28" s="79"/>
      <c r="BI28" s="79"/>
      <c r="BJ28" s="79"/>
      <c r="BK28" s="1">
        <f t="shared" si="3"/>
        <v>0</v>
      </c>
      <c r="BL28" s="1">
        <f t="shared" si="3"/>
        <v>0</v>
      </c>
      <c r="BM28" s="1">
        <f t="shared" si="3"/>
        <v>0</v>
      </c>
      <c r="BN28" s="1">
        <f t="shared" si="3"/>
        <v>0</v>
      </c>
      <c r="BO28" s="1">
        <f t="shared" si="3"/>
        <v>0</v>
      </c>
      <c r="BP28" s="1">
        <f t="shared" si="3"/>
        <v>0</v>
      </c>
      <c r="BQ28" s="1">
        <f t="shared" si="3"/>
        <v>0</v>
      </c>
      <c r="BR28" s="1">
        <f t="shared" si="3"/>
        <v>0</v>
      </c>
      <c r="BS28" s="1">
        <f t="shared" si="3"/>
        <v>0</v>
      </c>
      <c r="BT28" s="1">
        <f t="shared" si="66"/>
        <v>0</v>
      </c>
      <c r="BU28" s="1">
        <f t="shared" si="66"/>
        <v>0</v>
      </c>
      <c r="BV28" s="1">
        <f t="shared" si="66"/>
        <v>0</v>
      </c>
      <c r="BW28" s="1">
        <f t="shared" si="66"/>
        <v>1.9607843831181498E-2</v>
      </c>
      <c r="BX28" s="1">
        <f t="shared" si="66"/>
        <v>0.82745105214416947</v>
      </c>
      <c r="BY28" s="1">
        <f t="shared" si="66"/>
        <v>1.7921569962054484</v>
      </c>
      <c r="BZ28" s="1">
        <f t="shared" si="66"/>
        <v>2.3882354497909537</v>
      </c>
      <c r="CA28" s="1">
        <f t="shared" si="66"/>
        <v>1.5803922414779659</v>
      </c>
      <c r="CB28" s="1">
        <f t="shared" si="66"/>
        <v>0.61568629741668701</v>
      </c>
      <c r="CC28" s="1">
        <f t="shared" si="66"/>
        <v>0</v>
      </c>
      <c r="CD28" s="1">
        <f t="shared" si="66"/>
        <v>0</v>
      </c>
      <c r="CE28" s="1">
        <f t="shared" si="4"/>
        <v>0</v>
      </c>
      <c r="CF28" s="1">
        <f t="shared" si="4"/>
        <v>0</v>
      </c>
      <c r="CG28" s="1">
        <f t="shared" si="4"/>
        <v>0</v>
      </c>
      <c r="CH28" s="1">
        <f t="shared" si="4"/>
        <v>0</v>
      </c>
      <c r="CI28" s="1">
        <f t="shared" si="4"/>
        <v>0</v>
      </c>
      <c r="CJ28" s="1">
        <f t="shared" si="4"/>
        <v>0</v>
      </c>
    </row>
    <row r="29" spans="1:200" ht="27.75" customHeight="1" x14ac:dyDescent="0.25">
      <c r="A29" s="78">
        <v>0</v>
      </c>
      <c r="B29" s="78">
        <v>0</v>
      </c>
      <c r="C29" s="78">
        <v>0</v>
      </c>
      <c r="D29" s="78">
        <v>0</v>
      </c>
      <c r="E29" s="78">
        <v>0</v>
      </c>
      <c r="F29" s="78">
        <v>0</v>
      </c>
      <c r="G29" s="78">
        <v>0</v>
      </c>
      <c r="H29" s="78">
        <v>0</v>
      </c>
      <c r="I29" s="78">
        <v>0</v>
      </c>
      <c r="J29" s="78">
        <v>0</v>
      </c>
      <c r="K29" s="78">
        <v>0</v>
      </c>
      <c r="L29" s="78">
        <v>0</v>
      </c>
      <c r="M29" s="78">
        <v>0</v>
      </c>
      <c r="N29" s="78">
        <v>0</v>
      </c>
      <c r="O29" s="78">
        <v>0</v>
      </c>
      <c r="P29" s="78">
        <v>0</v>
      </c>
      <c r="Q29" s="78">
        <v>0</v>
      </c>
      <c r="R29" s="78">
        <v>0</v>
      </c>
      <c r="S29" s="78">
        <v>0</v>
      </c>
      <c r="T29" s="78">
        <v>0</v>
      </c>
      <c r="U29" s="78">
        <v>0</v>
      </c>
      <c r="V29" s="78">
        <v>0</v>
      </c>
      <c r="W29" s="78">
        <v>0</v>
      </c>
      <c r="X29" s="78">
        <v>0</v>
      </c>
      <c r="Y29" s="78">
        <v>0</v>
      </c>
      <c r="Z29" s="78">
        <v>0</v>
      </c>
      <c r="AA29" s="78">
        <v>0</v>
      </c>
      <c r="AB29" s="78">
        <v>0</v>
      </c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</row>
    <row r="30" spans="1:200" ht="27.75" customHeight="1" x14ac:dyDescent="0.25">
      <c r="A30" s="82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79"/>
      <c r="CF30" s="79"/>
      <c r="CG30" s="79"/>
      <c r="CH30" s="79"/>
      <c r="CI30" s="79"/>
      <c r="CJ30" s="79"/>
    </row>
    <row r="31" spans="1:200" ht="27.75" customHeight="1" x14ac:dyDescent="0.25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79"/>
      <c r="CH31" s="79"/>
      <c r="CI31" s="79"/>
      <c r="CJ31" s="79"/>
    </row>
    <row r="32" spans="1:200" ht="27.75" customHeight="1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1">
        <f t="array" ref="AH32">SUM(A2:C4*$AD$38:$AF$40)</f>
        <v>0</v>
      </c>
      <c r="AI32" s="1">
        <f t="array" ref="AI32">SUM(B2:D4*$AD$38:$AF$40)</f>
        <v>0</v>
      </c>
      <c r="AJ32" s="1">
        <f t="array" ref="AJ32">SUM(C2:E4*$AD$38:$AF$40)</f>
        <v>0</v>
      </c>
      <c r="AK32" s="1">
        <f t="array" ref="AK32">SUM(D2:F4*$AD$38:$AF$40)</f>
        <v>0</v>
      </c>
      <c r="AL32" s="1">
        <f t="array" ref="AL32">SUM(E2:G4*$AD$38:$AF$40)</f>
        <v>0</v>
      </c>
      <c r="AM32" s="1">
        <f t="array" ref="AM32">SUM(F2:H4*$AD$38:$AF$40)</f>
        <v>0</v>
      </c>
      <c r="AN32" s="1">
        <f t="array" ref="AN32">SUM(G2:I4*$AD$38:$AF$40)</f>
        <v>0</v>
      </c>
      <c r="AO32" s="1">
        <f t="array" ref="AO32">SUM(H2:J4*$AD$38:$AF$40)</f>
        <v>0</v>
      </c>
      <c r="AP32" s="1">
        <f t="array" ref="AP32">SUM(I2:K4*$AD$38:$AF$40)</f>
        <v>0</v>
      </c>
      <c r="AQ32" s="1">
        <f t="array" ref="AQ32">SUM(J2:L4*$AD$38:$AF$40)</f>
        <v>0</v>
      </c>
      <c r="AR32" s="1">
        <f t="array" ref="AR32">SUM(K2:M4*$AD$38:$AF$40)</f>
        <v>0</v>
      </c>
      <c r="AS32" s="1">
        <f t="array" ref="AS32">SUM(L2:N4*$AD$38:$AF$40)</f>
        <v>0</v>
      </c>
      <c r="AT32" s="1">
        <f t="array" ref="AT32">SUM(M2:O4*$AD$38:$AF$40)</f>
        <v>0</v>
      </c>
      <c r="AU32" s="1">
        <f t="array" ref="AU32">SUM(N2:P4*$AD$38:$AF$40)</f>
        <v>0</v>
      </c>
      <c r="AV32" s="1">
        <f t="array" ref="AV32">SUM(O2:Q4*$AD$38:$AF$40)</f>
        <v>0</v>
      </c>
      <c r="AW32" s="1">
        <f t="array" ref="AW32">SUM(P2:R4*$AD$38:$AF$40)</f>
        <v>0</v>
      </c>
      <c r="AX32" s="1">
        <f t="array" ref="AX32">SUM(Q2:S4*$AD$38:$AF$40)</f>
        <v>0</v>
      </c>
      <c r="AY32" s="1">
        <f t="array" ref="AY32">SUM(R2:T4*$AD$38:$AF$40)</f>
        <v>0</v>
      </c>
      <c r="AZ32" s="1">
        <f t="array" ref="AZ32">SUM(S2:U4*$AD$38:$AF$40)</f>
        <v>0</v>
      </c>
      <c r="BA32" s="1">
        <f t="array" ref="BA32">SUM(T2:V4*$AD$38:$AF$40)</f>
        <v>0</v>
      </c>
      <c r="BB32" s="1">
        <f t="array" ref="BB32">SUM(U2:W4*$AD$38:$AF$40)</f>
        <v>0</v>
      </c>
      <c r="BC32" s="1">
        <f t="array" ref="BC32">SUM(V2:X4*$AD$38:$AF$40)</f>
        <v>0</v>
      </c>
      <c r="BD32" s="1">
        <f t="array" ref="BD32">SUM(W2:Y4*$AD$38:$AF$40)</f>
        <v>0</v>
      </c>
      <c r="BE32" s="1">
        <f t="array" ref="BE32">SUM(X2:Z4*$AD$38:$AF$40)</f>
        <v>0</v>
      </c>
      <c r="BF32" s="1">
        <f t="array" ref="BF32">SUM(Y2:AA4*$AD$38:$AF$40)</f>
        <v>0</v>
      </c>
      <c r="BG32" s="1">
        <f t="array" ref="BG32">SUM(Z2:AB4*$AD$38:$AF$40)</f>
        <v>0</v>
      </c>
      <c r="BH32" s="79"/>
      <c r="BI32" s="79"/>
      <c r="BJ32" s="79"/>
      <c r="BK32" s="1">
        <f t="shared" ref="BK32:CJ41" si="139">MAX(0,AH32)</f>
        <v>0</v>
      </c>
      <c r="BL32" s="1">
        <f t="shared" si="139"/>
        <v>0</v>
      </c>
      <c r="BM32" s="1">
        <f t="shared" si="139"/>
        <v>0</v>
      </c>
      <c r="BN32" s="1">
        <f t="shared" si="139"/>
        <v>0</v>
      </c>
      <c r="BO32" s="1">
        <f t="shared" si="139"/>
        <v>0</v>
      </c>
      <c r="BP32" s="1">
        <f t="shared" si="139"/>
        <v>0</v>
      </c>
      <c r="BQ32" s="1">
        <f t="shared" si="139"/>
        <v>0</v>
      </c>
      <c r="BR32" s="1">
        <f t="shared" si="139"/>
        <v>0</v>
      </c>
      <c r="BS32" s="1">
        <f t="shared" si="139"/>
        <v>0</v>
      </c>
      <c r="BT32" s="1">
        <f t="shared" si="139"/>
        <v>0</v>
      </c>
      <c r="BU32" s="1">
        <f t="shared" si="139"/>
        <v>0</v>
      </c>
      <c r="BV32" s="1">
        <f t="shared" si="139"/>
        <v>0</v>
      </c>
      <c r="BW32" s="1">
        <f t="shared" si="139"/>
        <v>0</v>
      </c>
      <c r="BX32" s="1">
        <f t="shared" si="139"/>
        <v>0</v>
      </c>
      <c r="BY32" s="1">
        <f t="shared" si="139"/>
        <v>0</v>
      </c>
      <c r="BZ32" s="1">
        <f t="shared" si="139"/>
        <v>0</v>
      </c>
      <c r="CA32" s="1">
        <f t="shared" si="139"/>
        <v>0</v>
      </c>
      <c r="CB32" s="1">
        <f t="shared" si="139"/>
        <v>0</v>
      </c>
      <c r="CC32" s="1">
        <f t="shared" si="139"/>
        <v>0</v>
      </c>
      <c r="CD32" s="1">
        <f t="shared" si="139"/>
        <v>0</v>
      </c>
      <c r="CE32" s="1">
        <f t="shared" si="139"/>
        <v>0</v>
      </c>
      <c r="CF32" s="1">
        <f t="shared" si="139"/>
        <v>0</v>
      </c>
      <c r="CG32" s="1">
        <f t="shared" si="139"/>
        <v>0</v>
      </c>
      <c r="CH32" s="1">
        <f t="shared" si="139"/>
        <v>0</v>
      </c>
      <c r="CI32" s="1">
        <f t="shared" si="139"/>
        <v>0</v>
      </c>
      <c r="CJ32" s="1">
        <f t="shared" si="139"/>
        <v>0</v>
      </c>
    </row>
    <row r="33" spans="1:200" ht="27.75" customHeight="1" x14ac:dyDescent="0.25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1">
        <f t="array" ref="AH33">SUM(A3:C5*$AD$38:$AF$40)</f>
        <v>0</v>
      </c>
      <c r="AI33" s="1">
        <f t="array" ref="AI33">SUM(B3:D5*$AD$38:$AF$40)</f>
        <v>0</v>
      </c>
      <c r="AJ33" s="1">
        <f t="array" ref="AJ33">SUM(C3:E5*$AD$38:$AF$40)</f>
        <v>0</v>
      </c>
      <c r="AK33" s="1">
        <f t="array" ref="AK33">SUM(D3:F5*$AD$38:$AF$40)</f>
        <v>0</v>
      </c>
      <c r="AL33" s="1">
        <f t="array" ref="AL33">SUM(E3:G5*$AD$38:$AF$40)</f>
        <v>0</v>
      </c>
      <c r="AM33" s="1">
        <f t="array" ref="AM33">SUM(F3:H5*$AD$38:$AF$40)</f>
        <v>0</v>
      </c>
      <c r="AN33" s="1">
        <f t="array" ref="AN33">SUM(G3:I5*$AD$38:$AF$40)</f>
        <v>0</v>
      </c>
      <c r="AO33" s="1">
        <f t="array" ref="AO33">SUM(H3:J5*$AD$38:$AF$40)</f>
        <v>0</v>
      </c>
      <c r="AP33" s="1">
        <f t="array" ref="AP33">SUM(I3:K5*$AD$38:$AF$40)</f>
        <v>0</v>
      </c>
      <c r="AQ33" s="1">
        <f t="array" ref="AQ33">SUM(J3:L5*$AD$38:$AF$40)</f>
        <v>0</v>
      </c>
      <c r="AR33" s="1">
        <f t="array" ref="AR33">SUM(K3:M5*$AD$38:$AF$40)</f>
        <v>0</v>
      </c>
      <c r="AS33" s="1">
        <f t="array" ref="AS33">SUM(L3:N5*$AD$38:$AF$40)</f>
        <v>0</v>
      </c>
      <c r="AT33" s="1">
        <f t="array" ref="AT33">SUM(M3:O5*$AD$38:$AF$40)</f>
        <v>0</v>
      </c>
      <c r="AU33" s="1">
        <f t="array" ref="AU33">SUM(N3:P5*$AD$38:$AF$40)</f>
        <v>0</v>
      </c>
      <c r="AV33" s="1">
        <f t="array" ref="AV33">SUM(O3:Q5*$AD$38:$AF$40)</f>
        <v>0</v>
      </c>
      <c r="AW33" s="1">
        <f t="array" ref="AW33">SUM(P3:R5*$AD$38:$AF$40)</f>
        <v>0</v>
      </c>
      <c r="AX33" s="1">
        <f t="array" ref="AX33">SUM(Q3:S5*$AD$38:$AF$40)</f>
        <v>0</v>
      </c>
      <c r="AY33" s="1">
        <f t="array" ref="AY33">SUM(R3:T5*$AD$38:$AF$40)</f>
        <v>0</v>
      </c>
      <c r="AZ33" s="1">
        <f t="array" ref="AZ33">SUM(S3:U5*$AD$38:$AF$40)</f>
        <v>0</v>
      </c>
      <c r="BA33" s="1">
        <f t="array" ref="BA33">SUM(T3:V5*$AD$38:$AF$40)</f>
        <v>0</v>
      </c>
      <c r="BB33" s="1">
        <f t="array" ref="BB33">SUM(U3:W5*$AD$38:$AF$40)</f>
        <v>0</v>
      </c>
      <c r="BC33" s="1">
        <f t="array" ref="BC33">SUM(V3:X5*$AD$38:$AF$40)</f>
        <v>0</v>
      </c>
      <c r="BD33" s="1">
        <f t="array" ref="BD33">SUM(W3:Y5*$AD$38:$AF$40)</f>
        <v>0</v>
      </c>
      <c r="BE33" s="1">
        <f t="array" ref="BE33">SUM(X3:Z5*$AD$38:$AF$40)</f>
        <v>0</v>
      </c>
      <c r="BF33" s="1">
        <f t="array" ref="BF33">SUM(Y3:AA5*$AD$38:$AF$40)</f>
        <v>0</v>
      </c>
      <c r="BG33" s="1">
        <f t="array" ref="BG33">SUM(Z3:AB5*$AD$38:$AF$40)</f>
        <v>0</v>
      </c>
      <c r="BH33" s="79"/>
      <c r="BI33" s="79"/>
      <c r="BJ33" s="79"/>
      <c r="BK33" s="1">
        <f t="shared" si="139"/>
        <v>0</v>
      </c>
      <c r="BL33" s="1">
        <f t="shared" si="139"/>
        <v>0</v>
      </c>
      <c r="BM33" s="1">
        <f t="shared" si="139"/>
        <v>0</v>
      </c>
      <c r="BN33" s="1">
        <f t="shared" si="139"/>
        <v>0</v>
      </c>
      <c r="BO33" s="1">
        <f t="shared" si="139"/>
        <v>0</v>
      </c>
      <c r="BP33" s="1">
        <f t="shared" si="139"/>
        <v>0</v>
      </c>
      <c r="BQ33" s="1">
        <f t="shared" si="139"/>
        <v>0</v>
      </c>
      <c r="BR33" s="1">
        <f t="shared" si="139"/>
        <v>0</v>
      </c>
      <c r="BS33" s="1">
        <f t="shared" si="139"/>
        <v>0</v>
      </c>
      <c r="BT33" s="1">
        <f t="shared" si="139"/>
        <v>0</v>
      </c>
      <c r="BU33" s="1">
        <f t="shared" si="139"/>
        <v>0</v>
      </c>
      <c r="BV33" s="1">
        <f t="shared" si="139"/>
        <v>0</v>
      </c>
      <c r="BW33" s="1">
        <f t="shared" si="139"/>
        <v>0</v>
      </c>
      <c r="BX33" s="1">
        <f t="shared" si="139"/>
        <v>0</v>
      </c>
      <c r="BY33" s="1">
        <f t="shared" si="139"/>
        <v>0</v>
      </c>
      <c r="BZ33" s="1">
        <f t="shared" si="139"/>
        <v>0</v>
      </c>
      <c r="CA33" s="1">
        <f t="shared" si="139"/>
        <v>0</v>
      </c>
      <c r="CB33" s="1">
        <f t="shared" si="139"/>
        <v>0</v>
      </c>
      <c r="CC33" s="1">
        <f t="shared" si="139"/>
        <v>0</v>
      </c>
      <c r="CD33" s="1">
        <f t="shared" si="139"/>
        <v>0</v>
      </c>
      <c r="CE33" s="1">
        <f t="shared" si="139"/>
        <v>0</v>
      </c>
      <c r="CF33" s="1">
        <f t="shared" si="139"/>
        <v>0</v>
      </c>
      <c r="CG33" s="1">
        <f t="shared" si="139"/>
        <v>0</v>
      </c>
      <c r="CH33" s="1">
        <f t="shared" si="139"/>
        <v>0</v>
      </c>
      <c r="CI33" s="1">
        <f t="shared" si="139"/>
        <v>0</v>
      </c>
      <c r="CJ33" s="1">
        <f t="shared" si="139"/>
        <v>0</v>
      </c>
      <c r="DS33">
        <f t="array" ref="DS33">SUM(AH3:AJ5*$DO$38:$DQ$40)+SUM(AH32:AJ34*$DO$42:$DQ$44)</f>
        <v>0</v>
      </c>
      <c r="DT33">
        <f t="array" ref="DT33">SUM(AI3:AK5*$DO$38:$DQ$40)+SUM(AI32:AK34*$DO$42:$DQ$44)</f>
        <v>0</v>
      </c>
      <c r="DU33">
        <f t="array" ref="DU33">SUM(AJ3:AL5*$DO$38:$DQ$40)+SUM(AJ32:AL34*$DO$42:$DQ$44)</f>
        <v>0</v>
      </c>
      <c r="DV33">
        <f t="array" ref="DV33">SUM(AK3:AM5*$DO$38:$DQ$40)+SUM(AK32:AM34*$DO$42:$DQ$44)</f>
        <v>0</v>
      </c>
      <c r="DW33">
        <f t="array" ref="DW33">SUM(AL3:AN5*$DO$38:$DQ$40)+SUM(AL32:AN34*$DO$42:$DQ$44)</f>
        <v>0</v>
      </c>
      <c r="DX33">
        <f t="array" ref="DX33">SUM(AM3:AO5*$DO$38:$DQ$40)+SUM(AM32:AO34*$DO$42:$DQ$44)</f>
        <v>0</v>
      </c>
      <c r="DY33">
        <f t="array" ref="DY33">SUM(AN3:AP5*$DO$38:$DQ$40)+SUM(AN32:AP34*$DO$42:$DQ$44)</f>
        <v>0</v>
      </c>
      <c r="DZ33">
        <f t="array" ref="DZ33">SUM(AO3:AQ5*$DO$38:$DQ$40)+SUM(AO32:AQ34*$DO$42:$DQ$44)</f>
        <v>0</v>
      </c>
      <c r="EA33">
        <f t="array" ref="EA33">SUM(AP3:AR5*$DO$38:$DQ$40)+SUM(AP32:AR34*$DO$42:$DQ$44)</f>
        <v>0</v>
      </c>
      <c r="EB33">
        <f t="array" ref="EB33">SUM(AQ3:AS5*$DO$38:$DQ$40)+SUM(AQ32:AS34*$DO$42:$DQ$44)</f>
        <v>0</v>
      </c>
      <c r="EC33">
        <f t="array" ref="EC33">SUM(AR3:AT5*$DO$38:$DQ$40)+SUM(AR32:AT34*$DO$42:$DQ$44)</f>
        <v>0</v>
      </c>
      <c r="ED33">
        <f t="array" ref="ED33">SUM(AS3:AU5*$DO$38:$DQ$40)+SUM(AS32:AU34*$DO$42:$DQ$44)</f>
        <v>0</v>
      </c>
      <c r="EE33">
        <f t="array" ref="EE33">SUM(AT3:AV5*$DO$38:$DQ$40)+SUM(AT32:AV34*$DO$42:$DQ$44)</f>
        <v>0</v>
      </c>
      <c r="EF33">
        <f t="array" ref="EF33">SUM(AU3:AW5*$DO$38:$DQ$40)+SUM(AU32:AW34*$DO$42:$DQ$44)</f>
        <v>0</v>
      </c>
      <c r="EG33">
        <f t="array" ref="EG33">SUM(AV3:AX5*$DO$38:$DQ$40)+SUM(AV32:AX34*$DO$42:$DQ$44)</f>
        <v>0</v>
      </c>
      <c r="EH33">
        <f t="array" ref="EH33">SUM(AW3:AY5*$DO$38:$DQ$40)+SUM(AW32:AY34*$DO$42:$DQ$44)</f>
        <v>0</v>
      </c>
      <c r="EI33">
        <f t="array" ref="EI33">SUM(AX3:AZ5*$DO$38:$DQ$40)+SUM(AX32:AZ34*$DO$42:$DQ$44)</f>
        <v>0</v>
      </c>
      <c r="EJ33">
        <f t="array" ref="EJ33">SUM(AY3:BA5*$DO$38:$DQ$40)+SUM(AY32:BA34*$DO$42:$DQ$44)</f>
        <v>0</v>
      </c>
      <c r="EK33">
        <f t="array" ref="EK33">SUM(AZ3:BB5*$DO$38:$DQ$40)+SUM(AZ32:BB34*$DO$42:$DQ$44)</f>
        <v>0</v>
      </c>
      <c r="EL33">
        <f t="array" ref="EL33">SUM(BA3:BC5*$DO$38:$DQ$40)+SUM(BA32:BC34*$DO$42:$DQ$44)</f>
        <v>0</v>
      </c>
      <c r="EM33">
        <f t="array" ref="EM33">SUM(BB3:BD5*$DO$38:$DQ$40)+SUM(BB32:BD34*$DO$42:$DQ$44)</f>
        <v>0</v>
      </c>
      <c r="EN33">
        <f t="array" ref="EN33">SUM(BC3:BE5*$DO$38:$DQ$40)+SUM(BC32:BE34*$DO$42:$DQ$44)</f>
        <v>0</v>
      </c>
      <c r="EO33">
        <f t="array" ref="EO33">SUM(BD3:BF5*$DO$38:$DQ$40)+SUM(BD32:BF34*$DO$42:$DQ$44)</f>
        <v>0</v>
      </c>
      <c r="EP33">
        <f t="array" ref="EP33">SUM(BE3:BG5*$DO$38:$DQ$40)+SUM(BE32:BG34*$DO$42:$DQ$44)</f>
        <v>0</v>
      </c>
      <c r="ES33" s="127">
        <f>MAX(DS33:DT34)</f>
        <v>0</v>
      </c>
      <c r="ET33" s="127"/>
      <c r="EU33" s="127">
        <f t="shared" ref="EU33" si="140">MAX(DU33:DV34)</f>
        <v>0</v>
      </c>
      <c r="EV33" s="127"/>
      <c r="EW33" s="127">
        <f t="shared" ref="EW33" si="141">MAX(DW33:DX34)</f>
        <v>0</v>
      </c>
      <c r="EX33" s="127"/>
      <c r="EY33" s="127">
        <f t="shared" ref="EY33" si="142">MAX(DY33:DZ34)</f>
        <v>0</v>
      </c>
      <c r="EZ33" s="127"/>
      <c r="FA33" s="127">
        <f t="shared" ref="FA33" si="143">MAX(EA33:EB34)</f>
        <v>0</v>
      </c>
      <c r="FB33" s="127"/>
      <c r="FC33" s="127">
        <f t="shared" ref="FC33" si="144">MAX(EC33:ED34)</f>
        <v>0</v>
      </c>
      <c r="FD33" s="127"/>
      <c r="FE33" s="127">
        <f t="shared" ref="FE33" si="145">MAX(EE33:EF34)</f>
        <v>0</v>
      </c>
      <c r="FF33" s="127"/>
      <c r="FG33" s="127">
        <f t="shared" ref="FG33" si="146">MAX(EG33:EH34)</f>
        <v>0</v>
      </c>
      <c r="FH33" s="127"/>
      <c r="FI33" s="127">
        <f t="shared" ref="FI33" si="147">MAX(EI33:EJ34)</f>
        <v>0</v>
      </c>
      <c r="FJ33" s="127"/>
      <c r="FK33" s="127">
        <f t="shared" ref="FK33" si="148">MAX(EK33:EL34)</f>
        <v>0</v>
      </c>
      <c r="FL33" s="127"/>
      <c r="FM33" s="127">
        <f t="shared" ref="FM33" si="149">MAX(EM33:EN34)</f>
        <v>0</v>
      </c>
      <c r="FN33" s="127"/>
      <c r="FO33" s="127">
        <f t="shared" ref="FO33" si="150">MAX(EO33:EP34)</f>
        <v>0</v>
      </c>
      <c r="FP33" s="127"/>
      <c r="FT33">
        <v>1.128354151341493E-3</v>
      </c>
      <c r="FV33">
        <v>0.14928721786311461</v>
      </c>
      <c r="FX33">
        <v>1.3825442856979731E-2</v>
      </c>
      <c r="FZ33">
        <v>5.8093497817489403E-2</v>
      </c>
      <c r="GB33">
        <v>0.89718728128492253</v>
      </c>
      <c r="GD33">
        <v>0.85179399127034738</v>
      </c>
      <c r="GF33">
        <v>0.76800018544429516</v>
      </c>
      <c r="GH33">
        <v>0.41823803568144158</v>
      </c>
      <c r="GJ33">
        <v>0.88744533915704116</v>
      </c>
      <c r="GL33">
        <v>0.77187331159452588</v>
      </c>
      <c r="GN33">
        <v>0.89002643799774583</v>
      </c>
      <c r="GP33">
        <v>0.91325139153308965</v>
      </c>
      <c r="GR33">
        <v>0.12418678017957829</v>
      </c>
    </row>
    <row r="34" spans="1:200" ht="27.75" customHeight="1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1">
        <f t="array" ref="AH34">SUM(A4:C6*$AD$38:$AF$40)</f>
        <v>0</v>
      </c>
      <c r="AI34" s="1">
        <f t="array" ref="AI34">SUM(B4:D6*$AD$38:$AF$40)</f>
        <v>0</v>
      </c>
      <c r="AJ34" s="1">
        <f t="array" ref="AJ34">SUM(C4:E6*$AD$38:$AF$40)</f>
        <v>0</v>
      </c>
      <c r="AK34" s="1">
        <f t="array" ref="AK34">SUM(D4:F6*$AD$38:$AF$40)</f>
        <v>0</v>
      </c>
      <c r="AL34" s="1">
        <f t="array" ref="AL34">SUM(E4:G6*$AD$38:$AF$40)</f>
        <v>0</v>
      </c>
      <c r="AM34" s="1">
        <f t="array" ref="AM34">SUM(F4:H6*$AD$38:$AF$40)</f>
        <v>0</v>
      </c>
      <c r="AN34" s="1">
        <f t="array" ref="AN34">SUM(G4:I6*$AD$38:$AF$40)</f>
        <v>0</v>
      </c>
      <c r="AO34" s="1">
        <f t="array" ref="AO34">SUM(H4:J6*$AD$38:$AF$40)</f>
        <v>0</v>
      </c>
      <c r="AP34" s="1">
        <f t="array" ref="AP34">SUM(I4:K6*$AD$38:$AF$40)</f>
        <v>0</v>
      </c>
      <c r="AQ34" s="1">
        <f t="array" ref="AQ34">SUM(J4:L6*$AD$38:$AF$40)</f>
        <v>0</v>
      </c>
      <c r="AR34" s="1">
        <f t="array" ref="AR34">SUM(K4:M6*$AD$38:$AF$40)</f>
        <v>0</v>
      </c>
      <c r="AS34" s="1">
        <f t="array" ref="AS34">SUM(L4:N6*$AD$38:$AF$40)</f>
        <v>0</v>
      </c>
      <c r="AT34" s="1">
        <f t="array" ref="AT34">SUM(M4:O6*$AD$38:$AF$40)</f>
        <v>0</v>
      </c>
      <c r="AU34" s="1">
        <f t="array" ref="AU34">SUM(N4:P6*$AD$38:$AF$40)</f>
        <v>0</v>
      </c>
      <c r="AV34" s="1">
        <f t="array" ref="AV34">SUM(O4:Q6*$AD$38:$AF$40)</f>
        <v>0</v>
      </c>
      <c r="AW34" s="1">
        <f t="array" ref="AW34">SUM(P4:R6*$AD$38:$AF$40)</f>
        <v>0</v>
      </c>
      <c r="AX34" s="1">
        <f t="array" ref="AX34">SUM(Q4:S6*$AD$38:$AF$40)</f>
        <v>0</v>
      </c>
      <c r="AY34" s="1">
        <f t="array" ref="AY34">SUM(R4:T6*$AD$38:$AF$40)</f>
        <v>0</v>
      </c>
      <c r="AZ34" s="1">
        <f t="array" ref="AZ34">SUM(S4:U6*$AD$38:$AF$40)</f>
        <v>0</v>
      </c>
      <c r="BA34" s="1">
        <f t="array" ref="BA34">SUM(T4:V6*$AD$38:$AF$40)</f>
        <v>0</v>
      </c>
      <c r="BB34" s="1">
        <f t="array" ref="BB34">SUM(U4:W6*$AD$38:$AF$40)</f>
        <v>0</v>
      </c>
      <c r="BC34" s="1">
        <f t="array" ref="BC34">SUM(V4:X6*$AD$38:$AF$40)</f>
        <v>0</v>
      </c>
      <c r="BD34" s="1">
        <f t="array" ref="BD34">SUM(W4:Y6*$AD$38:$AF$40)</f>
        <v>0</v>
      </c>
      <c r="BE34" s="1">
        <f t="array" ref="BE34">SUM(X4:Z6*$AD$38:$AF$40)</f>
        <v>0</v>
      </c>
      <c r="BF34" s="1">
        <f t="array" ref="BF34">SUM(Y4:AA6*$AD$38:$AF$40)</f>
        <v>0</v>
      </c>
      <c r="BG34" s="1">
        <f t="array" ref="BG34">SUM(Z4:AB6*$AD$38:$AF$40)</f>
        <v>0</v>
      </c>
      <c r="BH34" s="79"/>
      <c r="BI34" s="79"/>
      <c r="BJ34" s="79"/>
      <c r="BK34" s="1">
        <f t="shared" si="139"/>
        <v>0</v>
      </c>
      <c r="BL34" s="1">
        <f t="shared" si="139"/>
        <v>0</v>
      </c>
      <c r="BM34" s="1">
        <f t="shared" si="139"/>
        <v>0</v>
      </c>
      <c r="BN34" s="1">
        <f t="shared" si="139"/>
        <v>0</v>
      </c>
      <c r="BO34" s="1">
        <f t="shared" si="139"/>
        <v>0</v>
      </c>
      <c r="BP34" s="1">
        <f t="shared" si="139"/>
        <v>0</v>
      </c>
      <c r="BQ34" s="1">
        <f t="shared" si="139"/>
        <v>0</v>
      </c>
      <c r="BR34" s="1">
        <f t="shared" si="139"/>
        <v>0</v>
      </c>
      <c r="BS34" s="1">
        <f t="shared" si="139"/>
        <v>0</v>
      </c>
      <c r="BT34" s="1">
        <f t="shared" si="139"/>
        <v>0</v>
      </c>
      <c r="BU34" s="1">
        <f t="shared" si="139"/>
        <v>0</v>
      </c>
      <c r="BV34" s="1">
        <f t="shared" si="139"/>
        <v>0</v>
      </c>
      <c r="BW34" s="1">
        <f t="shared" si="139"/>
        <v>0</v>
      </c>
      <c r="BX34" s="1">
        <f t="shared" si="139"/>
        <v>0</v>
      </c>
      <c r="BY34" s="1">
        <f t="shared" si="139"/>
        <v>0</v>
      </c>
      <c r="BZ34" s="1">
        <f t="shared" si="139"/>
        <v>0</v>
      </c>
      <c r="CA34" s="1">
        <f t="shared" si="139"/>
        <v>0</v>
      </c>
      <c r="CB34" s="1">
        <f t="shared" si="139"/>
        <v>0</v>
      </c>
      <c r="CC34" s="1">
        <f t="shared" si="139"/>
        <v>0</v>
      </c>
      <c r="CD34" s="1">
        <f t="shared" si="139"/>
        <v>0</v>
      </c>
      <c r="CE34" s="1">
        <f t="shared" si="139"/>
        <v>0</v>
      </c>
      <c r="CF34" s="1">
        <f t="shared" si="139"/>
        <v>0</v>
      </c>
      <c r="CG34" s="1">
        <f t="shared" si="139"/>
        <v>0</v>
      </c>
      <c r="CH34" s="1">
        <f t="shared" si="139"/>
        <v>0</v>
      </c>
      <c r="CI34" s="1">
        <f t="shared" si="139"/>
        <v>0</v>
      </c>
      <c r="CJ34" s="1">
        <f t="shared" si="139"/>
        <v>0</v>
      </c>
      <c r="DS34">
        <f t="array" ref="DS34">SUM(AH4:AJ6*$DO$38:$DQ$40)+SUM(AH33:AJ35*$DO$42:$DQ$44)</f>
        <v>0</v>
      </c>
      <c r="DT34">
        <f t="array" ref="DT34">SUM(AI4:AK6*$DO$38:$DQ$40)+SUM(AI33:AK35*$DO$42:$DQ$44)</f>
        <v>0</v>
      </c>
      <c r="DU34">
        <f t="array" ref="DU34">SUM(AJ4:AL6*$DO$38:$DQ$40)+SUM(AJ33:AL35*$DO$42:$DQ$44)</f>
        <v>0</v>
      </c>
      <c r="DV34">
        <f t="array" ref="DV34">SUM(AK4:AM6*$DO$38:$DQ$40)+SUM(AK33:AM35*$DO$42:$DQ$44)</f>
        <v>0</v>
      </c>
      <c r="DW34">
        <f t="array" ref="DW34">SUM(AL4:AN6*$DO$38:$DQ$40)+SUM(AL33:AN35*$DO$42:$DQ$44)</f>
        <v>0</v>
      </c>
      <c r="DX34">
        <f t="array" ref="DX34">SUM(AM4:AO6*$DO$38:$DQ$40)+SUM(AM33:AO35*$DO$42:$DQ$44)</f>
        <v>0</v>
      </c>
      <c r="DY34">
        <f t="array" ref="DY34">SUM(AN4:AP6*$DO$38:$DQ$40)+SUM(AN33:AP35*$DO$42:$DQ$44)</f>
        <v>0</v>
      </c>
      <c r="DZ34">
        <f t="array" ref="DZ34">SUM(AO4:AQ6*$DO$38:$DQ$40)+SUM(AO33:AQ35*$DO$42:$DQ$44)</f>
        <v>0</v>
      </c>
      <c r="EA34">
        <f t="array" ref="EA34">SUM(AP4:AR6*$DO$38:$DQ$40)+SUM(AP33:AR35*$DO$42:$DQ$44)</f>
        <v>0</v>
      </c>
      <c r="EB34">
        <f t="array" ref="EB34">SUM(AQ4:AS6*$DO$38:$DQ$40)+SUM(AQ33:AS35*$DO$42:$DQ$44)</f>
        <v>0</v>
      </c>
      <c r="EC34">
        <f t="array" ref="EC34">SUM(AR4:AT6*$DO$38:$DQ$40)+SUM(AR33:AT35*$DO$42:$DQ$44)</f>
        <v>0</v>
      </c>
      <c r="ED34">
        <f t="array" ref="ED34">SUM(AS4:AU6*$DO$38:$DQ$40)+SUM(AS33:AU35*$DO$42:$DQ$44)</f>
        <v>0</v>
      </c>
      <c r="EE34">
        <f t="array" ref="EE34">SUM(AT4:AV6*$DO$38:$DQ$40)+SUM(AT33:AV35*$DO$42:$DQ$44)</f>
        <v>0</v>
      </c>
      <c r="EF34">
        <f t="array" ref="EF34">SUM(AU4:AW6*$DO$38:$DQ$40)+SUM(AU33:AW35*$DO$42:$DQ$44)</f>
        <v>0</v>
      </c>
      <c r="EG34">
        <f t="array" ref="EG34">SUM(AV4:AX6*$DO$38:$DQ$40)+SUM(AV33:AX35*$DO$42:$DQ$44)</f>
        <v>0</v>
      </c>
      <c r="EH34">
        <f t="array" ref="EH34">SUM(AW4:AY6*$DO$38:$DQ$40)+SUM(AW33:AY35*$DO$42:$DQ$44)</f>
        <v>0</v>
      </c>
      <c r="EI34">
        <f t="array" ref="EI34">SUM(AX4:AZ6*$DO$38:$DQ$40)+SUM(AX33:AZ35*$DO$42:$DQ$44)</f>
        <v>0</v>
      </c>
      <c r="EJ34">
        <f t="array" ref="EJ34">SUM(AY4:BA6*$DO$38:$DQ$40)+SUM(AY33:BA35*$DO$42:$DQ$44)</f>
        <v>0</v>
      </c>
      <c r="EK34">
        <f t="array" ref="EK34">SUM(AZ4:BB6*$DO$38:$DQ$40)+SUM(AZ33:BB35*$DO$42:$DQ$44)</f>
        <v>0</v>
      </c>
      <c r="EL34">
        <f t="array" ref="EL34">SUM(BA4:BC6*$DO$38:$DQ$40)+SUM(BA33:BC35*$DO$42:$DQ$44)</f>
        <v>0</v>
      </c>
      <c r="EM34">
        <f t="array" ref="EM34">SUM(BB4:BD6*$DO$38:$DQ$40)+SUM(BB33:BD35*$DO$42:$DQ$44)</f>
        <v>0</v>
      </c>
      <c r="EN34">
        <f t="array" ref="EN34">SUM(BC4:BE6*$DO$38:$DQ$40)+SUM(BC33:BE35*$DO$42:$DQ$44)</f>
        <v>0</v>
      </c>
      <c r="EO34">
        <f t="array" ref="EO34">SUM(BD4:BF6*$DO$38:$DQ$40)+SUM(BD33:BF35*$DO$42:$DQ$44)</f>
        <v>0</v>
      </c>
      <c r="EP34">
        <f t="array" ref="EP34">SUM(BE4:BG6*$DO$38:$DQ$40)+SUM(BE33:BG35*$DO$42:$DQ$44)</f>
        <v>0</v>
      </c>
      <c r="ES34" s="127"/>
      <c r="ET34" s="127"/>
      <c r="EU34" s="127"/>
      <c r="EV34" s="127"/>
      <c r="EW34" s="127"/>
      <c r="EX34" s="127"/>
      <c r="EY34" s="127"/>
      <c r="EZ34" s="127"/>
      <c r="FA34" s="127"/>
      <c r="FB34" s="127"/>
      <c r="FC34" s="127"/>
      <c r="FD34" s="127"/>
      <c r="FE34" s="127"/>
      <c r="FF34" s="127"/>
      <c r="FG34" s="127"/>
      <c r="FH34" s="127"/>
      <c r="FI34" s="127"/>
      <c r="FJ34" s="127"/>
      <c r="FK34" s="127"/>
      <c r="FL34" s="127"/>
      <c r="FM34" s="127"/>
      <c r="FN34" s="127"/>
      <c r="FO34" s="127"/>
      <c r="FP34" s="127"/>
    </row>
    <row r="35" spans="1:200" ht="27.75" customHeight="1" x14ac:dyDescent="0.2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1">
        <f t="array" ref="AH35">SUM(A5:C7*$AD$38:$AF$40)</f>
        <v>0</v>
      </c>
      <c r="AI35" s="1">
        <f t="array" ref="AI35">SUM(B5:D7*$AD$38:$AF$40)</f>
        <v>0</v>
      </c>
      <c r="AJ35" s="1">
        <f t="array" ref="AJ35">SUM(C5:E7*$AD$38:$AF$40)</f>
        <v>0</v>
      </c>
      <c r="AK35" s="1">
        <f t="array" ref="AK35">SUM(D5:F7*$AD$38:$AF$40)</f>
        <v>0</v>
      </c>
      <c r="AL35" s="1">
        <f t="array" ref="AL35">SUM(E5:G7*$AD$38:$AF$40)</f>
        <v>0</v>
      </c>
      <c r="AM35" s="1">
        <f t="array" ref="AM35">SUM(F5:H7*$AD$38:$AF$40)</f>
        <v>0</v>
      </c>
      <c r="AN35" s="1">
        <f t="array" ref="AN35">SUM(G5:I7*$AD$38:$AF$40)</f>
        <v>0</v>
      </c>
      <c r="AO35" s="1">
        <f t="array" ref="AO35">SUM(H5:J7*$AD$38:$AF$40)</f>
        <v>0</v>
      </c>
      <c r="AP35" s="1">
        <f t="array" ref="AP35">SUM(I5:K7*$AD$38:$AF$40)</f>
        <v>0</v>
      </c>
      <c r="AQ35" s="1">
        <f t="array" ref="AQ35">SUM(J5:L7*$AD$38:$AF$40)</f>
        <v>0</v>
      </c>
      <c r="AR35" s="1">
        <f t="array" ref="AR35">SUM(K5:M7*$AD$38:$AF$40)</f>
        <v>0</v>
      </c>
      <c r="AS35" s="1">
        <f t="array" ref="AS35">SUM(L5:N7*$AD$38:$AF$40)</f>
        <v>0</v>
      </c>
      <c r="AT35" s="1">
        <f t="array" ref="AT35">SUM(M5:O7*$AD$38:$AF$40)</f>
        <v>0</v>
      </c>
      <c r="AU35" s="1">
        <f t="array" ref="AU35">SUM(N5:P7*$AD$38:$AF$40)</f>
        <v>0</v>
      </c>
      <c r="AV35" s="1">
        <f t="array" ref="AV35">SUM(O5:Q7*$AD$38:$AF$40)</f>
        <v>0</v>
      </c>
      <c r="AW35" s="1">
        <f t="array" ref="AW35">SUM(P5:R7*$AD$38:$AF$40)</f>
        <v>0</v>
      </c>
      <c r="AX35" s="1">
        <f t="array" ref="AX35">SUM(Q5:S7*$AD$38:$AF$40)</f>
        <v>0</v>
      </c>
      <c r="AY35" s="1">
        <f t="array" ref="AY35">SUM(R5:T7*$AD$38:$AF$40)</f>
        <v>0</v>
      </c>
      <c r="AZ35" s="1">
        <f t="array" ref="AZ35">SUM(S5:U7*$AD$38:$AF$40)</f>
        <v>0</v>
      </c>
      <c r="BA35" s="1">
        <f t="array" ref="BA35">SUM(T5:V7*$AD$38:$AF$40)</f>
        <v>0</v>
      </c>
      <c r="BB35" s="1">
        <f t="array" ref="BB35">SUM(U5:W7*$AD$38:$AF$40)</f>
        <v>0</v>
      </c>
      <c r="BC35" s="1">
        <f t="array" ref="BC35">SUM(V5:X7*$AD$38:$AF$40)</f>
        <v>0</v>
      </c>
      <c r="BD35" s="1">
        <f t="array" ref="BD35">SUM(W5:Y7*$AD$38:$AF$40)</f>
        <v>0</v>
      </c>
      <c r="BE35" s="1">
        <f t="array" ref="BE35">SUM(X5:Z7*$AD$38:$AF$40)</f>
        <v>0</v>
      </c>
      <c r="BF35" s="1">
        <f t="array" ref="BF35">SUM(Y5:AA7*$AD$38:$AF$40)</f>
        <v>0</v>
      </c>
      <c r="BG35" s="1">
        <f t="array" ref="BG35">SUM(Z5:AB7*$AD$38:$AF$40)</f>
        <v>0</v>
      </c>
      <c r="BH35" s="79"/>
      <c r="BI35" s="79"/>
      <c r="BJ35" s="79"/>
      <c r="BK35" s="1">
        <f t="shared" si="139"/>
        <v>0</v>
      </c>
      <c r="BL35" s="1">
        <f t="shared" si="139"/>
        <v>0</v>
      </c>
      <c r="BM35" s="1">
        <f t="shared" si="139"/>
        <v>0</v>
      </c>
      <c r="BN35" s="1">
        <f t="shared" si="139"/>
        <v>0</v>
      </c>
      <c r="BO35" s="1">
        <f t="shared" si="139"/>
        <v>0</v>
      </c>
      <c r="BP35" s="1">
        <f t="shared" si="139"/>
        <v>0</v>
      </c>
      <c r="BQ35" s="1">
        <f t="shared" si="139"/>
        <v>0</v>
      </c>
      <c r="BR35" s="1">
        <f t="shared" si="139"/>
        <v>0</v>
      </c>
      <c r="BS35" s="1">
        <f t="shared" si="139"/>
        <v>0</v>
      </c>
      <c r="BT35" s="1">
        <f t="shared" si="139"/>
        <v>0</v>
      </c>
      <c r="BU35" s="1">
        <f t="shared" si="139"/>
        <v>0</v>
      </c>
      <c r="BV35" s="1">
        <f t="shared" si="139"/>
        <v>0</v>
      </c>
      <c r="BW35" s="1">
        <f t="shared" si="139"/>
        <v>0</v>
      </c>
      <c r="BX35" s="1">
        <f t="shared" si="139"/>
        <v>0</v>
      </c>
      <c r="BY35" s="1">
        <f t="shared" si="139"/>
        <v>0</v>
      </c>
      <c r="BZ35" s="1">
        <f t="shared" si="139"/>
        <v>0</v>
      </c>
      <c r="CA35" s="1">
        <f t="shared" si="139"/>
        <v>0</v>
      </c>
      <c r="CB35" s="1">
        <f t="shared" si="139"/>
        <v>0</v>
      </c>
      <c r="CC35" s="1">
        <f t="shared" si="139"/>
        <v>0</v>
      </c>
      <c r="CD35" s="1">
        <f t="shared" si="139"/>
        <v>0</v>
      </c>
      <c r="CE35" s="1">
        <f t="shared" si="139"/>
        <v>0</v>
      </c>
      <c r="CF35" s="1">
        <f t="shared" si="139"/>
        <v>0</v>
      </c>
      <c r="CG35" s="1">
        <f t="shared" si="139"/>
        <v>0</v>
      </c>
      <c r="CH35" s="1">
        <f t="shared" si="139"/>
        <v>0</v>
      </c>
      <c r="CI35" s="1">
        <f t="shared" si="139"/>
        <v>0</v>
      </c>
      <c r="CJ35" s="1">
        <f t="shared" si="139"/>
        <v>0</v>
      </c>
      <c r="DS35">
        <f t="array" ref="DS35">SUM(AH5:AJ7*$DO$38:$DQ$40)+SUM(AH34:AJ36*$DO$42:$DQ$44)</f>
        <v>0</v>
      </c>
      <c r="DT35">
        <f t="array" ref="DT35">SUM(AI5:AK7*$DO$38:$DQ$40)+SUM(AI34:AK36*$DO$42:$DQ$44)</f>
        <v>0</v>
      </c>
      <c r="DU35">
        <f t="array" ref="DU35">SUM(AJ5:AL7*$DO$38:$DQ$40)+SUM(AJ34:AL36*$DO$42:$DQ$44)</f>
        <v>0</v>
      </c>
      <c r="DV35">
        <f t="array" ref="DV35">SUM(AK5:AM7*$DO$38:$DQ$40)+SUM(AK34:AM36*$DO$42:$DQ$44)</f>
        <v>0</v>
      </c>
      <c r="DW35">
        <f t="array" ref="DW35">SUM(AL5:AN7*$DO$38:$DQ$40)+SUM(AL34:AN36*$DO$42:$DQ$44)</f>
        <v>0</v>
      </c>
      <c r="DX35">
        <f t="array" ref="DX35">SUM(AM5:AO7*$DO$38:$DQ$40)+SUM(AM34:AO36*$DO$42:$DQ$44)</f>
        <v>0</v>
      </c>
      <c r="DY35">
        <f t="array" ref="DY35">SUM(AN5:AP7*$DO$38:$DQ$40)+SUM(AN34:AP36*$DO$42:$DQ$44)</f>
        <v>0</v>
      </c>
      <c r="DZ35">
        <f t="array" ref="DZ35">SUM(AO5:AQ7*$DO$38:$DQ$40)+SUM(AO34:AQ36*$DO$42:$DQ$44)</f>
        <v>0</v>
      </c>
      <c r="EA35">
        <f t="array" ref="EA35">SUM(AP5:AR7*$DO$38:$DQ$40)+SUM(AP34:AR36*$DO$42:$DQ$44)</f>
        <v>0</v>
      </c>
      <c r="EB35">
        <f t="array" ref="EB35">SUM(AQ5:AS7*$DO$38:$DQ$40)+SUM(AQ34:AS36*$DO$42:$DQ$44)</f>
        <v>0</v>
      </c>
      <c r="EC35">
        <f t="array" ref="EC35">SUM(AR5:AT7*$DO$38:$DQ$40)+SUM(AR34:AT36*$DO$42:$DQ$44)</f>
        <v>0</v>
      </c>
      <c r="ED35">
        <f t="array" ref="ED35">SUM(AS5:AU7*$DO$38:$DQ$40)+SUM(AS34:AU36*$DO$42:$DQ$44)</f>
        <v>0</v>
      </c>
      <c r="EE35">
        <f t="array" ref="EE35">SUM(AT5:AV7*$DO$38:$DQ$40)+SUM(AT34:AV36*$DO$42:$DQ$44)</f>
        <v>0</v>
      </c>
      <c r="EF35">
        <f t="array" ref="EF35">SUM(AU5:AW7*$DO$38:$DQ$40)+SUM(AU34:AW36*$DO$42:$DQ$44)</f>
        <v>0</v>
      </c>
      <c r="EG35">
        <f t="array" ref="EG35">SUM(AV5:AX7*$DO$38:$DQ$40)+SUM(AV34:AX36*$DO$42:$DQ$44)</f>
        <v>0</v>
      </c>
      <c r="EH35">
        <f t="array" ref="EH35">SUM(AW5:AY7*$DO$38:$DQ$40)+SUM(AW34:AY36*$DO$42:$DQ$44)</f>
        <v>0</v>
      </c>
      <c r="EI35">
        <f t="array" ref="EI35">SUM(AX5:AZ7*$DO$38:$DQ$40)+SUM(AX34:AZ36*$DO$42:$DQ$44)</f>
        <v>0</v>
      </c>
      <c r="EJ35">
        <f t="array" ref="EJ35">SUM(AY5:BA7*$DO$38:$DQ$40)+SUM(AY34:BA36*$DO$42:$DQ$44)</f>
        <v>0</v>
      </c>
      <c r="EK35">
        <f t="array" ref="EK35">SUM(AZ5:BB7*$DO$38:$DQ$40)+SUM(AZ34:BB36*$DO$42:$DQ$44)</f>
        <v>0</v>
      </c>
      <c r="EL35">
        <f t="array" ref="EL35">SUM(BA5:BC7*$DO$38:$DQ$40)+SUM(BA34:BC36*$DO$42:$DQ$44)</f>
        <v>0</v>
      </c>
      <c r="EM35">
        <f t="array" ref="EM35">SUM(BB5:BD7*$DO$38:$DQ$40)+SUM(BB34:BD36*$DO$42:$DQ$44)</f>
        <v>0</v>
      </c>
      <c r="EN35">
        <f t="array" ref="EN35">SUM(BC5:BE7*$DO$38:$DQ$40)+SUM(BC34:BE36*$DO$42:$DQ$44)</f>
        <v>0</v>
      </c>
      <c r="EO35">
        <f t="array" ref="EO35">SUM(BD5:BF7*$DO$38:$DQ$40)+SUM(BD34:BF36*$DO$42:$DQ$44)</f>
        <v>0</v>
      </c>
      <c r="EP35">
        <f t="array" ref="EP35">SUM(BE5:BG7*$DO$38:$DQ$40)+SUM(BE34:BG36*$DO$42:$DQ$44)</f>
        <v>0</v>
      </c>
      <c r="ES35" s="127">
        <f t="shared" ref="ES35" si="151">MAX(DS35:DT36)</f>
        <v>0</v>
      </c>
      <c r="ET35" s="127"/>
      <c r="EU35" s="127">
        <f t="shared" ref="EU35" si="152">MAX(DU35:DV36)</f>
        <v>0</v>
      </c>
      <c r="EV35" s="127"/>
      <c r="EW35" s="127">
        <f t="shared" ref="EW35" si="153">MAX(DW35:DX36)</f>
        <v>0</v>
      </c>
      <c r="EX35" s="127"/>
      <c r="EY35" s="127">
        <f t="shared" ref="EY35" si="154">MAX(DY35:DZ36)</f>
        <v>0</v>
      </c>
      <c r="EZ35" s="127"/>
      <c r="FA35" s="127">
        <f t="shared" ref="FA35" si="155">MAX(EA35:EB36)</f>
        <v>0</v>
      </c>
      <c r="FB35" s="127"/>
      <c r="FC35" s="127">
        <f t="shared" ref="FC35" si="156">MAX(EC35:ED36)</f>
        <v>0</v>
      </c>
      <c r="FD35" s="127"/>
      <c r="FE35" s="127">
        <f t="shared" ref="FE35" si="157">MAX(EE35:EF36)</f>
        <v>0</v>
      </c>
      <c r="FF35" s="127"/>
      <c r="FG35" s="127">
        <f t="shared" ref="FG35" si="158">MAX(EG35:EH36)</f>
        <v>0</v>
      </c>
      <c r="FH35" s="127"/>
      <c r="FI35" s="127">
        <f t="shared" ref="FI35" si="159">MAX(EI35:EJ36)</f>
        <v>0</v>
      </c>
      <c r="FJ35" s="127"/>
      <c r="FK35" s="127">
        <f t="shared" ref="FK35" si="160">MAX(EK35:EL36)</f>
        <v>0</v>
      </c>
      <c r="FL35" s="127"/>
      <c r="FM35" s="127">
        <f t="shared" ref="FM35" si="161">MAX(EM35:EN36)</f>
        <v>0</v>
      </c>
      <c r="FN35" s="127"/>
      <c r="FO35" s="127">
        <f t="shared" ref="FO35" si="162">MAX(EO35:EP36)</f>
        <v>0</v>
      </c>
      <c r="FP35" s="127"/>
      <c r="FT35">
        <v>0.70324717564530892</v>
      </c>
      <c r="FV35">
        <v>0.37287938758036732</v>
      </c>
      <c r="FX35">
        <v>0.35764805886064388</v>
      </c>
      <c r="FZ35">
        <v>0.9151391070648659</v>
      </c>
      <c r="GB35">
        <v>0.29370902799127396</v>
      </c>
      <c r="GD35">
        <v>0.40732465334168477</v>
      </c>
      <c r="GF35">
        <v>0.3279653165782056</v>
      </c>
      <c r="GH35">
        <v>0.6799179965919474</v>
      </c>
      <c r="GJ35">
        <v>6.6720132678095734E-2</v>
      </c>
      <c r="GL35">
        <v>0.27986479565124645</v>
      </c>
      <c r="GN35">
        <v>0.63698684715931786</v>
      </c>
      <c r="GP35">
        <v>0.43532400885457911</v>
      </c>
      <c r="GR35">
        <v>6.4584170053752499E-2</v>
      </c>
    </row>
    <row r="36" spans="1:200" ht="27.75" customHeight="1" x14ac:dyDescent="0.2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16" t="s">
        <v>55</v>
      </c>
      <c r="AE36" s="79"/>
      <c r="AF36" s="79"/>
      <c r="AG36" s="79"/>
      <c r="AH36" s="1">
        <f t="array" ref="AH36">SUM(A6:C8*$AD$38:$AF$40)</f>
        <v>0</v>
      </c>
      <c r="AI36" s="1">
        <f t="array" ref="AI36">SUM(B6:D8*$AD$38:$AF$40)</f>
        <v>0</v>
      </c>
      <c r="AJ36" s="1">
        <f t="array" ref="AJ36">SUM(C6:E8*$AD$38:$AF$40)</f>
        <v>0</v>
      </c>
      <c r="AK36" s="1">
        <f t="array" ref="AK36">SUM(D6:F8*$AD$38:$AF$40)</f>
        <v>0</v>
      </c>
      <c r="AL36" s="1">
        <f t="array" ref="AL36">SUM(E6:G8*$AD$38:$AF$40)</f>
        <v>0</v>
      </c>
      <c r="AM36" s="1">
        <f t="array" ref="AM36">SUM(F6:H8*$AD$38:$AF$40)</f>
        <v>0</v>
      </c>
      <c r="AN36" s="1">
        <f t="array" ref="AN36">SUM(G6:I8*$AD$38:$AF$40)</f>
        <v>0</v>
      </c>
      <c r="AO36" s="1">
        <f t="array" ref="AO36">SUM(H6:J8*$AD$38:$AF$40)</f>
        <v>0</v>
      </c>
      <c r="AP36" s="1">
        <f t="array" ref="AP36">SUM(I6:K8*$AD$38:$AF$40)</f>
        <v>0</v>
      </c>
      <c r="AQ36" s="1">
        <f t="array" ref="AQ36">SUM(J6:L8*$AD$38:$AF$40)</f>
        <v>0</v>
      </c>
      <c r="AR36" s="1">
        <f t="array" ref="AR36">SUM(K6:M8*$AD$38:$AF$40)</f>
        <v>0</v>
      </c>
      <c r="AS36" s="1">
        <f t="array" ref="AS36">SUM(L6:N8*$AD$38:$AF$40)</f>
        <v>0</v>
      </c>
      <c r="AT36" s="1">
        <f t="array" ref="AT36">SUM(M6:O8*$AD$38:$AF$40)</f>
        <v>0</v>
      </c>
      <c r="AU36" s="1">
        <f t="array" ref="AU36">SUM(N6:P8*$AD$38:$AF$40)</f>
        <v>0</v>
      </c>
      <c r="AV36" s="1">
        <f t="array" ref="AV36">SUM(O6:Q8*$AD$38:$AF$40)</f>
        <v>0</v>
      </c>
      <c r="AW36" s="1">
        <f t="array" ref="AW36">SUM(P6:R8*$AD$38:$AF$40)</f>
        <v>0</v>
      </c>
      <c r="AX36" s="1">
        <f t="array" ref="AX36">SUM(Q6:S8*$AD$38:$AF$40)</f>
        <v>0</v>
      </c>
      <c r="AY36" s="1">
        <f t="array" ref="AY36">SUM(R6:T8*$AD$38:$AF$40)</f>
        <v>0</v>
      </c>
      <c r="AZ36" s="1">
        <f t="array" ref="AZ36">SUM(S6:U8*$AD$38:$AF$40)</f>
        <v>0</v>
      </c>
      <c r="BA36" s="1">
        <f t="array" ref="BA36">SUM(T6:V8*$AD$38:$AF$40)</f>
        <v>0</v>
      </c>
      <c r="BB36" s="1">
        <f t="array" ref="BB36">SUM(U6:W8*$AD$38:$AF$40)</f>
        <v>0</v>
      </c>
      <c r="BC36" s="1">
        <f t="array" ref="BC36">SUM(V6:X8*$AD$38:$AF$40)</f>
        <v>0</v>
      </c>
      <c r="BD36" s="1">
        <f t="array" ref="BD36">SUM(W6:Y8*$AD$38:$AF$40)</f>
        <v>0</v>
      </c>
      <c r="BE36" s="1">
        <f t="array" ref="BE36">SUM(X6:Z8*$AD$38:$AF$40)</f>
        <v>0</v>
      </c>
      <c r="BF36" s="1">
        <f t="array" ref="BF36">SUM(Y6:AA8*$AD$38:$AF$40)</f>
        <v>0</v>
      </c>
      <c r="BG36" s="1">
        <f t="array" ref="BG36">SUM(Z6:AB8*$AD$38:$AF$40)</f>
        <v>0</v>
      </c>
      <c r="BH36" s="79"/>
      <c r="BI36" s="79"/>
      <c r="BJ36" s="79"/>
      <c r="BK36" s="1">
        <f t="shared" si="139"/>
        <v>0</v>
      </c>
      <c r="BL36" s="1">
        <f t="shared" si="139"/>
        <v>0</v>
      </c>
      <c r="BM36" s="1">
        <f t="shared" si="139"/>
        <v>0</v>
      </c>
      <c r="BN36" s="1">
        <f t="shared" si="139"/>
        <v>0</v>
      </c>
      <c r="BO36" s="1">
        <f t="shared" si="139"/>
        <v>0</v>
      </c>
      <c r="BP36" s="1">
        <f t="shared" si="139"/>
        <v>0</v>
      </c>
      <c r="BQ36" s="1">
        <f t="shared" si="139"/>
        <v>0</v>
      </c>
      <c r="BR36" s="1">
        <f t="shared" si="139"/>
        <v>0</v>
      </c>
      <c r="BS36" s="1">
        <f t="shared" si="139"/>
        <v>0</v>
      </c>
      <c r="BT36" s="1">
        <f t="shared" si="139"/>
        <v>0</v>
      </c>
      <c r="BU36" s="1">
        <f t="shared" si="139"/>
        <v>0</v>
      </c>
      <c r="BV36" s="1">
        <f t="shared" si="139"/>
        <v>0</v>
      </c>
      <c r="BW36" s="1">
        <f t="shared" si="139"/>
        <v>0</v>
      </c>
      <c r="BX36" s="1">
        <f t="shared" si="139"/>
        <v>0</v>
      </c>
      <c r="BY36" s="1">
        <f t="shared" si="139"/>
        <v>0</v>
      </c>
      <c r="BZ36" s="1">
        <f t="shared" si="139"/>
        <v>0</v>
      </c>
      <c r="CA36" s="1">
        <f t="shared" si="139"/>
        <v>0</v>
      </c>
      <c r="CB36" s="1">
        <f t="shared" si="139"/>
        <v>0</v>
      </c>
      <c r="CC36" s="1">
        <f t="shared" si="139"/>
        <v>0</v>
      </c>
      <c r="CD36" s="1">
        <f t="shared" si="139"/>
        <v>0</v>
      </c>
      <c r="CE36" s="1">
        <f t="shared" si="139"/>
        <v>0</v>
      </c>
      <c r="CF36" s="1">
        <f t="shared" si="139"/>
        <v>0</v>
      </c>
      <c r="CG36" s="1">
        <f t="shared" si="139"/>
        <v>0</v>
      </c>
      <c r="CH36" s="1">
        <f t="shared" si="139"/>
        <v>0</v>
      </c>
      <c r="CI36" s="1">
        <f t="shared" si="139"/>
        <v>0</v>
      </c>
      <c r="CJ36" s="1">
        <f t="shared" si="139"/>
        <v>0</v>
      </c>
      <c r="DO36" s="2" t="s">
        <v>56</v>
      </c>
      <c r="DS36">
        <f t="array" ref="DS36">SUM(AH6:AJ8*$DO$38:$DQ$40)+SUM(AH35:AJ37*$DO$42:$DQ$44)</f>
        <v>0</v>
      </c>
      <c r="DT36">
        <f t="array" ref="DT36">SUM(AI6:AK8*$DO$38:$DQ$40)+SUM(AI35:AK37*$DO$42:$DQ$44)</f>
        <v>0</v>
      </c>
      <c r="DU36">
        <f t="array" ref="DU36">SUM(AJ6:AL8*$DO$38:$DQ$40)+SUM(AJ35:AL37*$DO$42:$DQ$44)</f>
        <v>0</v>
      </c>
      <c r="DV36">
        <f t="array" ref="DV36">SUM(AK6:AM8*$DO$38:$DQ$40)+SUM(AK35:AM37*$DO$42:$DQ$44)</f>
        <v>0</v>
      </c>
      <c r="DW36">
        <f t="array" ref="DW36">SUM(AL6:AN8*$DO$38:$DQ$40)+SUM(AL35:AN37*$DO$42:$DQ$44)</f>
        <v>0</v>
      </c>
      <c r="DX36">
        <f t="array" ref="DX36">SUM(AM6:AO8*$DO$38:$DQ$40)+SUM(AM35:AO37*$DO$42:$DQ$44)</f>
        <v>0</v>
      </c>
      <c r="DY36">
        <f t="array" ref="DY36">SUM(AN6:AP8*$DO$38:$DQ$40)+SUM(AN35:AP37*$DO$42:$DQ$44)</f>
        <v>0</v>
      </c>
      <c r="DZ36">
        <f t="array" ref="DZ36">SUM(AO6:AQ8*$DO$38:$DQ$40)+SUM(AO35:AQ37*$DO$42:$DQ$44)</f>
        <v>-0.55950663111604593</v>
      </c>
      <c r="EA36">
        <f t="array" ref="EA36">SUM(AP6:AR8*$DO$38:$DQ$40)+SUM(AP35:AR37*$DO$42:$DQ$44)</f>
        <v>-1.0237535159642379</v>
      </c>
      <c r="EB36">
        <f t="array" ref="EB36">SUM(AQ6:AS8*$DO$38:$DQ$40)+SUM(AQ35:AS37*$DO$42:$DQ$44)</f>
        <v>-1.4551169934411901</v>
      </c>
      <c r="EC36">
        <f t="array" ref="EC36">SUM(AR6:AT8*$DO$38:$DQ$40)+SUM(AR35:AT37*$DO$42:$DQ$44)</f>
        <v>-2.0676356291869804</v>
      </c>
      <c r="ED36">
        <f t="array" ref="ED36">SUM(AS6:AU8*$DO$38:$DQ$40)+SUM(AS35:AU37*$DO$42:$DQ$44)</f>
        <v>-2.1016807501632928</v>
      </c>
      <c r="EE36">
        <f t="array" ref="EE36">SUM(AT6:AV8*$DO$38:$DQ$40)+SUM(AT35:AV37*$DO$42:$DQ$44)</f>
        <v>-1.608696992283611</v>
      </c>
      <c r="EF36">
        <f t="array" ref="EF36">SUM(AU6:AW8*$DO$38:$DQ$40)+SUM(AU35:AW37*$DO$42:$DQ$44)</f>
        <v>-1.1385691276161816</v>
      </c>
      <c r="EG36">
        <f t="array" ref="EG36">SUM(AV6:AX8*$DO$38:$DQ$40)+SUM(AV35:AX37*$DO$42:$DQ$44)</f>
        <v>-0.63360259998403123</v>
      </c>
      <c r="EH36">
        <f t="array" ref="EH36">SUM(AW6:AY8*$DO$38:$DQ$40)+SUM(AW35:AY37*$DO$42:$DQ$44)</f>
        <v>-0.17353859446401651</v>
      </c>
      <c r="EI36">
        <f t="array" ref="EI36">SUM(AX6:AZ8*$DO$38:$DQ$40)+SUM(AX35:AZ37*$DO$42:$DQ$44)</f>
        <v>0</v>
      </c>
      <c r="EJ36">
        <f t="array" ref="EJ36">SUM(AY6:BA8*$DO$38:$DQ$40)+SUM(AY35:BA37*$DO$42:$DQ$44)</f>
        <v>0</v>
      </c>
      <c r="EK36">
        <f t="array" ref="EK36">SUM(AZ6:BB8*$DO$38:$DQ$40)+SUM(AZ35:BB37*$DO$42:$DQ$44)</f>
        <v>0</v>
      </c>
      <c r="EL36">
        <f t="array" ref="EL36">SUM(BA6:BC8*$DO$38:$DQ$40)+SUM(BA35:BC37*$DO$42:$DQ$44)</f>
        <v>0</v>
      </c>
      <c r="EM36">
        <f t="array" ref="EM36">SUM(BB6:BD8*$DO$38:$DQ$40)+SUM(BB35:BD37*$DO$42:$DQ$44)</f>
        <v>0</v>
      </c>
      <c r="EN36">
        <f t="array" ref="EN36">SUM(BC6:BE8*$DO$38:$DQ$40)+SUM(BC35:BE37*$DO$42:$DQ$44)</f>
        <v>0</v>
      </c>
      <c r="EO36">
        <f t="array" ref="EO36">SUM(BD6:BF8*$DO$38:$DQ$40)+SUM(BD35:BF37*$DO$42:$DQ$44)</f>
        <v>0</v>
      </c>
      <c r="EP36">
        <f t="array" ref="EP36">SUM(BE6:BG8*$DO$38:$DQ$40)+SUM(BE35:BG37*$DO$42:$DQ$44)</f>
        <v>0</v>
      </c>
      <c r="ES36" s="127"/>
      <c r="ET36" s="127"/>
      <c r="EU36" s="127"/>
      <c r="EV36" s="127"/>
      <c r="EW36" s="127"/>
      <c r="EX36" s="127"/>
      <c r="EY36" s="127"/>
      <c r="EZ36" s="127"/>
      <c r="FA36" s="127"/>
      <c r="FB36" s="127"/>
      <c r="FC36" s="127"/>
      <c r="FD36" s="127"/>
      <c r="FE36" s="127"/>
      <c r="FF36" s="127"/>
      <c r="FG36" s="127"/>
      <c r="FH36" s="127"/>
      <c r="FI36" s="127"/>
      <c r="FJ36" s="127"/>
      <c r="FK36" s="127"/>
      <c r="FL36" s="127"/>
      <c r="FM36" s="127"/>
      <c r="FN36" s="127"/>
      <c r="FO36" s="127"/>
      <c r="FP36" s="127"/>
    </row>
    <row r="37" spans="1:200" ht="27.75" customHeight="1" x14ac:dyDescent="0.25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1">
        <f t="array" ref="AH37">SUM(A7:C9*$AD$38:$AF$40)</f>
        <v>0</v>
      </c>
      <c r="AI37" s="1">
        <f t="array" ref="AI37">SUM(B7:D9*$AD$38:$AF$40)</f>
        <v>0</v>
      </c>
      <c r="AJ37" s="1">
        <f t="array" ref="AJ37">SUM(C7:E9*$AD$38:$AF$40)</f>
        <v>0</v>
      </c>
      <c r="AK37" s="1">
        <f t="array" ref="AK37">SUM(D7:F9*$AD$38:$AF$40)</f>
        <v>0</v>
      </c>
      <c r="AL37" s="1">
        <f t="array" ref="AL37">SUM(E7:G9*$AD$38:$AF$40)</f>
        <v>0</v>
      </c>
      <c r="AM37" s="1">
        <f t="array" ref="AM37">SUM(F7:H9*$AD$38:$AF$40)</f>
        <v>0</v>
      </c>
      <c r="AN37" s="1">
        <f t="array" ref="AN37">SUM(G7:I9*$AD$38:$AF$40)</f>
        <v>0</v>
      </c>
      <c r="AO37" s="1">
        <f t="array" ref="AO37">SUM(H7:J9*$AD$38:$AF$40)</f>
        <v>0</v>
      </c>
      <c r="AP37" s="1">
        <f t="array" ref="AP37">SUM(I7:K9*$AD$38:$AF$40)</f>
        <v>0</v>
      </c>
      <c r="AQ37" s="1">
        <f t="array" ref="AQ37">SUM(J7:L9*$AD$38:$AF$40)</f>
        <v>-0.38039219379424999</v>
      </c>
      <c r="AR37" s="1">
        <f t="array" ref="AR37">SUM(K7:M9*$AD$38:$AF$40)</f>
        <v>-0.37647062540054299</v>
      </c>
      <c r="AS37" s="1">
        <f t="array" ref="AS37">SUM(L7:N9*$AD$38:$AF$40)</f>
        <v>7.8431397676468007E-2</v>
      </c>
      <c r="AT37" s="1">
        <f t="array" ref="AT37">SUM(M7:O9*$AD$38:$AF$40)</f>
        <v>-8.6274504661560003E-2</v>
      </c>
      <c r="AU37" s="1">
        <f t="array" ref="AU37">SUM(N7:P9*$AD$38:$AF$40)</f>
        <v>6.274509429931599E-2</v>
      </c>
      <c r="AV37" s="1">
        <f t="array" ref="AV37">SUM(O7:Q9*$AD$38:$AF$40)</f>
        <v>0.46274513006210299</v>
      </c>
      <c r="AW37" s="1">
        <f t="array" ref="AW37">SUM(P7:R9*$AD$38:$AF$40)</f>
        <v>0.23921570181846599</v>
      </c>
      <c r="AX37" s="1">
        <f t="array" ref="AX37">SUM(Q7:S9*$AD$38:$AF$40)</f>
        <v>0</v>
      </c>
      <c r="AY37" s="1">
        <f t="array" ref="AY37">SUM(R7:T9*$AD$38:$AF$40)</f>
        <v>0</v>
      </c>
      <c r="AZ37" s="1">
        <f t="array" ref="AZ37">SUM(S7:U9*$AD$38:$AF$40)</f>
        <v>0</v>
      </c>
      <c r="BA37" s="1">
        <f t="array" ref="BA37">SUM(T7:V9*$AD$38:$AF$40)</f>
        <v>0</v>
      </c>
      <c r="BB37" s="1">
        <f t="array" ref="BB37">SUM(U7:W9*$AD$38:$AF$40)</f>
        <v>0</v>
      </c>
      <c r="BC37" s="1">
        <f t="array" ref="BC37">SUM(V7:X9*$AD$38:$AF$40)</f>
        <v>0</v>
      </c>
      <c r="BD37" s="1">
        <f t="array" ref="BD37">SUM(W7:Y9*$AD$38:$AF$40)</f>
        <v>0</v>
      </c>
      <c r="BE37" s="1">
        <f t="array" ref="BE37">SUM(X7:Z9*$AD$38:$AF$40)</f>
        <v>0</v>
      </c>
      <c r="BF37" s="1">
        <f t="array" ref="BF37">SUM(Y7:AA9*$AD$38:$AF$40)</f>
        <v>0</v>
      </c>
      <c r="BG37" s="1">
        <f t="array" ref="BG37">SUM(Z7:AB9*$AD$38:$AF$40)</f>
        <v>0</v>
      </c>
      <c r="BH37" s="79"/>
      <c r="BI37" s="79"/>
      <c r="BJ37" s="79"/>
      <c r="BK37" s="1">
        <f t="shared" si="139"/>
        <v>0</v>
      </c>
      <c r="BL37" s="1">
        <f t="shared" si="139"/>
        <v>0</v>
      </c>
      <c r="BM37" s="1">
        <f t="shared" si="139"/>
        <v>0</v>
      </c>
      <c r="BN37" s="1">
        <f t="shared" si="139"/>
        <v>0</v>
      </c>
      <c r="BO37" s="1">
        <f t="shared" si="139"/>
        <v>0</v>
      </c>
      <c r="BP37" s="1">
        <f t="shared" si="139"/>
        <v>0</v>
      </c>
      <c r="BQ37" s="1">
        <f t="shared" si="139"/>
        <v>0</v>
      </c>
      <c r="BR37" s="1">
        <f t="shared" si="139"/>
        <v>0</v>
      </c>
      <c r="BS37" s="1">
        <f t="shared" si="139"/>
        <v>0</v>
      </c>
      <c r="BT37" s="1">
        <f t="shared" si="139"/>
        <v>0</v>
      </c>
      <c r="BU37" s="1">
        <f t="shared" si="139"/>
        <v>0</v>
      </c>
      <c r="BV37" s="1">
        <f t="shared" si="139"/>
        <v>7.8431397676468007E-2</v>
      </c>
      <c r="BW37" s="1">
        <f t="shared" si="139"/>
        <v>0</v>
      </c>
      <c r="BX37" s="1">
        <f t="shared" si="139"/>
        <v>6.274509429931599E-2</v>
      </c>
      <c r="BY37" s="1">
        <f t="shared" si="139"/>
        <v>0.46274513006210299</v>
      </c>
      <c r="BZ37" s="1">
        <f t="shared" si="139"/>
        <v>0.23921570181846599</v>
      </c>
      <c r="CA37" s="1">
        <f t="shared" si="139"/>
        <v>0</v>
      </c>
      <c r="CB37" s="1">
        <f t="shared" si="139"/>
        <v>0</v>
      </c>
      <c r="CC37" s="1">
        <f t="shared" si="139"/>
        <v>0</v>
      </c>
      <c r="CD37" s="1">
        <f t="shared" si="139"/>
        <v>0</v>
      </c>
      <c r="CE37" s="1">
        <f t="shared" si="139"/>
        <v>0</v>
      </c>
      <c r="CF37" s="1">
        <f t="shared" si="139"/>
        <v>0</v>
      </c>
      <c r="CG37" s="1">
        <f t="shared" si="139"/>
        <v>0</v>
      </c>
      <c r="CH37" s="1">
        <f t="shared" si="139"/>
        <v>0</v>
      </c>
      <c r="CI37" s="1">
        <f t="shared" si="139"/>
        <v>0</v>
      </c>
      <c r="CJ37" s="1">
        <f t="shared" si="139"/>
        <v>0</v>
      </c>
      <c r="DS37">
        <f t="array" ref="DS37">SUM(AH7:AJ9*$DO$38:$DQ$40)+SUM(AH36:AJ38*$DO$42:$DQ$44)</f>
        <v>-1.2320954418768086</v>
      </c>
      <c r="DT37">
        <f t="array" ref="DT37">SUM(AI7:AK9*$DO$38:$DQ$40)+SUM(AI36:AK38*$DO$42:$DQ$44)</f>
        <v>-2.5306020243558653</v>
      </c>
      <c r="DU37">
        <f t="array" ref="DU37">SUM(AJ7:AL9*$DO$38:$DQ$40)+SUM(AJ36:AL38*$DO$42:$DQ$44)</f>
        <v>-3.7102370851027544</v>
      </c>
      <c r="DV37">
        <f t="array" ref="DV37">SUM(AK7:AM9*$DO$38:$DQ$40)+SUM(AK36:AM38*$DO$42:$DQ$44)</f>
        <v>-4.7464977741036245</v>
      </c>
      <c r="DW37">
        <f t="array" ref="DW37">SUM(AL7:AN9*$DO$38:$DQ$40)+SUM(AL36:AN38*$DO$42:$DQ$44)</f>
        <v>-5.3567705238526298</v>
      </c>
      <c r="DX37">
        <f t="array" ref="DX37">SUM(AM7:AO9*$DO$38:$DQ$40)+SUM(AM36:AO38*$DO$42:$DQ$44)</f>
        <v>-5.6327253468610001</v>
      </c>
      <c r="DY37">
        <f t="array" ref="DY37">SUM(AN7:AP9*$DO$38:$DQ$40)+SUM(AN36:AP38*$DO$42:$DQ$44)</f>
        <v>-5.6327253468610001</v>
      </c>
      <c r="DZ37">
        <f t="array" ref="DZ37">SUM(AO7:AQ9*$DO$38:$DQ$40)+SUM(AO36:AQ38*$DO$42:$DQ$44)</f>
        <v>-6.3143390609756116</v>
      </c>
      <c r="EA37">
        <f t="array" ref="EA37">SUM(AP7:AR9*$DO$38:$DQ$40)+SUM(AP36:AR38*$DO$42:$DQ$44)</f>
        <v>-6.7378854264956596</v>
      </c>
      <c r="EB37">
        <f t="array" ref="EB37">SUM(AQ7:AS9*$DO$38:$DQ$40)+SUM(AQ36:AS38*$DO$42:$DQ$44)</f>
        <v>-6.9415697393372602</v>
      </c>
      <c r="EC37">
        <f t="array" ref="EC37">SUM(AR7:AT9*$DO$38:$DQ$40)+SUM(AR36:AT38*$DO$42:$DQ$44)</f>
        <v>-7.2910027256850229</v>
      </c>
      <c r="ED37">
        <f t="array" ref="ED37">SUM(AS7:AU9*$DO$38:$DQ$40)+SUM(AS36:AU38*$DO$42:$DQ$44)</f>
        <v>-6.838915106150071</v>
      </c>
      <c r="EE37">
        <f t="array" ref="EE37">SUM(AT7:AV9*$DO$38:$DQ$40)+SUM(AT36:AV38*$DO$42:$DQ$44)</f>
        <v>-6.2726498615555597</v>
      </c>
      <c r="EF37">
        <f t="array" ref="EF37">SUM(AU7:AW9*$DO$38:$DQ$40)+SUM(AU36:AW38*$DO$42:$DQ$44)</f>
        <v>-5.6388194874173019</v>
      </c>
      <c r="EG37">
        <f t="array" ref="EG37">SUM(AV7:AX9*$DO$38:$DQ$40)+SUM(AV36:AX38*$DO$42:$DQ$44)</f>
        <v>-4.0732395131246779</v>
      </c>
      <c r="EH37">
        <f t="array" ref="EH37">SUM(AW7:AY9*$DO$38:$DQ$40)+SUM(AW36:AY38*$DO$42:$DQ$44)</f>
        <v>-2.8830364157333284</v>
      </c>
      <c r="EI37">
        <f t="array" ref="EI37">SUM(AX7:AZ9*$DO$38:$DQ$40)+SUM(AX36:AZ38*$DO$42:$DQ$44)</f>
        <v>-1.7146146221988765</v>
      </c>
      <c r="EJ37">
        <f t="array" ref="EJ37">SUM(AY7:BA9*$DO$38:$DQ$40)+SUM(AY36:BA38*$DO$42:$DQ$44)</f>
        <v>-0.64308747616820838</v>
      </c>
      <c r="EK37">
        <f t="array" ref="EK37">SUM(AZ7:BB9*$DO$38:$DQ$40)+SUM(AZ36:BB38*$DO$42:$DQ$44)</f>
        <v>-5.9742792777526449E-2</v>
      </c>
      <c r="EL37">
        <f t="array" ref="EL37">SUM(BA7:BC9*$DO$38:$DQ$40)+SUM(BA36:BC38*$DO$42:$DQ$44)</f>
        <v>0</v>
      </c>
      <c r="EM37">
        <f t="array" ref="EM37">SUM(BB7:BD9*$DO$38:$DQ$40)+SUM(BB36:BD38*$DO$42:$DQ$44)</f>
        <v>0</v>
      </c>
      <c r="EN37">
        <f t="array" ref="EN37">SUM(BC7:BE9*$DO$38:$DQ$40)+SUM(BC36:BE38*$DO$42:$DQ$44)</f>
        <v>0</v>
      </c>
      <c r="EO37">
        <f t="array" ref="EO37">SUM(BD7:BF9*$DO$38:$DQ$40)+SUM(BD36:BF38*$DO$42:$DQ$44)</f>
        <v>0</v>
      </c>
      <c r="EP37">
        <f t="array" ref="EP37">SUM(BE7:BG9*$DO$38:$DQ$40)+SUM(BE36:BG38*$DO$42:$DQ$44)</f>
        <v>0</v>
      </c>
      <c r="ES37" s="127">
        <f t="shared" ref="ES37" si="163">MAX(DS37:DT38)</f>
        <v>-1.2320954418768086</v>
      </c>
      <c r="ET37" s="127"/>
      <c r="EU37" s="127">
        <f t="shared" ref="EU37" si="164">MAX(DU37:DV38)</f>
        <v>-3.7102370851027544</v>
      </c>
      <c r="EV37" s="127"/>
      <c r="EW37" s="127">
        <f t="shared" ref="EW37" si="165">MAX(DW37:DX38)</f>
        <v>-5.3567705238526298</v>
      </c>
      <c r="EX37" s="127"/>
      <c r="EY37" s="127">
        <f t="shared" ref="EY37" si="166">MAX(DY37:DZ38)</f>
        <v>-5.6327253468610001</v>
      </c>
      <c r="EZ37" s="127"/>
      <c r="FA37" s="127">
        <f t="shared" ref="FA37" si="167">MAX(EA37:EB38)</f>
        <v>-6.7378854264956596</v>
      </c>
      <c r="FB37" s="127"/>
      <c r="FC37" s="127">
        <f t="shared" ref="FC37" si="168">MAX(EC37:ED38)</f>
        <v>-6.838915106150071</v>
      </c>
      <c r="FD37" s="127"/>
      <c r="FE37" s="127">
        <f t="shared" ref="FE37" si="169">MAX(EE37:EF38)</f>
        <v>-5.6388194874173019</v>
      </c>
      <c r="FF37" s="127"/>
      <c r="FG37" s="127">
        <f t="shared" ref="FG37" si="170">MAX(EG37:EH38)</f>
        <v>-2.8830364157333284</v>
      </c>
      <c r="FH37" s="127"/>
      <c r="FI37" s="127">
        <f t="shared" ref="FI37" si="171">MAX(EI37:EJ38)</f>
        <v>-0.64308747616820838</v>
      </c>
      <c r="FJ37" s="127"/>
      <c r="FK37" s="127">
        <f t="shared" ref="FK37" si="172">MAX(EK37:EL38)</f>
        <v>0</v>
      </c>
      <c r="FL37" s="127"/>
      <c r="FM37" s="127">
        <f t="shared" ref="FM37" si="173">MAX(EM37:EN38)</f>
        <v>0</v>
      </c>
      <c r="FN37" s="127"/>
      <c r="FO37" s="127">
        <f t="shared" ref="FO37" si="174">MAX(EO37:EP38)</f>
        <v>0</v>
      </c>
      <c r="FP37" s="127"/>
      <c r="FT37">
        <v>0.86026515025261874</v>
      </c>
      <c r="FV37">
        <v>0.95951819842605623</v>
      </c>
      <c r="FX37">
        <v>0.98993668103585819</v>
      </c>
      <c r="FZ37">
        <v>0.23176888059634415</v>
      </c>
      <c r="GB37">
        <v>0.7385269012060155</v>
      </c>
      <c r="GD37">
        <v>0.20939559444157163</v>
      </c>
      <c r="GF37">
        <v>0.5694904702949839</v>
      </c>
      <c r="GH37">
        <v>0.3025320057808748</v>
      </c>
      <c r="GJ37">
        <v>0.24452641347158111</v>
      </c>
      <c r="GL37">
        <v>0.51992810809767553</v>
      </c>
      <c r="GN37">
        <v>0.8167600402540045</v>
      </c>
      <c r="GP37">
        <v>5.5681037380499121E-2</v>
      </c>
      <c r="GR37">
        <v>0.9257179186330543</v>
      </c>
    </row>
    <row r="38" spans="1:200" ht="27.75" customHeight="1" x14ac:dyDescent="0.2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1">
        <v>1</v>
      </c>
      <c r="AE38" s="1">
        <v>0</v>
      </c>
      <c r="AF38" s="1">
        <v>-1</v>
      </c>
      <c r="AG38" s="79"/>
      <c r="AH38" s="1">
        <f t="array" ref="AH38">SUM(A8:C10*$AD$38:$AF$40)</f>
        <v>0</v>
      </c>
      <c r="AI38" s="1">
        <f t="array" ref="AI38">SUM(B8:D10*$AD$38:$AF$40)</f>
        <v>-0.35294118523597701</v>
      </c>
      <c r="AJ38" s="1">
        <f t="array" ref="AJ38">SUM(C8:E10*$AD$38:$AF$40)</f>
        <v>-0.541176497936248</v>
      </c>
      <c r="AK38" s="1">
        <f t="array" ref="AK38">SUM(D8:F10*$AD$38:$AF$40)</f>
        <v>-0.56862750649452209</v>
      </c>
      <c r="AL38" s="1">
        <f t="array" ref="AL38">SUM(E8:G10*$AD$38:$AF$40)</f>
        <v>-0.38039219379425104</v>
      </c>
      <c r="AM38" s="1">
        <f t="array" ref="AM38">SUM(F8:H10*$AD$38:$AF$40)</f>
        <v>0</v>
      </c>
      <c r="AN38" s="1">
        <f t="array" ref="AN38">SUM(G8:I10*$AD$38:$AF$40)</f>
        <v>0</v>
      </c>
      <c r="AO38" s="1">
        <f t="array" ref="AO38">SUM(H8:J10*$AD$38:$AF$40)</f>
        <v>0</v>
      </c>
      <c r="AP38" s="1">
        <f t="array" ref="AP38">SUM(I8:K10*$AD$38:$AF$40)</f>
        <v>0</v>
      </c>
      <c r="AQ38" s="1">
        <f t="array" ref="AQ38">SUM(J8:L10*$AD$38:$AF$40)</f>
        <v>-0.44313728809356601</v>
      </c>
      <c r="AR38" s="1">
        <f t="array" ref="AR38">SUM(K8:M10*$AD$38:$AF$40)</f>
        <v>-0.43921571969985895</v>
      </c>
      <c r="AS38" s="1">
        <f t="array" ref="AS38">SUM(L8:N10*$AD$38:$AF$40)</f>
        <v>9.0196102857590166E-2</v>
      </c>
      <c r="AT38" s="1">
        <f t="array" ref="AT38">SUM(M8:O10*$AD$38:$AF$40)</f>
        <v>-9.8039209842681996E-2</v>
      </c>
      <c r="AU38" s="1">
        <f t="array" ref="AU38">SUM(N8:P10*$AD$38:$AF$40)</f>
        <v>7.45097994804369E-2</v>
      </c>
      <c r="AV38" s="1">
        <f t="array" ref="AV38">SUM(O8:Q10*$AD$38:$AF$40)</f>
        <v>0.53725492954254084</v>
      </c>
      <c r="AW38" s="1">
        <f t="array" ref="AW38">SUM(P8:R10*$AD$38:$AF$40)</f>
        <v>0.454902023077011</v>
      </c>
      <c r="AX38" s="1">
        <f t="array" ref="AX38">SUM(Q8:S10*$AD$38:$AF$40)</f>
        <v>0.83921574801206578</v>
      </c>
      <c r="AY38" s="1">
        <f t="array" ref="AY38">SUM(R8:T10*$AD$38:$AF$40)</f>
        <v>0.74509805440902699</v>
      </c>
      <c r="AZ38" s="1">
        <f t="array" ref="AZ38">SUM(S8:U10*$AD$38:$AF$40)</f>
        <v>8.2352943718433297E-2</v>
      </c>
      <c r="BA38" s="1">
        <f t="array" ref="BA38">SUM(T8:V10*$AD$38:$AF$40)</f>
        <v>0</v>
      </c>
      <c r="BB38" s="1">
        <f t="array" ref="BB38">SUM(U8:W10*$AD$38:$AF$40)</f>
        <v>0</v>
      </c>
      <c r="BC38" s="1">
        <f t="array" ref="BC38">SUM(V8:X10*$AD$38:$AF$40)</f>
        <v>0</v>
      </c>
      <c r="BD38" s="1">
        <f t="array" ref="BD38">SUM(W8:Y10*$AD$38:$AF$40)</f>
        <v>0</v>
      </c>
      <c r="BE38" s="1">
        <f t="array" ref="BE38">SUM(X8:Z10*$AD$38:$AF$40)</f>
        <v>0</v>
      </c>
      <c r="BF38" s="1">
        <f t="array" ref="BF38">SUM(Y8:AA10*$AD$38:$AF$40)</f>
        <v>0</v>
      </c>
      <c r="BG38" s="1">
        <f t="array" ref="BG38">SUM(Z8:AB10*$AD$38:$AF$40)</f>
        <v>0</v>
      </c>
      <c r="BH38" s="79"/>
      <c r="BI38" s="79"/>
      <c r="BJ38" s="79"/>
      <c r="BK38" s="1">
        <f t="shared" si="139"/>
        <v>0</v>
      </c>
      <c r="BL38" s="1">
        <f t="shared" si="139"/>
        <v>0</v>
      </c>
      <c r="BM38" s="1">
        <f t="shared" si="139"/>
        <v>0</v>
      </c>
      <c r="BN38" s="1">
        <f t="shared" si="139"/>
        <v>0</v>
      </c>
      <c r="BO38" s="1">
        <f t="shared" si="139"/>
        <v>0</v>
      </c>
      <c r="BP38" s="1">
        <f t="shared" si="139"/>
        <v>0</v>
      </c>
      <c r="BQ38" s="1">
        <f t="shared" si="139"/>
        <v>0</v>
      </c>
      <c r="BR38" s="1">
        <f t="shared" si="139"/>
        <v>0</v>
      </c>
      <c r="BS38" s="1">
        <f t="shared" si="139"/>
        <v>0</v>
      </c>
      <c r="BT38" s="1">
        <f t="shared" si="139"/>
        <v>0</v>
      </c>
      <c r="BU38" s="1">
        <f t="shared" si="139"/>
        <v>0</v>
      </c>
      <c r="BV38" s="1">
        <f t="shared" si="139"/>
        <v>9.0196102857590166E-2</v>
      </c>
      <c r="BW38" s="1">
        <f t="shared" si="139"/>
        <v>0</v>
      </c>
      <c r="BX38" s="1">
        <f t="shared" si="139"/>
        <v>7.45097994804369E-2</v>
      </c>
      <c r="BY38" s="1">
        <f t="shared" si="139"/>
        <v>0.53725492954254084</v>
      </c>
      <c r="BZ38" s="1">
        <f t="shared" si="139"/>
        <v>0.454902023077011</v>
      </c>
      <c r="CA38" s="1">
        <f t="shared" si="139"/>
        <v>0.83921574801206578</v>
      </c>
      <c r="CB38" s="1">
        <f t="shared" si="139"/>
        <v>0.74509805440902699</v>
      </c>
      <c r="CC38" s="1">
        <f t="shared" si="139"/>
        <v>8.2352943718433297E-2</v>
      </c>
      <c r="CD38" s="1">
        <f t="shared" si="139"/>
        <v>0</v>
      </c>
      <c r="CE38" s="1">
        <f t="shared" si="139"/>
        <v>0</v>
      </c>
      <c r="CF38" s="1">
        <f t="shared" si="139"/>
        <v>0</v>
      </c>
      <c r="CG38" s="1">
        <f t="shared" si="139"/>
        <v>0</v>
      </c>
      <c r="CH38" s="1">
        <f t="shared" si="139"/>
        <v>0</v>
      </c>
      <c r="CI38" s="1">
        <f t="shared" si="139"/>
        <v>0</v>
      </c>
      <c r="CJ38" s="1">
        <f t="shared" si="139"/>
        <v>0</v>
      </c>
      <c r="DO38">
        <v>1.7247060502670997E-2</v>
      </c>
      <c r="DP38">
        <v>0.25759183270746266</v>
      </c>
      <c r="DQ38">
        <v>0.43600889196146697</v>
      </c>
      <c r="DS38">
        <f t="array" ref="DS38">SUM(AH8:AJ10*$DO$38:$DQ$40)+SUM(AH37:AJ39*$DO$42:$DQ$44)</f>
        <v>-4.6341855500590192</v>
      </c>
      <c r="DT38">
        <f t="array" ref="DT38">SUM(AI8:AK10*$DO$38:$DQ$40)+SUM(AI37:AK39*$DO$42:$DQ$44)</f>
        <v>-6.9525538852082498</v>
      </c>
      <c r="DU38">
        <f t="array" ref="DU38">SUM(AJ8:AL10*$DO$38:$DQ$40)+SUM(AJ37:AL39*$DO$42:$DQ$44)</f>
        <v>-8.4539799198821814</v>
      </c>
      <c r="DV38">
        <f t="array" ref="DV38">SUM(AK8:AM10*$DO$38:$DQ$40)+SUM(AK37:AM39*$DO$42:$DQ$44)</f>
        <v>-8.8754250735559541</v>
      </c>
      <c r="DW38">
        <f t="array" ref="DW38">SUM(AL8:AN10*$DO$38:$DQ$40)+SUM(AL37:AN39*$DO$42:$DQ$44)</f>
        <v>-8.8533804188369274</v>
      </c>
      <c r="DX38">
        <f t="array" ref="DX38">SUM(AM8:AO10*$DO$38:$DQ$40)+SUM(AM37:AO39*$DO$42:$DQ$44)</f>
        <v>-8.6427087867044801</v>
      </c>
      <c r="DY38">
        <f t="array" ref="DY38">SUM(AN8:AP10*$DO$38:$DQ$40)+SUM(AN37:AP39*$DO$42:$DQ$44)</f>
        <v>-8.6427087867044801</v>
      </c>
      <c r="DZ38">
        <f t="array" ref="DZ38">SUM(AO8:AQ10*$DO$38:$DQ$40)+SUM(AO37:AQ39*$DO$42:$DQ$44)</f>
        <v>-9.4497668244109327</v>
      </c>
      <c r="EA38">
        <f t="array" ref="EA38">SUM(AP8:AR10*$DO$38:$DQ$40)+SUM(AP37:AR39*$DO$42:$DQ$44)</f>
        <v>-9.6361788231372003</v>
      </c>
      <c r="EB38">
        <f t="array" ref="EB38">SUM(AQ8:AS10*$DO$38:$DQ$40)+SUM(AQ37:AS39*$DO$42:$DQ$44)</f>
        <v>-8.9528740823180879</v>
      </c>
      <c r="EC38">
        <f t="array" ref="EC38">SUM(AR8:AT10*$DO$38:$DQ$40)+SUM(AR37:AT39*$DO$42:$DQ$44)</f>
        <v>-8.5588931164223574</v>
      </c>
      <c r="ED38">
        <f t="array" ref="ED38">SUM(AS8:AU10*$DO$38:$DQ$40)+SUM(AS37:AU39*$DO$42:$DQ$44)</f>
        <v>-7.1594707372099897</v>
      </c>
      <c r="EE38">
        <f t="array" ref="EE38">SUM(AT8:AV10*$DO$38:$DQ$40)+SUM(AT37:AV39*$DO$42:$DQ$44)</f>
        <v>-6.4643614315947051</v>
      </c>
      <c r="EF38">
        <f t="array" ref="EF38">SUM(AU8:AW10*$DO$38:$DQ$40)+SUM(AU37:AW39*$DO$42:$DQ$44)</f>
        <v>-6.3012540235231169</v>
      </c>
      <c r="EG38">
        <f t="array" ref="EG38">SUM(AV8:AX10*$DO$38:$DQ$40)+SUM(AV37:AX39*$DO$42:$DQ$44)</f>
        <v>-5.0067286132168549</v>
      </c>
      <c r="EH38">
        <f t="array" ref="EH38">SUM(AW8:AY10*$DO$38:$DQ$40)+SUM(AW37:AY39*$DO$42:$DQ$44)</f>
        <v>-3.9723828986025609</v>
      </c>
      <c r="EI38">
        <f t="array" ref="EI38">SUM(AX8:AZ10*$DO$38:$DQ$40)+SUM(AX37:AZ39*$DO$42:$DQ$44)</f>
        <v>-2.8260208798454203</v>
      </c>
      <c r="EJ38">
        <f t="array" ref="EJ38">SUM(AY8:BA10*$DO$38:$DQ$40)+SUM(AY37:BA39*$DO$42:$DQ$44)</f>
        <v>-1.3783311517499501</v>
      </c>
      <c r="EK38">
        <f t="array" ref="EK38">SUM(AZ8:BB10*$DO$38:$DQ$40)+SUM(AZ37:BB39*$DO$42:$DQ$44)</f>
        <v>-0.60440063762274876</v>
      </c>
      <c r="EL38">
        <f t="array" ref="EL38">SUM(BA8:BC10*$DO$38:$DQ$40)+SUM(BA37:BC39*$DO$42:$DQ$44)</f>
        <v>-6.5432582051099489E-2</v>
      </c>
      <c r="EM38">
        <f t="array" ref="EM38">SUM(BB8:BD10*$DO$38:$DQ$40)+SUM(BB37:BD39*$DO$42:$DQ$44)</f>
        <v>0</v>
      </c>
      <c r="EN38">
        <f t="array" ref="EN38">SUM(BC8:BE10*$DO$38:$DQ$40)+SUM(BC37:BE39*$DO$42:$DQ$44)</f>
        <v>0</v>
      </c>
      <c r="EO38">
        <f t="array" ref="EO38">SUM(BD8:BF10*$DO$38:$DQ$40)+SUM(BD37:BF39*$DO$42:$DQ$44)</f>
        <v>0</v>
      </c>
      <c r="EP38">
        <f t="array" ref="EP38">SUM(BE8:BG10*$DO$38:$DQ$40)+SUM(BE37:BG39*$DO$42:$DQ$44)</f>
        <v>0</v>
      </c>
      <c r="ES38" s="127"/>
      <c r="ET38" s="127"/>
      <c r="EU38" s="127"/>
      <c r="EV38" s="127"/>
      <c r="EW38" s="127"/>
      <c r="EX38" s="127"/>
      <c r="EY38" s="127"/>
      <c r="EZ38" s="127"/>
      <c r="FA38" s="127"/>
      <c r="FB38" s="127"/>
      <c r="FC38" s="127"/>
      <c r="FD38" s="127"/>
      <c r="FE38" s="127"/>
      <c r="FF38" s="127"/>
      <c r="FG38" s="127"/>
      <c r="FH38" s="127"/>
      <c r="FI38" s="127"/>
      <c r="FJ38" s="127"/>
      <c r="FK38" s="127"/>
      <c r="FL38" s="127"/>
      <c r="FM38" s="127"/>
      <c r="FN38" s="127"/>
      <c r="FO38" s="127"/>
      <c r="FP38" s="127"/>
    </row>
    <row r="39" spans="1:200" ht="27.75" customHeight="1" x14ac:dyDescent="0.25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1">
        <v>1</v>
      </c>
      <c r="AE39" s="1">
        <v>0</v>
      </c>
      <c r="AF39" s="1">
        <v>-1</v>
      </c>
      <c r="AG39" s="79"/>
      <c r="AH39" s="1">
        <f t="array" ref="AH39">SUM(A9:C11*$AD$38:$AF$40)</f>
        <v>-0.549019634723663</v>
      </c>
      <c r="AI39" s="1">
        <f t="array" ref="AI39">SUM(B9:D11*$AD$38:$AF$40)</f>
        <v>-1.337254971265792</v>
      </c>
      <c r="AJ39" s="1">
        <f t="array" ref="AJ39">SUM(C9:E11*$AD$38:$AF$40)</f>
        <v>-0.98823535442352195</v>
      </c>
      <c r="AK39" s="1">
        <f t="array" ref="AK39">SUM(D9:F11*$AD$38:$AF$40)</f>
        <v>-0.58039221167564403</v>
      </c>
      <c r="AL39" s="1">
        <f t="array" ref="AL39">SUM(E9:G11*$AD$38:$AF$40)</f>
        <v>-0.38039219379425104</v>
      </c>
      <c r="AM39" s="1">
        <f t="array" ref="AM39">SUM(F9:H11*$AD$38:$AF$40)</f>
        <v>0</v>
      </c>
      <c r="AN39" s="1">
        <f t="array" ref="AN39">SUM(G9:I11*$AD$38:$AF$40)</f>
        <v>0</v>
      </c>
      <c r="AO39" s="1">
        <f t="array" ref="AO39">SUM(H9:J11*$AD$38:$AF$40)</f>
        <v>0</v>
      </c>
      <c r="AP39" s="1">
        <f t="array" ref="AP39">SUM(I9:K11*$AD$38:$AF$40)</f>
        <v>0</v>
      </c>
      <c r="AQ39" s="1">
        <f t="array" ref="AQ39">SUM(J9:L11*$AD$38:$AF$40)</f>
        <v>-0.44313728809356601</v>
      </c>
      <c r="AR39" s="1">
        <f t="array" ref="AR39">SUM(K9:M11*$AD$38:$AF$40)</f>
        <v>-0.43921571969985895</v>
      </c>
      <c r="AS39" s="1">
        <f t="array" ref="AS39">SUM(L9:N11*$AD$38:$AF$40)</f>
        <v>9.0196102857590277E-2</v>
      </c>
      <c r="AT39" s="1">
        <f t="array" ref="AT39">SUM(M9:O11*$AD$38:$AF$40)</f>
        <v>-9.8039209842681996E-2</v>
      </c>
      <c r="AU39" s="1">
        <f t="array" ref="AU39">SUM(N9:P11*$AD$38:$AF$40)</f>
        <v>7.4509799480437011E-2</v>
      </c>
      <c r="AV39" s="1">
        <f t="array" ref="AV39">SUM(O9:Q11*$AD$38:$AF$40)</f>
        <v>0.53725492954254073</v>
      </c>
      <c r="AW39" s="1">
        <f t="array" ref="AW39">SUM(P9:R11*$AD$38:$AF$40)</f>
        <v>0.454902023077011</v>
      </c>
      <c r="AX39" s="1">
        <f t="array" ref="AX39">SUM(Q9:S11*$AD$38:$AF$40)</f>
        <v>1.0941177532076836</v>
      </c>
      <c r="AY39" s="1">
        <f t="array" ref="AY39">SUM(R9:T11*$AD$38:$AF$40)</f>
        <v>1.650980465114116</v>
      </c>
      <c r="AZ39" s="1">
        <f t="array" ref="AZ39">SUM(S9:U11*$AD$38:$AF$40)</f>
        <v>0.82352942973375232</v>
      </c>
      <c r="BA39" s="1">
        <f t="array" ref="BA39">SUM(T9:V11*$AD$38:$AF$40)</f>
        <v>9.0196080505847903E-2</v>
      </c>
      <c r="BB39" s="1">
        <f t="array" ref="BB39">SUM(U9:W11*$AD$38:$AF$40)</f>
        <v>0</v>
      </c>
      <c r="BC39" s="1">
        <f t="array" ref="BC39">SUM(V9:X11*$AD$38:$AF$40)</f>
        <v>0</v>
      </c>
      <c r="BD39" s="1">
        <f t="array" ref="BD39">SUM(W9:Y11*$AD$38:$AF$40)</f>
        <v>0</v>
      </c>
      <c r="BE39" s="1">
        <f t="array" ref="BE39">SUM(X9:Z11*$AD$38:$AF$40)</f>
        <v>0</v>
      </c>
      <c r="BF39" s="1">
        <f t="array" ref="BF39">SUM(Y9:AA11*$AD$38:$AF$40)</f>
        <v>0</v>
      </c>
      <c r="BG39" s="1">
        <f t="array" ref="BG39">SUM(Z9:AB11*$AD$38:$AF$40)</f>
        <v>0</v>
      </c>
      <c r="BH39" s="79"/>
      <c r="BI39" s="79"/>
      <c r="BJ39" s="79"/>
      <c r="BK39" s="1">
        <f t="shared" si="139"/>
        <v>0</v>
      </c>
      <c r="BL39" s="1">
        <f t="shared" si="139"/>
        <v>0</v>
      </c>
      <c r="BM39" s="1">
        <f t="shared" si="139"/>
        <v>0</v>
      </c>
      <c r="BN39" s="1">
        <f t="shared" si="139"/>
        <v>0</v>
      </c>
      <c r="BO39" s="1">
        <f t="shared" si="139"/>
        <v>0</v>
      </c>
      <c r="BP39" s="1">
        <f t="shared" si="139"/>
        <v>0</v>
      </c>
      <c r="BQ39" s="1">
        <f t="shared" si="139"/>
        <v>0</v>
      </c>
      <c r="BR39" s="1">
        <f t="shared" si="139"/>
        <v>0</v>
      </c>
      <c r="BS39" s="1">
        <f t="shared" si="139"/>
        <v>0</v>
      </c>
      <c r="BT39" s="1">
        <f t="shared" si="139"/>
        <v>0</v>
      </c>
      <c r="BU39" s="1">
        <f t="shared" si="139"/>
        <v>0</v>
      </c>
      <c r="BV39" s="1">
        <f t="shared" si="139"/>
        <v>9.0196102857590277E-2</v>
      </c>
      <c r="BW39" s="1">
        <f t="shared" si="139"/>
        <v>0</v>
      </c>
      <c r="BX39" s="1">
        <f t="shared" si="139"/>
        <v>7.4509799480437011E-2</v>
      </c>
      <c r="BY39" s="1">
        <f t="shared" si="139"/>
        <v>0.53725492954254073</v>
      </c>
      <c r="BZ39" s="1">
        <f t="shared" si="139"/>
        <v>0.454902023077011</v>
      </c>
      <c r="CA39" s="1">
        <f t="shared" si="139"/>
        <v>1.0941177532076836</v>
      </c>
      <c r="CB39" s="1">
        <f t="shared" si="139"/>
        <v>1.650980465114116</v>
      </c>
      <c r="CC39" s="1">
        <f t="shared" si="139"/>
        <v>0.82352942973375232</v>
      </c>
      <c r="CD39" s="1">
        <f t="shared" si="139"/>
        <v>9.0196080505847903E-2</v>
      </c>
      <c r="CE39" s="1">
        <f t="shared" si="139"/>
        <v>0</v>
      </c>
      <c r="CF39" s="1">
        <f t="shared" si="139"/>
        <v>0</v>
      </c>
      <c r="CG39" s="1">
        <f t="shared" si="139"/>
        <v>0</v>
      </c>
      <c r="CH39" s="1">
        <f t="shared" si="139"/>
        <v>0</v>
      </c>
      <c r="CI39" s="1">
        <f t="shared" si="139"/>
        <v>0</v>
      </c>
      <c r="CJ39" s="1">
        <f t="shared" si="139"/>
        <v>0</v>
      </c>
      <c r="DO39">
        <v>0.55491168181574224</v>
      </c>
      <c r="DP39">
        <v>0.19528290944465021</v>
      </c>
      <c r="DQ39">
        <v>0.17379934976695732</v>
      </c>
      <c r="DS39">
        <f t="array" ref="DS39">SUM(AH9:AJ11*$DO$38:$DQ$40)+SUM(AH38:AJ40*$DO$42:$DQ$44)</f>
        <v>-7.6530703293830342</v>
      </c>
      <c r="DT39">
        <f t="array" ref="DT39">SUM(AI9:AK11*$DO$38:$DQ$40)+SUM(AI38:AK40*$DO$42:$DQ$44)</f>
        <v>-9.2947921096889008</v>
      </c>
      <c r="DU39">
        <f t="array" ref="DU39">SUM(AJ9:AL11*$DO$38:$DQ$40)+SUM(AJ38:AL40*$DO$42:$DQ$44)</f>
        <v>-8.7559527863816129</v>
      </c>
      <c r="DV39">
        <f t="array" ref="DV39">SUM(AK9:AM11*$DO$38:$DQ$40)+SUM(AK38:AM40*$DO$42:$DQ$44)</f>
        <v>-6.3994992680029039</v>
      </c>
      <c r="DW39">
        <f t="array" ref="DW39">SUM(AL9:AN11*$DO$38:$DQ$40)+SUM(AL38:AN40*$DO$42:$DQ$44)</f>
        <v>-4.9715358401565357</v>
      </c>
      <c r="DX39">
        <f t="array" ref="DX39">SUM(AM9:AO11*$DO$38:$DQ$40)+SUM(AM38:AO40*$DO$42:$DQ$44)</f>
        <v>-3.5174245793779431</v>
      </c>
      <c r="DY39">
        <f t="array" ref="DY39">SUM(AN9:AP11*$DO$38:$DQ$40)+SUM(AN38:AP40*$DO$42:$DQ$44)</f>
        <v>-2.7767811053743134</v>
      </c>
      <c r="DZ39">
        <f t="array" ref="DZ39">SUM(AO9:AQ11*$DO$38:$DQ$40)+SUM(AO38:AQ40*$DO$42:$DQ$44)</f>
        <v>-2.5789046048981956</v>
      </c>
      <c r="EA39">
        <f t="array" ref="EA39">SUM(AP9:AR11*$DO$38:$DQ$40)+SUM(AP38:AR40*$DO$42:$DQ$44)</f>
        <v>-1.9463229044632331</v>
      </c>
      <c r="EB39">
        <f t="array" ref="EB39">SUM(AQ9:AS11*$DO$38:$DQ$40)+SUM(AQ38:AS40*$DO$42:$DQ$44)</f>
        <v>-1.0165397627578814</v>
      </c>
      <c r="EC39">
        <f t="array" ref="EC39">SUM(AR9:AT11*$DO$38:$DQ$40)+SUM(AR38:AT40*$DO$42:$DQ$44)</f>
        <v>-0.36555465688108324</v>
      </c>
      <c r="ED39">
        <f t="array" ref="ED39">SUM(AS9:AU11*$DO$38:$DQ$40)+SUM(AS38:AU40*$DO$42:$DQ$44)</f>
        <v>0.47214948908552123</v>
      </c>
      <c r="EE39">
        <f t="array" ref="EE39">SUM(AT9:AV11*$DO$38:$DQ$40)+SUM(AT38:AV40*$DO$42:$DQ$44)</f>
        <v>-2.676266486598694E-2</v>
      </c>
      <c r="EF39">
        <f t="array" ref="EF39">SUM(AU9:AW11*$DO$38:$DQ$40)+SUM(AU38:AW40*$DO$42:$DQ$44)</f>
        <v>-0.75081624366444566</v>
      </c>
      <c r="EG39">
        <f t="array" ref="EG39">SUM(AV9:AX11*$DO$38:$DQ$40)+SUM(AV38:AX40*$DO$42:$DQ$44)</f>
        <v>-0.18058050917873203</v>
      </c>
      <c r="EH39">
        <f t="array" ref="EH39">SUM(AW9:AY11*$DO$38:$DQ$40)+SUM(AW38:AY40*$DO$42:$DQ$44)</f>
        <v>-0.25284555757423988</v>
      </c>
      <c r="EI39">
        <f t="array" ref="EI39">SUM(AX9:AZ11*$DO$38:$DQ$40)+SUM(AX38:AZ40*$DO$42:$DQ$44)</f>
        <v>-0.4125266426499703</v>
      </c>
      <c r="EJ39">
        <f t="array" ref="EJ39">SUM(AY9:BA11*$DO$38:$DQ$40)+SUM(AY38:BA40*$DO$42:$DQ$44)</f>
        <v>-0.5053272477771511</v>
      </c>
      <c r="EK39">
        <f t="array" ref="EK39">SUM(AZ9:BB11*$DO$38:$DQ$40)+SUM(AZ38:BB40*$DO$42:$DQ$44)</f>
        <v>-1.1364298686563534</v>
      </c>
      <c r="EL39">
        <f t="array" ref="EL39">SUM(BA9:BC11*$DO$38:$DQ$40)+SUM(BA38:BC40*$DO$42:$DQ$44)</f>
        <v>-0.59028951781951355</v>
      </c>
      <c r="EM39">
        <f t="array" ref="EM39">SUM(BB9:BD11*$DO$38:$DQ$40)+SUM(BB38:BD40*$DO$42:$DQ$44)</f>
        <v>-5.9742792777526449E-2</v>
      </c>
      <c r="EN39">
        <f t="array" ref="EN39">SUM(BC9:BE11*$DO$38:$DQ$40)+SUM(BC38:BE40*$DO$42:$DQ$44)</f>
        <v>0</v>
      </c>
      <c r="EO39">
        <f t="array" ref="EO39">SUM(BD9:BF11*$DO$38:$DQ$40)+SUM(BD38:BF40*$DO$42:$DQ$44)</f>
        <v>0</v>
      </c>
      <c r="EP39">
        <f t="array" ref="EP39">SUM(BE9:BG11*$DO$38:$DQ$40)+SUM(BE38:BG40*$DO$42:$DQ$44)</f>
        <v>0</v>
      </c>
      <c r="ES39" s="127">
        <f t="shared" ref="ES39" si="175">MAX(DS39:DT40)</f>
        <v>-4.1394379485752939</v>
      </c>
      <c r="ET39" s="127"/>
      <c r="EU39" s="127">
        <f t="shared" ref="EU39" si="176">MAX(DU39:DV40)</f>
        <v>2.3666134543178527</v>
      </c>
      <c r="EV39" s="127"/>
      <c r="EW39" s="127">
        <f t="shared" ref="EW39" si="177">MAX(DW39:DX40)</f>
        <v>4.7198254725263045</v>
      </c>
      <c r="EX39" s="127"/>
      <c r="EY39" s="127">
        <f t="shared" ref="EY39" si="178">MAX(DY39:DZ40)</f>
        <v>5.6871696079581362</v>
      </c>
      <c r="EZ39" s="127"/>
      <c r="FA39" s="127">
        <f t="shared" ref="FA39" si="179">MAX(EA39:EB40)</f>
        <v>6.3339198421503013</v>
      </c>
      <c r="FB39" s="127"/>
      <c r="FC39" s="127">
        <f t="shared" ref="FC39" si="180">MAX(EC39:ED40)</f>
        <v>6.4784426437831959</v>
      </c>
      <c r="FD39" s="127"/>
      <c r="FE39" s="127">
        <f t="shared" ref="FE39" si="181">MAX(EE39:EF40)</f>
        <v>5.5189439045980819</v>
      </c>
      <c r="FF39" s="127"/>
      <c r="FG39" s="127">
        <f t="shared" ref="FG39" si="182">MAX(EG39:EH40)</f>
        <v>2.9694406884592066</v>
      </c>
      <c r="FH39" s="127"/>
      <c r="FI39" s="127">
        <f t="shared" ref="FI39" si="183">MAX(EI39:EJ40)</f>
        <v>3.208670608335523</v>
      </c>
      <c r="FJ39" s="127"/>
      <c r="FK39" s="127">
        <f t="shared" ref="FK39" si="184">MAX(EK39:EL40)</f>
        <v>0.20456158279946335</v>
      </c>
      <c r="FL39" s="127"/>
      <c r="FM39" s="127">
        <f t="shared" ref="FM39" si="185">MAX(EM39:EN40)</f>
        <v>0</v>
      </c>
      <c r="FN39" s="127"/>
      <c r="FO39" s="127">
        <f t="shared" ref="FO39" si="186">MAX(EO39:EP40)</f>
        <v>0</v>
      </c>
      <c r="FP39" s="127"/>
      <c r="FT39">
        <v>0.26508193502739053</v>
      </c>
      <c r="FV39">
        <v>7.160292903639065E-2</v>
      </c>
      <c r="FX39">
        <v>0.50296713371873991</v>
      </c>
      <c r="FZ39">
        <v>0.98792443866507451</v>
      </c>
      <c r="GB39">
        <v>0.11105024750618397</v>
      </c>
      <c r="GD39">
        <v>0.60125996950504279</v>
      </c>
      <c r="GF39">
        <v>0.376478510952448</v>
      </c>
      <c r="GH39">
        <v>2.2903487797969913E-2</v>
      </c>
      <c r="GJ39">
        <v>0.94586441063057425</v>
      </c>
      <c r="GL39">
        <v>0.70504758238269338</v>
      </c>
      <c r="GN39">
        <v>0.1000271238851641</v>
      </c>
      <c r="GP39">
        <v>0.23085916443426491</v>
      </c>
      <c r="GR39">
        <v>0.39343496649046428</v>
      </c>
    </row>
    <row r="40" spans="1:200" ht="27.75" customHeight="1" x14ac:dyDescent="0.2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1">
        <v>1</v>
      </c>
      <c r="AE40" s="1">
        <v>0</v>
      </c>
      <c r="AF40" s="1">
        <v>-1</v>
      </c>
      <c r="AG40" s="79"/>
      <c r="AH40" s="1">
        <f t="array" ref="AH40">SUM(A10:C12*$AD$38:$AF$40)</f>
        <v>-1.435294210910796</v>
      </c>
      <c r="AI40" s="1">
        <f t="array" ref="AI40">SUM(B10:D12*$AD$38:$AF$40)</f>
        <v>-2.333333462476729</v>
      </c>
      <c r="AJ40" s="1">
        <f t="array" ref="AJ40">SUM(C10:E12*$AD$38:$AF$40)</f>
        <v>-0.91764712333679099</v>
      </c>
      <c r="AK40" s="1">
        <f t="array" ref="AK40">SUM(D10:F12*$AD$38:$AF$40)</f>
        <v>-0.36470595002174411</v>
      </c>
      <c r="AL40" s="1">
        <f t="array" ref="AL40">SUM(E10:G12*$AD$38:$AF$40)</f>
        <v>-0.34509807825088601</v>
      </c>
      <c r="AM40" s="1">
        <f t="array" ref="AM40">SUM(F10:H12*$AD$38:$AF$40)</f>
        <v>0</v>
      </c>
      <c r="AN40" s="1">
        <f t="array" ref="AN40">SUM(G10:I12*$AD$38:$AF$40)</f>
        <v>0</v>
      </c>
      <c r="AO40" s="1">
        <f t="array" ref="AO40">SUM(H10:J12*$AD$38:$AF$40)</f>
        <v>0.23529416322708097</v>
      </c>
      <c r="AP40" s="1">
        <f t="array" ref="AP40">SUM(I10:K12*$AD$38:$AF$40)</f>
        <v>0.54117652773857106</v>
      </c>
      <c r="AQ40" s="1">
        <f t="array" ref="AQ40">SUM(J10:L12*$AD$38:$AF$40)</f>
        <v>0.2431372702121741</v>
      </c>
      <c r="AR40" s="1">
        <f t="array" ref="AR40">SUM(K10:M12*$AD$38:$AF$40)</f>
        <v>-6.2745094299315962E-2</v>
      </c>
      <c r="AS40" s="1">
        <f t="array" ref="AS40">SUM(L10:N12*$AD$38:$AF$40)</f>
        <v>1.1764705181121909E-2</v>
      </c>
      <c r="AT40" s="1">
        <f t="array" ref="AT40">SUM(M10:O12*$AD$38:$AF$40)</f>
        <v>-1.1764705181121937E-2</v>
      </c>
      <c r="AU40" s="1">
        <f t="array" ref="AU40">SUM(N10:P12*$AD$38:$AF$40)</f>
        <v>-0.25098040699958901</v>
      </c>
      <c r="AV40" s="1">
        <f t="array" ref="AV40">SUM(O10:Q12*$AD$38:$AF$40)</f>
        <v>-0.55686280131340016</v>
      </c>
      <c r="AW40" s="1">
        <f t="array" ref="AW40">SUM(P10:R12*$AD$38:$AF$40)</f>
        <v>-0.27843135595321589</v>
      </c>
      <c r="AX40" s="1">
        <f t="array" ref="AX40">SUM(Q10:S12*$AD$38:$AF$40)</f>
        <v>0.96862756460905064</v>
      </c>
      <c r="AY40" s="1">
        <f t="array" ref="AY40">SUM(R10:T12*$AD$38:$AF$40)</f>
        <v>1.9058824703097339</v>
      </c>
      <c r="AZ40" s="1">
        <f t="array" ref="AZ40">SUM(S10:U12*$AD$38:$AF$40)</f>
        <v>1.737254977226256</v>
      </c>
      <c r="BA40" s="1">
        <f t="array" ref="BA40">SUM(T10:V12*$AD$38:$AF$40)</f>
        <v>0.83137256652116698</v>
      </c>
      <c r="BB40" s="1">
        <f t="array" ref="BB40">SUM(U10:W12*$AD$38:$AF$40)</f>
        <v>8.2352943718433297E-2</v>
      </c>
      <c r="BC40" s="1">
        <f t="array" ref="BC40">SUM(V10:X12*$AD$38:$AF$40)</f>
        <v>0</v>
      </c>
      <c r="BD40" s="1">
        <f t="array" ref="BD40">SUM(W10:Y12*$AD$38:$AF$40)</f>
        <v>0</v>
      </c>
      <c r="BE40" s="1">
        <f t="array" ref="BE40">SUM(X10:Z12*$AD$38:$AF$40)</f>
        <v>0</v>
      </c>
      <c r="BF40" s="1">
        <f t="array" ref="BF40">SUM(Y10:AA12*$AD$38:$AF$40)</f>
        <v>0</v>
      </c>
      <c r="BG40" s="1">
        <f t="array" ref="BG40">SUM(Z10:AB12*$AD$38:$AF$40)</f>
        <v>0</v>
      </c>
      <c r="BH40" s="79"/>
      <c r="BI40" s="79"/>
      <c r="BJ40" s="79"/>
      <c r="BK40" s="1">
        <f t="shared" si="139"/>
        <v>0</v>
      </c>
      <c r="BL40" s="1">
        <f t="shared" si="139"/>
        <v>0</v>
      </c>
      <c r="BM40" s="1">
        <f t="shared" si="139"/>
        <v>0</v>
      </c>
      <c r="BN40" s="1">
        <f t="shared" si="139"/>
        <v>0</v>
      </c>
      <c r="BO40" s="1">
        <f t="shared" si="139"/>
        <v>0</v>
      </c>
      <c r="BP40" s="1">
        <f t="shared" si="139"/>
        <v>0</v>
      </c>
      <c r="BQ40" s="1">
        <f t="shared" si="139"/>
        <v>0</v>
      </c>
      <c r="BR40" s="1">
        <f t="shared" si="139"/>
        <v>0.23529416322708097</v>
      </c>
      <c r="BS40" s="1">
        <f t="shared" si="139"/>
        <v>0.54117652773857106</v>
      </c>
      <c r="BT40" s="1">
        <f t="shared" si="139"/>
        <v>0.2431372702121741</v>
      </c>
      <c r="BU40" s="1">
        <f t="shared" si="139"/>
        <v>0</v>
      </c>
      <c r="BV40" s="1">
        <f t="shared" si="139"/>
        <v>1.1764705181121909E-2</v>
      </c>
      <c r="BW40" s="1">
        <f t="shared" si="139"/>
        <v>0</v>
      </c>
      <c r="BX40" s="1">
        <f t="shared" si="139"/>
        <v>0</v>
      </c>
      <c r="BY40" s="1">
        <f t="shared" si="139"/>
        <v>0</v>
      </c>
      <c r="BZ40" s="1">
        <f t="shared" si="139"/>
        <v>0</v>
      </c>
      <c r="CA40" s="1">
        <f t="shared" si="139"/>
        <v>0.96862756460905064</v>
      </c>
      <c r="CB40" s="1">
        <f t="shared" si="139"/>
        <v>1.9058824703097339</v>
      </c>
      <c r="CC40" s="1">
        <f t="shared" si="139"/>
        <v>1.737254977226256</v>
      </c>
      <c r="CD40" s="1">
        <f t="shared" si="139"/>
        <v>0.83137256652116698</v>
      </c>
      <c r="CE40" s="1">
        <f t="shared" si="139"/>
        <v>8.2352943718433297E-2</v>
      </c>
      <c r="CF40" s="1">
        <f t="shared" si="139"/>
        <v>0</v>
      </c>
      <c r="CG40" s="1">
        <f t="shared" si="139"/>
        <v>0</v>
      </c>
      <c r="CH40" s="1">
        <f t="shared" si="139"/>
        <v>0</v>
      </c>
      <c r="CI40" s="1">
        <f t="shared" si="139"/>
        <v>0</v>
      </c>
      <c r="CJ40" s="1">
        <f t="shared" si="139"/>
        <v>0</v>
      </c>
      <c r="DO40">
        <v>0.95994700865691907</v>
      </c>
      <c r="DP40">
        <v>0.44357815537570811</v>
      </c>
      <c r="DQ40">
        <v>0.63384343634231521</v>
      </c>
      <c r="DS40">
        <f t="array" ref="DS40">SUM(AH10:AJ12*$DO$38:$DQ$40)+SUM(AH39:AJ41*$DO$42:$DQ$44)</f>
        <v>-5.4925735943948055</v>
      </c>
      <c r="DT40">
        <f t="array" ref="DT40">SUM(AI10:AK12*$DO$38:$DQ$40)+SUM(AI39:AK41*$DO$42:$DQ$44)</f>
        <v>-4.1394379485752939</v>
      </c>
      <c r="DU40">
        <f t="array" ref="DU40">SUM(AJ10:AL12*$DO$38:$DQ$40)+SUM(AJ39:AL41*$DO$42:$DQ$44)</f>
        <v>-0.51697118681003618</v>
      </c>
      <c r="DV40">
        <f t="array" ref="DV40">SUM(AK10:AM12*$DO$38:$DQ$40)+SUM(AK39:AM41*$DO$42:$DQ$44)</f>
        <v>2.3666134543178527</v>
      </c>
      <c r="DW40">
        <f t="array" ref="DW40">SUM(AL10:AN12*$DO$38:$DQ$40)+SUM(AL39:AN41*$DO$42:$DQ$44)</f>
        <v>3.4921509124575589</v>
      </c>
      <c r="DX40">
        <f t="array" ref="DX40">SUM(AM10:AO12*$DO$38:$DQ$40)+SUM(AM39:AO41*$DO$42:$DQ$44)</f>
        <v>4.7198254725263045</v>
      </c>
      <c r="DY40">
        <f t="array" ref="DY40">SUM(AN10:AP12*$DO$38:$DQ$40)+SUM(AN39:AP41*$DO$42:$DQ$44)</f>
        <v>5.4115047249149768</v>
      </c>
      <c r="DZ40">
        <f t="array" ref="DZ40">SUM(AO10:AQ12*$DO$38:$DQ$40)+SUM(AO39:AQ41*$DO$42:$DQ$44)</f>
        <v>5.6871696079581362</v>
      </c>
      <c r="EA40">
        <f t="array" ref="EA40">SUM(AP10:AR12*$DO$38:$DQ$40)+SUM(AP39:AR41*$DO$42:$DQ$44)</f>
        <v>6.1152866497569214</v>
      </c>
      <c r="EB40">
        <f t="array" ref="EB40">SUM(AQ10:AS12*$DO$38:$DQ$40)+SUM(AQ39:AS41*$DO$42:$DQ$44)</f>
        <v>6.3339198421503013</v>
      </c>
      <c r="EC40">
        <f t="array" ref="EC40">SUM(AR10:AT12*$DO$38:$DQ$40)+SUM(AR39:AT41*$DO$42:$DQ$44)</f>
        <v>6.3194070380925877</v>
      </c>
      <c r="ED40">
        <f t="array" ref="ED40">SUM(AS10:AU12*$DO$38:$DQ$40)+SUM(AS39:AU41*$DO$42:$DQ$44)</f>
        <v>6.4784426437831959</v>
      </c>
      <c r="EE40">
        <f t="array" ref="EE40">SUM(AT10:AV12*$DO$38:$DQ$40)+SUM(AT39:AV41*$DO$42:$DQ$44)</f>
        <v>5.5189439045980819</v>
      </c>
      <c r="EF40">
        <f t="array" ref="EF40">SUM(AU10:AW12*$DO$38:$DQ$40)+SUM(AU39:AW41*$DO$42:$DQ$44)</f>
        <v>3.551847874950921</v>
      </c>
      <c r="EG40">
        <f t="array" ref="EG40">SUM(AV10:AX12*$DO$38:$DQ$40)+SUM(AV39:AX41*$DO$42:$DQ$44)</f>
        <v>2.9280870014942955</v>
      </c>
      <c r="EH40">
        <f t="array" ref="EH40">SUM(AW10:AY12*$DO$38:$DQ$40)+SUM(AW39:AY41*$DO$42:$DQ$44)</f>
        <v>2.9694406884592066</v>
      </c>
      <c r="EI40">
        <f t="array" ref="EI40">SUM(AX10:AZ12*$DO$38:$DQ$40)+SUM(AX39:AZ41*$DO$42:$DQ$44)</f>
        <v>3.208670608335523</v>
      </c>
      <c r="EJ40">
        <f t="array" ref="EJ40">SUM(AY10:BA12*$DO$38:$DQ$40)+SUM(AY39:BA41*$DO$42:$DQ$44)</f>
        <v>2.0826645284127245</v>
      </c>
      <c r="EK40">
        <f t="array" ref="EK40">SUM(AZ10:BB12*$DO$38:$DQ$40)+SUM(AZ39:BB41*$DO$42:$DQ$44)</f>
        <v>0.20456158279946335</v>
      </c>
      <c r="EL40">
        <f t="array" ref="EL40">SUM(BA10:BC12*$DO$38:$DQ$40)+SUM(BA39:BC41*$DO$42:$DQ$44)</f>
        <v>-0.6330364983068677</v>
      </c>
      <c r="EM40">
        <f t="array" ref="EM40">SUM(BB10:BD12*$DO$38:$DQ$40)+SUM(BB39:BD41*$DO$42:$DQ$44)</f>
        <v>-0.28155360707040855</v>
      </c>
      <c r="EN40">
        <f t="array" ref="EN40">SUM(BC10:BE12*$DO$38:$DQ$40)+SUM(BC39:BE41*$DO$42:$DQ$44)</f>
        <v>0</v>
      </c>
      <c r="EO40">
        <f t="array" ref="EO40">SUM(BD10:BF12*$DO$38:$DQ$40)+SUM(BD39:BF41*$DO$42:$DQ$44)</f>
        <v>0</v>
      </c>
      <c r="EP40">
        <f t="array" ref="EP40">SUM(BE10:BG12*$DO$38:$DQ$40)+SUM(BE39:BG41*$DO$42:$DQ$44)</f>
        <v>0</v>
      </c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</row>
    <row r="41" spans="1:200" ht="27.75" customHeight="1" x14ac:dyDescent="0.25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1">
        <f t="array" ref="AH41">SUM(A11:C13*$AD$38:$AF$40)</f>
        <v>-1.584313824772833</v>
      </c>
      <c r="AI41" s="1">
        <f t="array" ref="AI41">SUM(B11:D13*$AD$38:$AF$40)</f>
        <v>-2.3019609153270699</v>
      </c>
      <c r="AJ41" s="1">
        <f t="array" ref="AJ41">SUM(C11:E13*$AD$38:$AF$40)</f>
        <v>-0.27843140810728112</v>
      </c>
      <c r="AK41" s="1">
        <f t="array" ref="AK41">SUM(D11:F13*$AD$38:$AF$40)</f>
        <v>0.52549019455909596</v>
      </c>
      <c r="AL41" s="1">
        <f t="array" ref="AL41">SUM(E11:G13*$AD$38:$AF$40)</f>
        <v>8.6274512112140128E-2</v>
      </c>
      <c r="AM41" s="1">
        <f t="array" ref="AM41">SUM(F11:H13*$AD$38:$AF$40)</f>
        <v>0</v>
      </c>
      <c r="AN41" s="1">
        <f t="array" ref="AN41">SUM(G11:I13*$AD$38:$AF$40)</f>
        <v>0</v>
      </c>
      <c r="AO41" s="1">
        <f t="array" ref="AO41">SUM(H11:J13*$AD$38:$AF$40)</f>
        <v>0.23529416322708097</v>
      </c>
      <c r="AP41" s="1">
        <f t="array" ref="AP41">SUM(I11:K13*$AD$38:$AF$40)</f>
        <v>0.54117652773857106</v>
      </c>
      <c r="AQ41" s="1">
        <f t="array" ref="AQ41">SUM(J11:L13*$AD$38:$AF$40)</f>
        <v>0.30588236451149009</v>
      </c>
      <c r="AR41" s="1">
        <f t="array" ref="AR41">SUM(K11:M13*$AD$38:$AF$40)</f>
        <v>0</v>
      </c>
      <c r="AS41" s="1">
        <f t="array" ref="AS41">SUM(L11:N13*$AD$38:$AF$40)</f>
        <v>0</v>
      </c>
      <c r="AT41" s="1">
        <f t="array" ref="AT41">SUM(M11:O13*$AD$38:$AF$40)</f>
        <v>0</v>
      </c>
      <c r="AU41" s="1">
        <f t="array" ref="AU41">SUM(N11:P13*$AD$38:$AF$40)</f>
        <v>-0.26274511218071006</v>
      </c>
      <c r="AV41" s="1">
        <f t="array" ref="AV41">SUM(O11:Q13*$AD$38:$AF$40)</f>
        <v>-0.76470594108104606</v>
      </c>
      <c r="AW41" s="1">
        <f t="array" ref="AW41">SUM(P11:R13*$AD$38:$AF$40)</f>
        <v>-1.3294118642806998</v>
      </c>
      <c r="AX41" s="1">
        <f t="array" ref="AX41">SUM(Q11:S13*$AD$38:$AF$40)</f>
        <v>-0.73333333432674397</v>
      </c>
      <c r="AY41" s="1">
        <f t="array" ref="AY41">SUM(R11:T13*$AD$38:$AF$40)</f>
        <v>1.000000111758709</v>
      </c>
      <c r="AZ41" s="1">
        <f t="array" ref="AZ41">SUM(S11:U13*$AD$38:$AF$40)</f>
        <v>2.2000000998377787</v>
      </c>
      <c r="BA41" s="1">
        <f t="array" ref="BA41">SUM(T11:V13*$AD$38:$AF$40)</f>
        <v>1.8274510577321039</v>
      </c>
      <c r="BB41" s="1">
        <f t="array" ref="BB41">SUM(U11:W13*$AD$38:$AF$40)</f>
        <v>0.53333336859941427</v>
      </c>
      <c r="BC41" s="1">
        <f t="array" ref="BC41">SUM(V11:X13*$AD$38:$AF$40)</f>
        <v>0</v>
      </c>
      <c r="BD41" s="1">
        <f t="array" ref="BD41">SUM(W11:Y13*$AD$38:$AF$40)</f>
        <v>0</v>
      </c>
      <c r="BE41" s="1">
        <f t="array" ref="BE41">SUM(X11:Z13*$AD$38:$AF$40)</f>
        <v>0</v>
      </c>
      <c r="BF41" s="1">
        <f t="array" ref="BF41">SUM(Y11:AA13*$AD$38:$AF$40)</f>
        <v>0</v>
      </c>
      <c r="BG41" s="1">
        <f t="array" ref="BG41">SUM(Z11:AB13*$AD$38:$AF$40)</f>
        <v>0</v>
      </c>
      <c r="BH41" s="79"/>
      <c r="BI41" s="79"/>
      <c r="BJ41" s="79"/>
      <c r="BK41" s="1">
        <f t="shared" si="139"/>
        <v>0</v>
      </c>
      <c r="BL41" s="1">
        <f t="shared" si="139"/>
        <v>0</v>
      </c>
      <c r="BM41" s="1">
        <f t="shared" si="139"/>
        <v>0</v>
      </c>
      <c r="BN41" s="1">
        <f t="shared" si="139"/>
        <v>0.52549019455909596</v>
      </c>
      <c r="BO41" s="1">
        <f t="shared" si="139"/>
        <v>8.6274512112140128E-2</v>
      </c>
      <c r="BP41" s="1">
        <f t="shared" si="139"/>
        <v>0</v>
      </c>
      <c r="BQ41" s="1">
        <f t="shared" si="139"/>
        <v>0</v>
      </c>
      <c r="BR41" s="1">
        <f t="shared" si="139"/>
        <v>0.23529416322708097</v>
      </c>
      <c r="BS41" s="1">
        <f t="shared" si="139"/>
        <v>0.54117652773857106</v>
      </c>
      <c r="BT41" s="1">
        <f t="shared" si="139"/>
        <v>0.30588236451149009</v>
      </c>
      <c r="BU41" s="1">
        <f t="shared" si="139"/>
        <v>0</v>
      </c>
      <c r="BV41" s="1">
        <f t="shared" si="139"/>
        <v>0</v>
      </c>
      <c r="BW41" s="1">
        <f t="shared" si="139"/>
        <v>0</v>
      </c>
      <c r="BX41" s="1">
        <f t="shared" si="139"/>
        <v>0</v>
      </c>
      <c r="BY41" s="1">
        <f t="shared" si="139"/>
        <v>0</v>
      </c>
      <c r="BZ41" s="1">
        <f t="shared" si="139"/>
        <v>0</v>
      </c>
      <c r="CA41" s="1">
        <f t="shared" si="139"/>
        <v>0</v>
      </c>
      <c r="CB41" s="1">
        <f t="shared" si="139"/>
        <v>1.000000111758709</v>
      </c>
      <c r="CC41" s="1">
        <f t="shared" si="139"/>
        <v>2.2000000998377787</v>
      </c>
      <c r="CD41" s="1">
        <f t="shared" si="139"/>
        <v>1.8274510577321039</v>
      </c>
      <c r="CE41" s="1">
        <f t="shared" si="139"/>
        <v>0.53333336859941427</v>
      </c>
      <c r="CF41" s="1">
        <f t="shared" ref="CF41:CJ57" si="187">MAX(0,BC41)</f>
        <v>0</v>
      </c>
      <c r="CG41" s="1">
        <f t="shared" si="187"/>
        <v>0</v>
      </c>
      <c r="CH41" s="1">
        <f t="shared" si="187"/>
        <v>0</v>
      </c>
      <c r="CI41" s="1">
        <f t="shared" si="187"/>
        <v>0</v>
      </c>
      <c r="CJ41" s="1">
        <f t="shared" si="187"/>
        <v>0</v>
      </c>
      <c r="DS41">
        <f t="array" ref="DS41">SUM(AH11:AJ13*$DO$38:$DQ$40)+SUM(AH40:AJ42*$DO$42:$DQ$44)</f>
        <v>-1.984112100285564</v>
      </c>
      <c r="DT41">
        <f t="array" ref="DT41">SUM(AI11:AK13*$DO$38:$DQ$40)+SUM(AI40:AK42*$DO$42:$DQ$44)</f>
        <v>1.3057480195995148</v>
      </c>
      <c r="DU41">
        <f t="array" ref="DU41">SUM(AJ11:AL13*$DO$38:$DQ$40)+SUM(AJ40:AL42*$DO$42:$DQ$44)</f>
        <v>6.327308265706157</v>
      </c>
      <c r="DV41">
        <f t="array" ref="DV41">SUM(AK11:AM13*$DO$38:$DQ$40)+SUM(AK40:AM42*$DO$42:$DQ$44)</f>
        <v>8.0179349773263784</v>
      </c>
      <c r="DW41">
        <f t="array" ref="DW41">SUM(AL11:AN13*$DO$38:$DQ$40)+SUM(AL40:AN42*$DO$42:$DQ$44)</f>
        <v>7.652051534164487</v>
      </c>
      <c r="DX41">
        <f t="array" ref="DX41">SUM(AM11:AO13*$DO$38:$DQ$40)+SUM(AM40:AO42*$DO$42:$DQ$44)</f>
        <v>8.2710987727273206</v>
      </c>
      <c r="DY41">
        <f t="array" ref="DY41">SUM(AN11:AP13*$DO$38:$DQ$40)+SUM(AN40:AP42*$DO$42:$DQ$44)</f>
        <v>8.9258148587362758</v>
      </c>
      <c r="DZ41">
        <f t="array" ref="DZ41">SUM(AO11:AQ13*$DO$38:$DQ$40)+SUM(AO40:AQ42*$DO$42:$DQ$44)</f>
        <v>8.6690274485509278</v>
      </c>
      <c r="EA41">
        <f t="array" ref="EA41">SUM(AP11:AR13*$DO$38:$DQ$40)+SUM(AP40:AR42*$DO$42:$DQ$44)</f>
        <v>7.8061792179383982</v>
      </c>
      <c r="EB41">
        <f t="array" ref="EB41">SUM(AQ11:AS13*$DO$38:$DQ$40)+SUM(AQ40:AS42*$DO$42:$DQ$44)</f>
        <v>6.6058551997304713</v>
      </c>
      <c r="EC41">
        <f t="array" ref="EC41">SUM(AR11:AT13*$DO$38:$DQ$40)+SUM(AR40:AT42*$DO$42:$DQ$44)</f>
        <v>5.7523024858572533</v>
      </c>
      <c r="ED41">
        <f t="array" ref="ED41">SUM(AS11:AU13*$DO$38:$DQ$40)+SUM(AS40:AU42*$DO$42:$DQ$44)</f>
        <v>5.3266849359813628</v>
      </c>
      <c r="EE41">
        <f t="array" ref="EE41">SUM(AT11:AV13*$DO$38:$DQ$40)+SUM(AT40:AV42*$DO$42:$DQ$44)</f>
        <v>4.3392790191492496</v>
      </c>
      <c r="EF41">
        <f t="array" ref="EF41">SUM(AU11:AW13*$DO$38:$DQ$40)+SUM(AU40:AW42*$DO$42:$DQ$44)</f>
        <v>2.6735115074652747</v>
      </c>
      <c r="EG41">
        <f t="array" ref="EG41">SUM(AV11:AX13*$DO$38:$DQ$40)+SUM(AV40:AX42*$DO$42:$DQ$44)</f>
        <v>1.6191481186405614</v>
      </c>
      <c r="EH41">
        <f t="array" ref="EH41">SUM(AW11:AY13*$DO$38:$DQ$40)+SUM(AW40:AY42*$DO$42:$DQ$44)</f>
        <v>2.0551974369159787</v>
      </c>
      <c r="EI41">
        <f t="array" ref="EI41">SUM(AX11:AZ13*$DO$38:$DQ$40)+SUM(AX40:AZ42*$DO$42:$DQ$44)</f>
        <v>3.6391965941659516</v>
      </c>
      <c r="EJ41">
        <f t="array" ref="EJ41">SUM(AY11:BA13*$DO$38:$DQ$40)+SUM(AY40:BA42*$DO$42:$DQ$44)</f>
        <v>4.8124061723168037</v>
      </c>
      <c r="EK41">
        <f t="array" ref="EK41">SUM(AZ11:BB13*$DO$38:$DQ$40)+SUM(AZ40:BB42*$DO$42:$DQ$44)</f>
        <v>2.9596420683448259</v>
      </c>
      <c r="EL41">
        <f t="array" ref="EL41">SUM(BA11:BC13*$DO$38:$DQ$40)+SUM(BA40:BC42*$DO$42:$DQ$44)</f>
        <v>1.0624300775511153</v>
      </c>
      <c r="EM41">
        <f t="array" ref="EM41">SUM(BB11:BD13*$DO$38:$DQ$40)+SUM(BB40:BD42*$DO$42:$DQ$44)</f>
        <v>-0.18160163572949717</v>
      </c>
      <c r="EN41">
        <f t="array" ref="EN41">SUM(BC11:BE13*$DO$38:$DQ$40)+SUM(BC40:BE42*$DO$42:$DQ$44)</f>
        <v>0</v>
      </c>
      <c r="EO41">
        <f t="array" ref="EO41">SUM(BD11:BF13*$DO$38:$DQ$40)+SUM(BD40:BF42*$DO$42:$DQ$44)</f>
        <v>0</v>
      </c>
      <c r="EP41">
        <f t="array" ref="EP41">SUM(BE11:BG13*$DO$38:$DQ$40)+SUM(BE40:BG42*$DO$42:$DQ$44)</f>
        <v>0</v>
      </c>
      <c r="ES41" s="127">
        <f t="shared" ref="ES41" si="188">MAX(DS41:DT42)</f>
        <v>2.5084008031262481</v>
      </c>
      <c r="ET41" s="127"/>
      <c r="EU41" s="127">
        <f t="shared" ref="EU41" si="189">MAX(DU41:DV42)</f>
        <v>8.0179349773263784</v>
      </c>
      <c r="EV41" s="127"/>
      <c r="EW41" s="127">
        <f t="shared" ref="EW41" si="190">MAX(DW41:DX42)</f>
        <v>8.2710987727273206</v>
      </c>
      <c r="EX41" s="127"/>
      <c r="EY41" s="127">
        <f t="shared" ref="EY41" si="191">MAX(DY41:DZ42)</f>
        <v>8.9258148587362758</v>
      </c>
      <c r="EZ41" s="127"/>
      <c r="FA41" s="127">
        <f t="shared" ref="FA41" si="192">MAX(EA41:EB42)</f>
        <v>7.8061792179383982</v>
      </c>
      <c r="FB41" s="127"/>
      <c r="FC41" s="127">
        <f t="shared" ref="FC41" si="193">MAX(EC41:ED42)</f>
        <v>5.7523024858572533</v>
      </c>
      <c r="FD41" s="127"/>
      <c r="FE41" s="127">
        <f t="shared" ref="FE41" si="194">MAX(EE41:EF42)</f>
        <v>4.3392790191492496</v>
      </c>
      <c r="FF41" s="127"/>
      <c r="FG41" s="127">
        <f t="shared" ref="FG41" si="195">MAX(EG41:EH42)</f>
        <v>2.0551974369159787</v>
      </c>
      <c r="FH41" s="127"/>
      <c r="FI41" s="127">
        <f t="shared" ref="FI41" si="196">MAX(EI41:EJ42)</f>
        <v>5.0871892561167247</v>
      </c>
      <c r="FJ41" s="127"/>
      <c r="FK41" s="127">
        <f t="shared" ref="FK41" si="197">MAX(EK41:EL42)</f>
        <v>5.727488847795609</v>
      </c>
      <c r="FL41" s="127"/>
      <c r="FM41" s="127">
        <f t="shared" ref="FM41" si="198">MAX(EM41:EN42)</f>
        <v>1.3088861321214154</v>
      </c>
      <c r="FN41" s="127"/>
      <c r="FO41" s="127">
        <f t="shared" ref="FO41" si="199">MAX(EO41:EP42)</f>
        <v>0</v>
      </c>
      <c r="FP41" s="127"/>
      <c r="FT41">
        <v>0.765375405130307</v>
      </c>
      <c r="FV41">
        <v>6.7913044281753265E-3</v>
      </c>
      <c r="FX41">
        <v>0.27851867011925835</v>
      </c>
      <c r="FZ41">
        <v>0.14272794016978196</v>
      </c>
      <c r="GB41">
        <v>0.98474942220312278</v>
      </c>
      <c r="GD41">
        <v>0.7745315869747792</v>
      </c>
      <c r="GF41">
        <v>0.61846063128547701</v>
      </c>
      <c r="GH41">
        <v>0.11216165054088167</v>
      </c>
      <c r="GJ41">
        <v>0.41302752638300555</v>
      </c>
      <c r="GL41">
        <v>0.49745554367929035</v>
      </c>
      <c r="GN41">
        <v>0.31270625604754709</v>
      </c>
      <c r="GP41">
        <v>0.22865534185813852</v>
      </c>
      <c r="GR41">
        <v>2.7567833346226478E-2</v>
      </c>
    </row>
    <row r="42" spans="1:200" ht="27.75" customHeight="1" x14ac:dyDescent="0.2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1">
        <f t="array" ref="AH42">SUM(A12:C14*$AD$38:$AF$40)</f>
        <v>-1.0352941900491701</v>
      </c>
      <c r="AI42" s="1">
        <f t="array" ref="AI42">SUM(B12:D14*$AD$38:$AF$40)</f>
        <v>-1.3176471292972549</v>
      </c>
      <c r="AJ42" s="1">
        <f t="array" ref="AJ42">SUM(C12:E14*$AD$38:$AF$40)</f>
        <v>0.16862744837999286</v>
      </c>
      <c r="AK42" s="1">
        <f t="array" ref="AK42">SUM(D12:F14*$AD$38:$AF$40)</f>
        <v>0.53725489974021801</v>
      </c>
      <c r="AL42" s="1">
        <f t="array" ref="AL42">SUM(E12:G14*$AD$38:$AF$40)</f>
        <v>8.6274512112140128E-2</v>
      </c>
      <c r="AM42" s="1">
        <f t="array" ref="AM42">SUM(F12:H14*$AD$38:$AF$40)</f>
        <v>0</v>
      </c>
      <c r="AN42" s="1">
        <f t="array" ref="AN42">SUM(G12:I14*$AD$38:$AF$40)</f>
        <v>0</v>
      </c>
      <c r="AO42" s="1">
        <f t="array" ref="AO42">SUM(H12:J14*$AD$38:$AF$40)</f>
        <v>0.23529416322708097</v>
      </c>
      <c r="AP42" s="1">
        <f t="array" ref="AP42">SUM(I12:K14*$AD$38:$AF$40)</f>
        <v>0.54117652773857106</v>
      </c>
      <c r="AQ42" s="1">
        <f t="array" ref="AQ42">SUM(J12:L14*$AD$38:$AF$40)</f>
        <v>0.30588236451149009</v>
      </c>
      <c r="AR42" s="1">
        <f t="array" ref="AR42">SUM(K12:M14*$AD$38:$AF$40)</f>
        <v>0</v>
      </c>
      <c r="AS42" s="1">
        <f t="array" ref="AS42">SUM(L12:N14*$AD$38:$AF$40)</f>
        <v>0</v>
      </c>
      <c r="AT42" s="1">
        <f t="array" ref="AT42">SUM(M12:O14*$AD$38:$AF$40)</f>
        <v>0</v>
      </c>
      <c r="AU42" s="1">
        <f t="array" ref="AU42">SUM(N12:P14*$AD$38:$AF$40)</f>
        <v>-0.26274511218071006</v>
      </c>
      <c r="AV42" s="1">
        <f t="array" ref="AV42">SUM(O12:Q14*$AD$38:$AF$40)</f>
        <v>-0.76470594108104606</v>
      </c>
      <c r="AW42" s="1">
        <f t="array" ref="AW42">SUM(P12:R14*$AD$38:$AF$40)</f>
        <v>-1.6588236391544329</v>
      </c>
      <c r="AX42" s="1">
        <f t="array" ref="AX42">SUM(Q12:S14*$AD$38:$AF$40)</f>
        <v>-1.9843138307332988</v>
      </c>
      <c r="AY42" s="1">
        <f t="array" ref="AY42">SUM(R12:T14*$AD$38:$AF$40)</f>
        <v>-0.57254901528358393</v>
      </c>
      <c r="AZ42" s="1">
        <f t="array" ref="AZ42">SUM(S12:U14*$AD$38:$AF$40)</f>
        <v>1.5372549816966057</v>
      </c>
      <c r="BA42" s="1">
        <f t="array" ref="BA42">SUM(T12:V14*$AD$38:$AF$40)</f>
        <v>2.733333468437193</v>
      </c>
      <c r="BB42" s="1">
        <f t="array" ref="BB42">SUM(U12:W14*$AD$38:$AF$40)</f>
        <v>1.4509804919362053</v>
      </c>
      <c r="BC42" s="1">
        <f t="array" ref="BC42">SUM(V12:X14*$AD$38:$AF$40)</f>
        <v>0</v>
      </c>
      <c r="BD42" s="1">
        <f t="array" ref="BD42">SUM(W12:Y14*$AD$38:$AF$40)</f>
        <v>0</v>
      </c>
      <c r="BE42" s="1">
        <f t="array" ref="BE42">SUM(X12:Z14*$AD$38:$AF$40)</f>
        <v>0</v>
      </c>
      <c r="BF42" s="1">
        <f t="array" ref="BF42">SUM(Y12:AA14*$AD$38:$AF$40)</f>
        <v>0</v>
      </c>
      <c r="BG42" s="1">
        <f t="array" ref="BG42">SUM(Z12:AB14*$AD$38:$AF$40)</f>
        <v>0</v>
      </c>
      <c r="BH42" s="79"/>
      <c r="BI42" s="79"/>
      <c r="BJ42" s="79"/>
      <c r="BK42" s="1">
        <f t="shared" ref="BK42:BZ57" si="200">MAX(0,AH42)</f>
        <v>0</v>
      </c>
      <c r="BL42" s="1">
        <f t="shared" si="200"/>
        <v>0</v>
      </c>
      <c r="BM42" s="1">
        <f t="shared" si="200"/>
        <v>0.16862744837999286</v>
      </c>
      <c r="BN42" s="1">
        <f t="shared" si="200"/>
        <v>0.53725489974021801</v>
      </c>
      <c r="BO42" s="1">
        <f t="shared" si="200"/>
        <v>8.6274512112140128E-2</v>
      </c>
      <c r="BP42" s="1">
        <f t="shared" si="200"/>
        <v>0</v>
      </c>
      <c r="BQ42" s="1">
        <f t="shared" si="200"/>
        <v>0</v>
      </c>
      <c r="BR42" s="1">
        <f t="shared" si="200"/>
        <v>0.23529416322708097</v>
      </c>
      <c r="BS42" s="1">
        <f t="shared" si="200"/>
        <v>0.54117652773857106</v>
      </c>
      <c r="BT42" s="1">
        <f t="shared" si="200"/>
        <v>0.30588236451149009</v>
      </c>
      <c r="BU42" s="1">
        <f t="shared" si="200"/>
        <v>0</v>
      </c>
      <c r="BV42" s="1">
        <f t="shared" si="200"/>
        <v>0</v>
      </c>
      <c r="BW42" s="1">
        <f t="shared" si="200"/>
        <v>0</v>
      </c>
      <c r="BX42" s="1">
        <f t="shared" si="200"/>
        <v>0</v>
      </c>
      <c r="BY42" s="1">
        <f t="shared" si="200"/>
        <v>0</v>
      </c>
      <c r="BZ42" s="1">
        <f t="shared" si="200"/>
        <v>0</v>
      </c>
      <c r="CA42" s="1">
        <f t="shared" ref="CA42:CE57" si="201">MAX(0,AX42)</f>
        <v>0</v>
      </c>
      <c r="CB42" s="1">
        <f t="shared" si="201"/>
        <v>0</v>
      </c>
      <c r="CC42" s="1">
        <f t="shared" si="201"/>
        <v>1.5372549816966057</v>
      </c>
      <c r="CD42" s="1">
        <f t="shared" si="201"/>
        <v>2.733333468437193</v>
      </c>
      <c r="CE42" s="1">
        <f t="shared" si="201"/>
        <v>1.4509804919362053</v>
      </c>
      <c r="CF42" s="1">
        <f t="shared" si="187"/>
        <v>0</v>
      </c>
      <c r="CG42" s="1">
        <f t="shared" si="187"/>
        <v>0</v>
      </c>
      <c r="CH42" s="1">
        <f t="shared" si="187"/>
        <v>0</v>
      </c>
      <c r="CI42" s="1">
        <f t="shared" si="187"/>
        <v>0</v>
      </c>
      <c r="CJ42" s="1">
        <f t="shared" si="187"/>
        <v>0</v>
      </c>
      <c r="DO42">
        <v>0.79409935082150729</v>
      </c>
      <c r="DP42">
        <v>0.18390909380694842</v>
      </c>
      <c r="DQ42">
        <v>0.68848056336482366</v>
      </c>
      <c r="DS42">
        <f t="array" ref="DS42">SUM(AH12:AJ14*$DO$38:$DQ$40)+SUM(AH41:AJ43*$DO$42:$DQ$44)</f>
        <v>-4.9282689510704358E-2</v>
      </c>
      <c r="DT42">
        <f t="array" ref="DT42">SUM(AI12:AK14*$DO$38:$DQ$40)+SUM(AI41:AK43*$DO$42:$DQ$44)</f>
        <v>2.5084008031262481</v>
      </c>
      <c r="DU42">
        <f t="array" ref="DU42">SUM(AJ12:AL14*$DO$38:$DQ$40)+SUM(AJ41:AL43*$DO$42:$DQ$44)</f>
        <v>5.560052270636259</v>
      </c>
      <c r="DV42">
        <f t="array" ref="DV42">SUM(AK12:AM14*$DO$38:$DQ$40)+SUM(AK41:AM43*$DO$42:$DQ$44)</f>
        <v>5.8147449657892754</v>
      </c>
      <c r="DW42">
        <f t="array" ref="DW42">SUM(AL12:AN14*$DO$38:$DQ$40)+SUM(AL41:AN43*$DO$42:$DQ$44)</f>
        <v>4.5109480087490281</v>
      </c>
      <c r="DX42">
        <f t="array" ref="DX42">SUM(AM12:AO14*$DO$38:$DQ$40)+SUM(AM41:AO43*$DO$42:$DQ$44)</f>
        <v>4.5352045367322802</v>
      </c>
      <c r="DY42">
        <f t="array" ref="DY42">SUM(AN12:AP14*$DO$38:$DQ$40)+SUM(AN41:AP43*$DO$42:$DQ$44)</f>
        <v>4.9074895402004071</v>
      </c>
      <c r="DZ42">
        <f t="array" ref="DZ42">SUM(AO12:AQ14*$DO$38:$DQ$40)+SUM(AO41:AQ43*$DO$42:$DQ$44)</f>
        <v>4.8591488202717912</v>
      </c>
      <c r="EA42">
        <f t="array" ref="EA42">SUM(AP12:AR14*$DO$38:$DQ$40)+SUM(AP41:AR43*$DO$42:$DQ$44)</f>
        <v>4.3980245708753536</v>
      </c>
      <c r="EB42">
        <f t="array" ref="EB42">SUM(AQ12:AS14*$DO$38:$DQ$40)+SUM(AQ41:AS43*$DO$42:$DQ$44)</f>
        <v>3.4673355141244984</v>
      </c>
      <c r="EC42">
        <f t="array" ref="EC42">SUM(AR12:AT14*$DO$38:$DQ$40)+SUM(AR41:AT43*$DO$42:$DQ$44)</f>
        <v>2.7872821452396961</v>
      </c>
      <c r="ED42">
        <f t="array" ref="ED42">SUM(AS12:AU14*$DO$38:$DQ$40)+SUM(AS41:AU43*$DO$42:$DQ$44)</f>
        <v>2.5105823528478108</v>
      </c>
      <c r="EE42">
        <f t="array" ref="EE42">SUM(AT12:AV14*$DO$38:$DQ$40)+SUM(AT41:AV43*$DO$42:$DQ$44)</f>
        <v>1.8175547515752954</v>
      </c>
      <c r="EF42">
        <f t="array" ref="EF42">SUM(AU12:AW14*$DO$38:$DQ$40)+SUM(AU41:AW43*$DO$42:$DQ$44)</f>
        <v>-0.61872921118221935</v>
      </c>
      <c r="EG42">
        <f t="array" ref="EG42">SUM(AV12:AX14*$DO$38:$DQ$40)+SUM(AV41:AX43*$DO$42:$DQ$44)</f>
        <v>-3.130506759981583</v>
      </c>
      <c r="EH42">
        <f t="array" ref="EH42">SUM(AW12:AY14*$DO$38:$DQ$40)+SUM(AW41:AY43*$DO$42:$DQ$44)</f>
        <v>-2.5856042612324539</v>
      </c>
      <c r="EI42">
        <f t="array" ref="EI42">SUM(AX12:AZ14*$DO$38:$DQ$40)+SUM(AX41:AZ43*$DO$42:$DQ$44)</f>
        <v>1.950099019474294E-3</v>
      </c>
      <c r="EJ42">
        <f t="array" ref="EJ42">SUM(AY12:BA14*$DO$38:$DQ$40)+SUM(AY41:BA43*$DO$42:$DQ$44)</f>
        <v>5.0871892561167247</v>
      </c>
      <c r="EK42">
        <f t="array" ref="EK42">SUM(AZ12:BB14*$DO$38:$DQ$40)+SUM(AZ41:BB43*$DO$42:$DQ$44)</f>
        <v>5.727488847795609</v>
      </c>
      <c r="EL42">
        <f t="array" ref="EL42">SUM(BA12:BC14*$DO$38:$DQ$40)+SUM(BA41:BC43*$DO$42:$DQ$44)</f>
        <v>4.0165971605347641</v>
      </c>
      <c r="EM42">
        <f t="array" ref="EM42">SUM(BB12:BD14*$DO$38:$DQ$40)+SUM(BB41:BD43*$DO$42:$DQ$44)</f>
        <v>1.3088861321214154</v>
      </c>
      <c r="EN42">
        <f t="array" ref="EN42">SUM(BC12:BE14*$DO$38:$DQ$40)+SUM(BC41:BE43*$DO$42:$DQ$44)</f>
        <v>0</v>
      </c>
      <c r="EO42">
        <f t="array" ref="EO42">SUM(BD12:BF14*$DO$38:$DQ$40)+SUM(BD41:BF43*$DO$42:$DQ$44)</f>
        <v>0</v>
      </c>
      <c r="EP42">
        <f t="array" ref="EP42">SUM(BE12:BG14*$DO$38:$DQ$40)+SUM(BE41:BG43*$DO$42:$DQ$44)</f>
        <v>0</v>
      </c>
      <c r="ES42" s="127"/>
      <c r="ET42" s="127"/>
      <c r="EU42" s="127"/>
      <c r="EV42" s="127"/>
      <c r="EW42" s="127"/>
      <c r="EX42" s="127"/>
      <c r="EY42" s="127"/>
      <c r="EZ42" s="127"/>
      <c r="FA42" s="127"/>
      <c r="FB42" s="127"/>
      <c r="FC42" s="127"/>
      <c r="FD42" s="127"/>
      <c r="FE42" s="127"/>
      <c r="FF42" s="127"/>
      <c r="FG42" s="127"/>
      <c r="FH42" s="127"/>
      <c r="FI42" s="127"/>
      <c r="FJ42" s="127"/>
      <c r="FK42" s="127"/>
      <c r="FL42" s="127"/>
      <c r="FM42" s="127"/>
      <c r="FN42" s="127"/>
      <c r="FO42" s="127"/>
      <c r="FP42" s="127"/>
    </row>
    <row r="43" spans="1:200" ht="27.75" customHeight="1" x14ac:dyDescent="0.25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1">
        <f t="array" ref="AH43">SUM(A13:C15*$AD$38:$AF$40)</f>
        <v>-0.14901961386203699</v>
      </c>
      <c r="AI43" s="1">
        <f t="array" ref="AI43">SUM(B13:D15*$AD$38:$AF$40)</f>
        <v>-0.32156863808631803</v>
      </c>
      <c r="AJ43" s="1">
        <f t="array" ref="AJ43">SUM(C13:E15*$AD$38:$AF$40)</f>
        <v>9.8039217293261899E-2</v>
      </c>
      <c r="AK43" s="1">
        <f t="array" ref="AK43">SUM(D13:F15*$AD$38:$AF$40)</f>
        <v>0.32156863808631803</v>
      </c>
      <c r="AL43" s="1">
        <f t="array" ref="AL43">SUM(E13:G15*$AD$38:$AF$40)</f>
        <v>5.0980396568775101E-2</v>
      </c>
      <c r="AM43" s="1">
        <f t="array" ref="AM43">SUM(F13:H15*$AD$38:$AF$40)</f>
        <v>0</v>
      </c>
      <c r="AN43" s="1">
        <f t="array" ref="AN43">SUM(G13:I15*$AD$38:$AF$40)</f>
        <v>0</v>
      </c>
      <c r="AO43" s="1">
        <f t="array" ref="AO43">SUM(H13:J15*$AD$38:$AF$40)</f>
        <v>0</v>
      </c>
      <c r="AP43" s="1">
        <f t="array" ref="AP43">SUM(I13:K15*$AD$38:$AF$40)</f>
        <v>0</v>
      </c>
      <c r="AQ43" s="1">
        <f t="array" ref="AQ43">SUM(J13:L15*$AD$38:$AF$40)</f>
        <v>0</v>
      </c>
      <c r="AR43" s="1">
        <f t="array" ref="AR43">SUM(K13:M15*$AD$38:$AF$40)</f>
        <v>0</v>
      </c>
      <c r="AS43" s="1">
        <f t="array" ref="AS43">SUM(L13:N15*$AD$38:$AF$40)</f>
        <v>0</v>
      </c>
      <c r="AT43" s="1">
        <f t="array" ref="AT43">SUM(M13:O15*$AD$38:$AF$40)</f>
        <v>0</v>
      </c>
      <c r="AU43" s="1">
        <f t="array" ref="AU43">SUM(N13:P15*$AD$38:$AF$40)</f>
        <v>0</v>
      </c>
      <c r="AV43" s="1">
        <f t="array" ref="AV43">SUM(O13:Q15*$AD$38:$AF$40)</f>
        <v>-0.133333340287208</v>
      </c>
      <c r="AW43" s="1">
        <f t="array" ref="AW43">SUM(P13:R15*$AD$38:$AF$40)</f>
        <v>-1.4941177368164051</v>
      </c>
      <c r="AX43" s="1">
        <f t="array" ref="AX43">SUM(Q13:S15*$AD$38:$AF$40)</f>
        <v>-2.8549021333456031</v>
      </c>
      <c r="AY43" s="1">
        <f t="array" ref="AY43">SUM(R13:T15*$AD$38:$AF$40)</f>
        <v>-1.4941177368164058</v>
      </c>
      <c r="AZ43" s="1">
        <f t="array" ref="AZ43">SUM(S13:U15*$AD$38:$AF$40)</f>
        <v>0.70196080207824785</v>
      </c>
      <c r="BA43" s="1">
        <f t="array" ref="BA43">SUM(T13:V15*$AD$38:$AF$40)</f>
        <v>2.9882354736328107</v>
      </c>
      <c r="BB43" s="1">
        <f t="array" ref="BB43">SUM(U13:W15*$AD$38:$AF$40)</f>
        <v>2.2862746715545632</v>
      </c>
      <c r="BC43" s="1">
        <f t="array" ref="BC43">SUM(V13:X15*$AD$38:$AF$40)</f>
        <v>0</v>
      </c>
      <c r="BD43" s="1">
        <f t="array" ref="BD43">SUM(W13:Y15*$AD$38:$AF$40)</f>
        <v>0</v>
      </c>
      <c r="BE43" s="1">
        <f t="array" ref="BE43">SUM(X13:Z15*$AD$38:$AF$40)</f>
        <v>0</v>
      </c>
      <c r="BF43" s="1">
        <f t="array" ref="BF43">SUM(Y13:AA15*$AD$38:$AF$40)</f>
        <v>0</v>
      </c>
      <c r="BG43" s="1">
        <f t="array" ref="BG43">SUM(Z13:AB15*$AD$38:$AF$40)</f>
        <v>0</v>
      </c>
      <c r="BH43" s="79"/>
      <c r="BI43" s="79"/>
      <c r="BJ43" s="79"/>
      <c r="BK43" s="1">
        <f t="shared" si="200"/>
        <v>0</v>
      </c>
      <c r="BL43" s="1">
        <f t="shared" si="200"/>
        <v>0</v>
      </c>
      <c r="BM43" s="1">
        <f t="shared" si="200"/>
        <v>9.8039217293261899E-2</v>
      </c>
      <c r="BN43" s="1">
        <f t="shared" si="200"/>
        <v>0.32156863808631803</v>
      </c>
      <c r="BO43" s="1">
        <f t="shared" si="200"/>
        <v>5.0980396568775101E-2</v>
      </c>
      <c r="BP43" s="1">
        <f t="shared" si="200"/>
        <v>0</v>
      </c>
      <c r="BQ43" s="1">
        <f t="shared" si="200"/>
        <v>0</v>
      </c>
      <c r="BR43" s="1">
        <f t="shared" si="200"/>
        <v>0</v>
      </c>
      <c r="BS43" s="1">
        <f t="shared" si="200"/>
        <v>0</v>
      </c>
      <c r="BT43" s="1">
        <f t="shared" si="200"/>
        <v>0</v>
      </c>
      <c r="BU43" s="1">
        <f t="shared" si="200"/>
        <v>0</v>
      </c>
      <c r="BV43" s="1">
        <f t="shared" si="200"/>
        <v>0</v>
      </c>
      <c r="BW43" s="1">
        <f t="shared" si="200"/>
        <v>0</v>
      </c>
      <c r="BX43" s="1">
        <f t="shared" si="200"/>
        <v>0</v>
      </c>
      <c r="BY43" s="1">
        <f t="shared" si="200"/>
        <v>0</v>
      </c>
      <c r="BZ43" s="1">
        <f t="shared" si="200"/>
        <v>0</v>
      </c>
      <c r="CA43" s="1">
        <f t="shared" si="201"/>
        <v>0</v>
      </c>
      <c r="CB43" s="1">
        <f t="shared" si="201"/>
        <v>0</v>
      </c>
      <c r="CC43" s="1">
        <f t="shared" si="201"/>
        <v>0.70196080207824785</v>
      </c>
      <c r="CD43" s="1">
        <f t="shared" si="201"/>
        <v>2.9882354736328107</v>
      </c>
      <c r="CE43" s="1">
        <f t="shared" si="201"/>
        <v>2.2862746715545632</v>
      </c>
      <c r="CF43" s="1">
        <f t="shared" si="187"/>
        <v>0</v>
      </c>
      <c r="CG43" s="1">
        <f t="shared" si="187"/>
        <v>0</v>
      </c>
      <c r="CH43" s="1">
        <f t="shared" si="187"/>
        <v>0</v>
      </c>
      <c r="CI43" s="1">
        <f t="shared" si="187"/>
        <v>0</v>
      </c>
      <c r="CJ43" s="1">
        <f t="shared" si="187"/>
        <v>0</v>
      </c>
      <c r="DO43">
        <v>0.87424028154322875</v>
      </c>
      <c r="DP43">
        <v>0.39833991555724646</v>
      </c>
      <c r="DQ43">
        <v>0.53842987986969582</v>
      </c>
      <c r="DS43">
        <f t="array" ref="DS43">SUM(AH13:AJ15*$DO$38:$DQ$40)+SUM(AH42:AJ44*$DO$42:$DQ$44)</f>
        <v>0.78783009949273586</v>
      </c>
      <c r="DT43">
        <f t="array" ref="DT43">SUM(AI13:AK15*$DO$38:$DQ$40)+SUM(AI42:AK44*$DO$42:$DQ$44)</f>
        <v>1.5710244330668477</v>
      </c>
      <c r="DU43">
        <f t="array" ref="DU43">SUM(AJ13:AL15*$DO$38:$DQ$40)+SUM(AJ42:AL44*$DO$42:$DQ$44)</f>
        <v>2.6548156550936124</v>
      </c>
      <c r="DV43">
        <f t="array" ref="DV43">SUM(AK13:AM15*$DO$38:$DQ$40)+SUM(AK42:AM44*$DO$42:$DQ$44)</f>
        <v>2.6382640430511293</v>
      </c>
      <c r="DW43">
        <f t="array" ref="DW43">SUM(AL13:AN15*$DO$38:$DQ$40)+SUM(AL42:AN44*$DO$42:$DQ$44)</f>
        <v>1.8061982514931829</v>
      </c>
      <c r="DX43">
        <f t="array" ref="DX43">SUM(AM13:AO15*$DO$38:$DQ$40)+SUM(AM42:AO44*$DO$42:$DQ$44)</f>
        <v>1.7236253744986365</v>
      </c>
      <c r="DY43">
        <f t="array" ref="DY43">SUM(AN13:AP15*$DO$38:$DQ$40)+SUM(AN42:AP44*$DO$42:$DQ$44)</f>
        <v>1.6809245405321471</v>
      </c>
      <c r="DZ43">
        <f t="array" ref="DZ43">SUM(AO13:AQ15*$DO$38:$DQ$40)+SUM(AO42:AQ44*$DO$42:$DQ$44)</f>
        <v>1.3826120087342706</v>
      </c>
      <c r="EA43">
        <f t="array" ref="EA43">SUM(AP13:AR15*$DO$38:$DQ$40)+SUM(AP42:AR44*$DO$42:$DQ$44)</f>
        <v>1.0895424081050205</v>
      </c>
      <c r="EB43">
        <f t="array" ref="EB43">SUM(AQ13:AS15*$DO$38:$DQ$40)+SUM(AQ42:AS44*$DO$42:$DQ$44)</f>
        <v>0.75831441418153145</v>
      </c>
      <c r="EC43">
        <f t="array" ref="EC43">SUM(AR13:AT15*$DO$38:$DQ$40)+SUM(AR42:AT44*$DO$42:$DQ$44)</f>
        <v>0.51013785544777979</v>
      </c>
      <c r="ED43">
        <f t="array" ref="ED43">SUM(AS13:AU15*$DO$38:$DQ$40)+SUM(AS42:AU44*$DO$42:$DQ$44)</f>
        <v>0.44380215782245341</v>
      </c>
      <c r="EE43">
        <f t="array" ref="EE43">SUM(AT13:AV15*$DO$38:$DQ$40)+SUM(AT42:AV44*$DO$42:$DQ$44)</f>
        <v>-0.26718128478394332</v>
      </c>
      <c r="EF43">
        <f t="array" ref="EF43">SUM(AU13:AW15*$DO$38:$DQ$40)+SUM(AU42:AW44*$DO$42:$DQ$44)</f>
        <v>-2.6524776329428486</v>
      </c>
      <c r="EG43">
        <f t="array" ref="EG43">SUM(AV13:AX15*$DO$38:$DQ$40)+SUM(AV42:AX44*$DO$42:$DQ$44)</f>
        <v>-6.6018484987792361</v>
      </c>
      <c r="EH43">
        <f t="array" ref="EH43">SUM(AW13:AY15*$DO$38:$DQ$40)+SUM(AW42:AY44*$DO$42:$DQ$44)</f>
        <v>-7.4530759513825009</v>
      </c>
      <c r="EI43">
        <f t="array" ref="EI43">SUM(AX13:AZ15*$DO$38:$DQ$40)+SUM(AX42:AZ44*$DO$42:$DQ$44)</f>
        <v>-4.8362537733005757</v>
      </c>
      <c r="EJ43">
        <f t="array" ref="EJ43">SUM(AY13:BA15*$DO$38:$DQ$40)+SUM(AY42:BA44*$DO$42:$DQ$44)</f>
        <v>3.1756678172985113</v>
      </c>
      <c r="EK43">
        <f t="array" ref="EK43">SUM(AZ13:BB15*$DO$38:$DQ$40)+SUM(AZ42:BB44*$DO$42:$DQ$44)</f>
        <v>7.1967687788709593</v>
      </c>
      <c r="EL43">
        <f t="array" ref="EL43">SUM(BA13:BC15*$DO$38:$DQ$40)+SUM(BA42:BC44*$DO$42:$DQ$44)</f>
        <v>6.1817677985526469</v>
      </c>
      <c r="EM43">
        <f t="array" ref="EM43">SUM(BB13:BD15*$DO$38:$DQ$40)+SUM(BB42:BD44*$DO$42:$DQ$44)</f>
        <v>3.2485002823130493</v>
      </c>
      <c r="EN43">
        <f t="array" ref="EN43">SUM(BC13:BE15*$DO$38:$DQ$40)+SUM(BC42:BE44*$DO$42:$DQ$44)</f>
        <v>-0.14508964809615138</v>
      </c>
      <c r="EO43">
        <f t="array" ref="EO43">SUM(BD13:BF15*$DO$38:$DQ$40)+SUM(BD42:BF44*$DO$42:$DQ$44)</f>
        <v>0</v>
      </c>
      <c r="EP43">
        <f t="array" ref="EP43">SUM(BE13:BG15*$DO$38:$DQ$40)+SUM(BE42:BG44*$DO$42:$DQ$44)</f>
        <v>0</v>
      </c>
      <c r="ES43" s="127">
        <f t="shared" ref="ES43" si="202">MAX(DS43:DT44)</f>
        <v>1.5710244330668477</v>
      </c>
      <c r="ET43" s="127"/>
      <c r="EU43" s="127">
        <f t="shared" ref="EU43" si="203">MAX(DU43:DV44)</f>
        <v>2.6548156550936124</v>
      </c>
      <c r="EV43" s="127"/>
      <c r="EW43" s="127">
        <f t="shared" ref="EW43" si="204">MAX(DW43:DX44)</f>
        <v>1.8061982514931829</v>
      </c>
      <c r="EX43" s="127"/>
      <c r="EY43" s="127">
        <f t="shared" ref="EY43" si="205">MAX(DY43:DZ44)</f>
        <v>1.6809245405321471</v>
      </c>
      <c r="EZ43" s="127"/>
      <c r="FA43" s="127">
        <f t="shared" ref="FA43" si="206">MAX(EA43:EB44)</f>
        <v>1.0895424081050205</v>
      </c>
      <c r="FB43" s="127"/>
      <c r="FC43" s="127">
        <f t="shared" ref="FC43" si="207">MAX(EC43:ED44)</f>
        <v>0.51013785544777979</v>
      </c>
      <c r="FD43" s="127"/>
      <c r="FE43" s="127">
        <f t="shared" ref="FE43" si="208">MAX(EE43:EF44)</f>
        <v>-0.26718128478394332</v>
      </c>
      <c r="FF43" s="127"/>
      <c r="FG43" s="127">
        <f t="shared" ref="FG43" si="209">MAX(EG43:EH44)</f>
        <v>-6.6018484987792361</v>
      </c>
      <c r="FH43" s="127"/>
      <c r="FI43" s="127">
        <f t="shared" ref="FI43" si="210">MAX(EI43:EJ44)</f>
        <v>3.1756678172985113</v>
      </c>
      <c r="FJ43" s="127"/>
      <c r="FK43" s="127">
        <f t="shared" ref="FK43" si="211">MAX(EK43:EL44)</f>
        <v>7.1967687788709593</v>
      </c>
      <c r="FL43" s="127"/>
      <c r="FM43" s="127">
        <f t="shared" ref="FM43" si="212">MAX(EM43:EN44)</f>
        <v>3.6116041343358418</v>
      </c>
      <c r="FN43" s="127"/>
      <c r="FO43" s="127">
        <f t="shared" ref="FO43" si="213">MAX(EO43:EP44)</f>
        <v>0</v>
      </c>
      <c r="FP43" s="127"/>
      <c r="FT43">
        <v>0.50650739073488249</v>
      </c>
      <c r="FV43">
        <v>0.81279537985648775</v>
      </c>
      <c r="FX43">
        <v>0.52560989926891222</v>
      </c>
      <c r="FZ43">
        <v>3.1009282058962473E-2</v>
      </c>
      <c r="GB43">
        <v>0.24762234409150985</v>
      </c>
      <c r="GD43">
        <v>0.67204616452827348</v>
      </c>
      <c r="GF43">
        <v>0.61624402162631819</v>
      </c>
      <c r="GH43">
        <v>0.71741822860458826</v>
      </c>
      <c r="GJ43">
        <v>0.82326281733354689</v>
      </c>
      <c r="GL43">
        <v>3.0053395950482398E-2</v>
      </c>
      <c r="GN43">
        <v>0.36161330892203525</v>
      </c>
      <c r="GP43">
        <v>0.61498184250698229</v>
      </c>
      <c r="GR43">
        <v>0.60881116157338266</v>
      </c>
    </row>
    <row r="44" spans="1:200" ht="27.75" customHeight="1" x14ac:dyDescent="0.2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1">
        <f t="array" ref="AH44">SUM(A14:C16*$AD$38:$AF$40)</f>
        <v>0</v>
      </c>
      <c r="AI44" s="1">
        <f t="array" ref="AI44">SUM(B14:D16*$AD$38:$AF$40)</f>
        <v>0</v>
      </c>
      <c r="AJ44" s="1">
        <f t="array" ref="AJ44">SUM(C14:E16*$AD$38:$AF$40)</f>
        <v>0</v>
      </c>
      <c r="AK44" s="1">
        <f t="array" ref="AK44">SUM(D14:F16*$AD$38:$AF$40)</f>
        <v>0</v>
      </c>
      <c r="AL44" s="1">
        <f t="array" ref="AL44">SUM(E14:G16*$AD$38:$AF$40)</f>
        <v>0</v>
      </c>
      <c r="AM44" s="1">
        <f t="array" ref="AM44">SUM(F14:H16*$AD$38:$AF$40)</f>
        <v>0</v>
      </c>
      <c r="AN44" s="1">
        <f t="array" ref="AN44">SUM(G14:I16*$AD$38:$AF$40)</f>
        <v>0</v>
      </c>
      <c r="AO44" s="1">
        <f t="array" ref="AO44">SUM(H14:J16*$AD$38:$AF$40)</f>
        <v>0</v>
      </c>
      <c r="AP44" s="1">
        <f t="array" ref="AP44">SUM(I14:K16*$AD$38:$AF$40)</f>
        <v>0</v>
      </c>
      <c r="AQ44" s="1">
        <f t="array" ref="AQ44">SUM(J14:L16*$AD$38:$AF$40)</f>
        <v>0</v>
      </c>
      <c r="AR44" s="1">
        <f t="array" ref="AR44">SUM(K14:M16*$AD$38:$AF$40)</f>
        <v>0</v>
      </c>
      <c r="AS44" s="1">
        <f t="array" ref="AS44">SUM(L14:N16*$AD$38:$AF$40)</f>
        <v>0</v>
      </c>
      <c r="AT44" s="1">
        <f t="array" ref="AT44">SUM(M14:O16*$AD$38:$AF$40)</f>
        <v>0</v>
      </c>
      <c r="AU44" s="1">
        <f t="array" ref="AU44">SUM(N14:P16*$AD$38:$AF$40)</f>
        <v>0</v>
      </c>
      <c r="AV44" s="1">
        <f t="array" ref="AV44">SUM(O14:Q16*$AD$38:$AF$40)</f>
        <v>-0.41568630933761502</v>
      </c>
      <c r="AW44" s="1">
        <f t="array" ref="AW44">SUM(P14:R16*$AD$38:$AF$40)</f>
        <v>-1.2745098471641532</v>
      </c>
      <c r="AX44" s="1">
        <f t="array" ref="AX44">SUM(Q14:S16*$AD$38:$AF$40)</f>
        <v>-2.5725491642951956</v>
      </c>
      <c r="AY44" s="1">
        <f t="array" ref="AY44">SUM(R14:T16*$AD$38:$AF$40)</f>
        <v>-1.713725626468658</v>
      </c>
      <c r="AZ44" s="1">
        <f t="array" ref="AZ44">SUM(S14:U16*$AD$38:$AF$40)</f>
        <v>0.19999998807907193</v>
      </c>
      <c r="BA44" s="1">
        <f t="array" ref="BA44">SUM(T14:V16*$AD$38:$AF$40)</f>
        <v>2.7882354557514177</v>
      </c>
      <c r="BB44" s="1">
        <f t="array" ref="BB44">SUM(U14:W16*$AD$38:$AF$40)</f>
        <v>2.7882354855537388</v>
      </c>
      <c r="BC44" s="1">
        <f t="array" ref="BC44">SUM(V14:X16*$AD$38:$AF$40)</f>
        <v>0.20000001788139299</v>
      </c>
      <c r="BD44" s="1">
        <f t="array" ref="BD44">SUM(W14:Y16*$AD$38:$AF$40)</f>
        <v>0</v>
      </c>
      <c r="BE44" s="1">
        <f t="array" ref="BE44">SUM(X14:Z16*$AD$38:$AF$40)</f>
        <v>0</v>
      </c>
      <c r="BF44" s="1">
        <f t="array" ref="BF44">SUM(Y14:AA16*$AD$38:$AF$40)</f>
        <v>0</v>
      </c>
      <c r="BG44" s="1">
        <f t="array" ref="BG44">SUM(Z14:AB16*$AD$38:$AF$40)</f>
        <v>0</v>
      </c>
      <c r="BH44" s="79"/>
      <c r="BI44" s="79"/>
      <c r="BJ44" s="79"/>
      <c r="BK44" s="1">
        <f t="shared" si="200"/>
        <v>0</v>
      </c>
      <c r="BL44" s="1">
        <f t="shared" si="200"/>
        <v>0</v>
      </c>
      <c r="BM44" s="1">
        <f t="shared" si="200"/>
        <v>0</v>
      </c>
      <c r="BN44" s="1">
        <f t="shared" si="200"/>
        <v>0</v>
      </c>
      <c r="BO44" s="1">
        <f t="shared" si="200"/>
        <v>0</v>
      </c>
      <c r="BP44" s="1">
        <f t="shared" si="200"/>
        <v>0</v>
      </c>
      <c r="BQ44" s="1">
        <f t="shared" si="200"/>
        <v>0</v>
      </c>
      <c r="BR44" s="1">
        <f t="shared" si="200"/>
        <v>0</v>
      </c>
      <c r="BS44" s="1">
        <f t="shared" si="200"/>
        <v>0</v>
      </c>
      <c r="BT44" s="1">
        <f t="shared" si="200"/>
        <v>0</v>
      </c>
      <c r="BU44" s="1">
        <f t="shared" si="200"/>
        <v>0</v>
      </c>
      <c r="BV44" s="1">
        <f t="shared" si="200"/>
        <v>0</v>
      </c>
      <c r="BW44" s="1">
        <f t="shared" si="200"/>
        <v>0</v>
      </c>
      <c r="BX44" s="1">
        <f t="shared" si="200"/>
        <v>0</v>
      </c>
      <c r="BY44" s="1">
        <f t="shared" si="200"/>
        <v>0</v>
      </c>
      <c r="BZ44" s="1">
        <f t="shared" si="200"/>
        <v>0</v>
      </c>
      <c r="CA44" s="1">
        <f t="shared" si="201"/>
        <v>0</v>
      </c>
      <c r="CB44" s="1">
        <f t="shared" si="201"/>
        <v>0</v>
      </c>
      <c r="CC44" s="1">
        <f t="shared" si="201"/>
        <v>0.19999998807907193</v>
      </c>
      <c r="CD44" s="1">
        <f t="shared" si="201"/>
        <v>2.7882354557514177</v>
      </c>
      <c r="CE44" s="1">
        <f t="shared" si="201"/>
        <v>2.7882354855537388</v>
      </c>
      <c r="CF44" s="1">
        <f t="shared" si="187"/>
        <v>0.20000001788139299</v>
      </c>
      <c r="CG44" s="1">
        <f t="shared" si="187"/>
        <v>0</v>
      </c>
      <c r="CH44" s="1">
        <f t="shared" si="187"/>
        <v>0</v>
      </c>
      <c r="CI44" s="1">
        <f t="shared" si="187"/>
        <v>0</v>
      </c>
      <c r="CJ44" s="1">
        <f t="shared" si="187"/>
        <v>0</v>
      </c>
      <c r="DO44">
        <v>0.23449883303628183</v>
      </c>
      <c r="DP44">
        <v>0.1581847146451717</v>
      </c>
      <c r="DQ44">
        <v>0.83702436863340168</v>
      </c>
      <c r="DS44">
        <f t="array" ref="DS44">SUM(AH14:AJ16*$DO$38:$DQ$40)+SUM(AH43:AJ45*$DO$42:$DQ$44)</f>
        <v>0.24122072918734166</v>
      </c>
      <c r="DT44">
        <f t="array" ref="DT44">SUM(AI14:AK16*$DO$38:$DQ$40)+SUM(AI43:AK45*$DO$42:$DQ$44)</f>
        <v>0.28896939387993503</v>
      </c>
      <c r="DU44">
        <f t="array" ref="DU44">SUM(AJ14:AL16*$DO$38:$DQ$40)+SUM(AJ43:AL45*$DO$42:$DQ$44)</f>
        <v>0.29928030865223021</v>
      </c>
      <c r="DV44">
        <f t="array" ref="DV44">SUM(AK14:AM16*$DO$38:$DQ$40)+SUM(AK43:AM45*$DO$42:$DQ$44)</f>
        <v>0.28429071480899576</v>
      </c>
      <c r="DW44">
        <f t="array" ref="DW44">SUM(AL14:AN16*$DO$38:$DQ$40)+SUM(AL43:AN45*$DO$42:$DQ$44)</f>
        <v>4.1362761803959126E-2</v>
      </c>
      <c r="DX44">
        <f t="array" ref="DX44">SUM(AM14:AO16*$DO$38:$DQ$40)+SUM(AM43:AO45*$DO$42:$DQ$44)</f>
        <v>0</v>
      </c>
      <c r="DY44">
        <f t="array" ref="DY44">SUM(AN14:AP16*$DO$38:$DQ$40)+SUM(AN43:AP45*$DO$42:$DQ$44)</f>
        <v>0</v>
      </c>
      <c r="DZ44">
        <f t="array" ref="DZ44">SUM(AO14:AQ16*$DO$38:$DQ$40)+SUM(AO43:AQ45*$DO$42:$DQ$44)</f>
        <v>-0.14420273930049732</v>
      </c>
      <c r="EA44">
        <f t="array" ref="EA44">SUM(AP14:AR16*$DO$38:$DQ$40)+SUM(AP43:AR45*$DO$42:$DQ$44)</f>
        <v>-0.79600668938678365</v>
      </c>
      <c r="EB44">
        <f t="array" ref="EB44">SUM(AQ14:AS16*$DO$38:$DQ$40)+SUM(AQ43:AS45*$DO$42:$DQ$44)</f>
        <v>-2.0227251458781703</v>
      </c>
      <c r="EC44">
        <f t="array" ref="EC44">SUM(AR14:AT16*$DO$38:$DQ$40)+SUM(AR43:AT45*$DO$42:$DQ$44)</f>
        <v>-3.200338460271821</v>
      </c>
      <c r="ED44">
        <f t="array" ref="ED44">SUM(AS14:AU16*$DO$38:$DQ$40)+SUM(AS43:AU45*$DO$42:$DQ$44)</f>
        <v>-4.3453389594190623</v>
      </c>
      <c r="EE44">
        <f t="array" ref="EE44">SUM(AT14:AV16*$DO$38:$DQ$40)+SUM(AT43:AV45*$DO$42:$DQ$44)</f>
        <v>-5.9710278315886782</v>
      </c>
      <c r="EF44">
        <f t="array" ref="EF44">SUM(AU14:AW16*$DO$38:$DQ$40)+SUM(AU43:AW45*$DO$42:$DQ$44)</f>
        <v>-8.1792189033343838</v>
      </c>
      <c r="EG44">
        <f t="array" ref="EG44">SUM(AV14:AX16*$DO$38:$DQ$40)+SUM(AV43:AX45*$DO$42:$DQ$44)</f>
        <v>-11.10834831492914</v>
      </c>
      <c r="EH44">
        <f t="array" ref="EH44">SUM(AW14:AY16*$DO$38:$DQ$40)+SUM(AW43:AY45*$DO$42:$DQ$44)</f>
        <v>-10.96301078731787</v>
      </c>
      <c r="EI44">
        <f t="array" ref="EI44">SUM(AX14:AZ16*$DO$38:$DQ$40)+SUM(AX43:AZ45*$DO$42:$DQ$44)</f>
        <v>-7.7685445442105499</v>
      </c>
      <c r="EJ44">
        <f t="array" ref="EJ44">SUM(AY14:BA16*$DO$38:$DQ$40)+SUM(AY43:BA45*$DO$42:$DQ$44)</f>
        <v>0.55979421614034308</v>
      </c>
      <c r="EK44">
        <f t="array" ref="EK44">SUM(AZ14:BB16*$DO$38:$DQ$40)+SUM(AZ43:BB45*$DO$42:$DQ$44)</f>
        <v>6.5759884681451908</v>
      </c>
      <c r="EL44">
        <f t="array" ref="EL44">SUM(BA14:BC16*$DO$38:$DQ$40)+SUM(BA43:BC45*$DO$42:$DQ$44)</f>
        <v>5.9240120647752335</v>
      </c>
      <c r="EM44">
        <f t="array" ref="EM44">SUM(BB14:BD16*$DO$38:$DQ$40)+SUM(BB43:BD45*$DO$42:$DQ$44)</f>
        <v>3.6116041343358418</v>
      </c>
      <c r="EN44">
        <f t="array" ref="EN44">SUM(BC14:BE16*$DO$38:$DQ$40)+SUM(BC43:BE45*$DO$42:$DQ$44)</f>
        <v>-0.57200930285296037</v>
      </c>
      <c r="EO44">
        <f t="array" ref="EO44">SUM(BD14:BF16*$DO$38:$DQ$40)+SUM(BD43:BF45*$DO$42:$DQ$44)</f>
        <v>0</v>
      </c>
      <c r="EP44">
        <f t="array" ref="EP44">SUM(BE14:BG16*$DO$38:$DQ$40)+SUM(BE43:BG45*$DO$42:$DQ$44)</f>
        <v>0</v>
      </c>
      <c r="ES44" s="127"/>
      <c r="ET44" s="127"/>
      <c r="EU44" s="127"/>
      <c r="EV44" s="127"/>
      <c r="EW44" s="127"/>
      <c r="EX44" s="127"/>
      <c r="EY44" s="127"/>
      <c r="EZ44" s="127"/>
      <c r="FA44" s="127"/>
      <c r="FB44" s="127"/>
      <c r="FC44" s="127"/>
      <c r="FD44" s="127"/>
      <c r="FE44" s="127"/>
      <c r="FF44" s="127"/>
      <c r="FG44" s="127"/>
      <c r="FH44" s="127"/>
      <c r="FI44" s="127"/>
      <c r="FJ44" s="127"/>
      <c r="FK44" s="127"/>
      <c r="FL44" s="127"/>
      <c r="FM44" s="127"/>
      <c r="FN44" s="127"/>
      <c r="FO44" s="127"/>
      <c r="FP44" s="127"/>
    </row>
    <row r="45" spans="1:200" ht="27.75" customHeight="1" x14ac:dyDescent="0.25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1">
        <f t="array" ref="AH45">SUM(A15:C17*$AD$38:$AF$40)</f>
        <v>0</v>
      </c>
      <c r="AI45" s="1">
        <f t="array" ref="AI45">SUM(B15:D17*$AD$38:$AF$40)</f>
        <v>0</v>
      </c>
      <c r="AJ45" s="1">
        <f t="array" ref="AJ45">SUM(C15:E17*$AD$38:$AF$40)</f>
        <v>0</v>
      </c>
      <c r="AK45" s="1">
        <f t="array" ref="AK45">SUM(D15:F17*$AD$38:$AF$40)</f>
        <v>0</v>
      </c>
      <c r="AL45" s="1">
        <f t="array" ref="AL45">SUM(E15:G17*$AD$38:$AF$40)</f>
        <v>0</v>
      </c>
      <c r="AM45" s="1">
        <f t="array" ref="AM45">SUM(F15:H17*$AD$38:$AF$40)</f>
        <v>0</v>
      </c>
      <c r="AN45" s="1">
        <f t="array" ref="AN45">SUM(G15:I17*$AD$38:$AF$40)</f>
        <v>0</v>
      </c>
      <c r="AO45" s="1">
        <f t="array" ref="AO45">SUM(H15:J17*$AD$38:$AF$40)</f>
        <v>0</v>
      </c>
      <c r="AP45" s="1">
        <f t="array" ref="AP45">SUM(I15:K17*$AD$38:$AF$40)</f>
        <v>0</v>
      </c>
      <c r="AQ45" s="1">
        <f t="array" ref="AQ45">SUM(J15:L17*$AD$38:$AF$40)</f>
        <v>-9.8039224743842995E-2</v>
      </c>
      <c r="AR45" s="1">
        <f t="array" ref="AR45">SUM(K15:M17*$AD$38:$AF$40)</f>
        <v>-0.458823561668395</v>
      </c>
      <c r="AS45" s="1">
        <f t="array" ref="AS45">SUM(L15:N17*$AD$38:$AF$40)</f>
        <v>-0.79607848823070504</v>
      </c>
      <c r="AT45" s="1">
        <f t="array" ref="AT45">SUM(M15:O17*$AD$38:$AF$40)</f>
        <v>-0.43529415130615301</v>
      </c>
      <c r="AU45" s="1">
        <f t="array" ref="AU45">SUM(N15:P17*$AD$38:$AF$40)</f>
        <v>0</v>
      </c>
      <c r="AV45" s="1">
        <f t="array" ref="AV45">SUM(O15:Q17*$AD$38:$AF$40)</f>
        <v>-0.51372551918029696</v>
      </c>
      <c r="AW45" s="1">
        <f t="array" ref="AW45">SUM(P15:R17*$AD$38:$AF$40)</f>
        <v>-1.047058850526809</v>
      </c>
      <c r="AX45" s="1">
        <f t="array" ref="AX45">SUM(Q15:S17*$AD$38:$AF$40)</f>
        <v>-1.5803922414779659</v>
      </c>
      <c r="AY45" s="1">
        <f t="array" ref="AY45">SUM(R15:T17*$AD$38:$AF$40)</f>
        <v>-1.047058910131454</v>
      </c>
      <c r="AZ45" s="1">
        <f t="array" ref="AZ45">SUM(S15:U17*$AD$38:$AF$40)</f>
        <v>0.12156862020492609</v>
      </c>
      <c r="BA45" s="1">
        <f t="array" ref="BA45">SUM(T15:V17*$AD$38:$AF$40)</f>
        <v>1.8470589220523828</v>
      </c>
      <c r="BB45" s="1">
        <f t="array" ref="BB45">SUM(U15:W17*$AD$38:$AF$40)</f>
        <v>2.8666668534278852</v>
      </c>
      <c r="BC45" s="1">
        <f t="array" ref="BC45">SUM(V15:X17*$AD$38:$AF$40)</f>
        <v>1.141176551580428</v>
      </c>
      <c r="BD45" s="1">
        <f t="array" ref="BD45">SUM(W15:Y17*$AD$38:$AF$40)</f>
        <v>0</v>
      </c>
      <c r="BE45" s="1">
        <f t="array" ref="BE45">SUM(X15:Z17*$AD$38:$AF$40)</f>
        <v>0</v>
      </c>
      <c r="BF45" s="1">
        <f t="array" ref="BF45">SUM(Y15:AA17*$AD$38:$AF$40)</f>
        <v>0</v>
      </c>
      <c r="BG45" s="1">
        <f t="array" ref="BG45">SUM(Z15:AB17*$AD$38:$AF$40)</f>
        <v>0</v>
      </c>
      <c r="BH45" s="79"/>
      <c r="BI45" s="79"/>
      <c r="BJ45" s="79"/>
      <c r="BK45" s="1">
        <f t="shared" si="200"/>
        <v>0</v>
      </c>
      <c r="BL45" s="1">
        <f t="shared" si="200"/>
        <v>0</v>
      </c>
      <c r="BM45" s="1">
        <f t="shared" si="200"/>
        <v>0</v>
      </c>
      <c r="BN45" s="1">
        <f t="shared" si="200"/>
        <v>0</v>
      </c>
      <c r="BO45" s="1">
        <f t="shared" si="200"/>
        <v>0</v>
      </c>
      <c r="BP45" s="1">
        <f t="shared" si="200"/>
        <v>0</v>
      </c>
      <c r="BQ45" s="1">
        <f t="shared" si="200"/>
        <v>0</v>
      </c>
      <c r="BR45" s="1">
        <f t="shared" si="200"/>
        <v>0</v>
      </c>
      <c r="BS45" s="1">
        <f t="shared" si="200"/>
        <v>0</v>
      </c>
      <c r="BT45" s="1">
        <f t="shared" si="200"/>
        <v>0</v>
      </c>
      <c r="BU45" s="1">
        <f t="shared" si="200"/>
        <v>0</v>
      </c>
      <c r="BV45" s="1">
        <f t="shared" si="200"/>
        <v>0</v>
      </c>
      <c r="BW45" s="1">
        <f t="shared" si="200"/>
        <v>0</v>
      </c>
      <c r="BX45" s="1">
        <f t="shared" si="200"/>
        <v>0</v>
      </c>
      <c r="BY45" s="1">
        <f t="shared" si="200"/>
        <v>0</v>
      </c>
      <c r="BZ45" s="1">
        <f t="shared" si="200"/>
        <v>0</v>
      </c>
      <c r="CA45" s="1">
        <f t="shared" si="201"/>
        <v>0</v>
      </c>
      <c r="CB45" s="1">
        <f t="shared" si="201"/>
        <v>0</v>
      </c>
      <c r="CC45" s="1">
        <f t="shared" si="201"/>
        <v>0.12156862020492609</v>
      </c>
      <c r="CD45" s="1">
        <f t="shared" si="201"/>
        <v>1.8470589220523828</v>
      </c>
      <c r="CE45" s="1">
        <f t="shared" si="201"/>
        <v>2.8666668534278852</v>
      </c>
      <c r="CF45" s="1">
        <f t="shared" si="187"/>
        <v>1.141176551580428</v>
      </c>
      <c r="CG45" s="1">
        <f t="shared" si="187"/>
        <v>0</v>
      </c>
      <c r="CH45" s="1">
        <f t="shared" si="187"/>
        <v>0</v>
      </c>
      <c r="CI45" s="1">
        <f t="shared" si="187"/>
        <v>0</v>
      </c>
      <c r="CJ45" s="1">
        <f t="shared" si="187"/>
        <v>0</v>
      </c>
      <c r="DS45">
        <f t="array" ref="DS45">SUM(AH15:AJ17*$DO$38:$DQ$40)+SUM(AH44:AJ46*$DO$42:$DQ$44)</f>
        <v>0</v>
      </c>
      <c r="DT45">
        <f t="array" ref="DT45">SUM(AI15:AK17*$DO$38:$DQ$40)+SUM(AI44:AK46*$DO$42:$DQ$44)</f>
        <v>0</v>
      </c>
      <c r="DU45">
        <f t="array" ref="DU45">SUM(AJ15:AL17*$DO$38:$DQ$40)+SUM(AJ44:AL46*$DO$42:$DQ$44)</f>
        <v>0</v>
      </c>
      <c r="DV45">
        <f t="array" ref="DV45">SUM(AK15:AM17*$DO$38:$DQ$40)+SUM(AK44:AM46*$DO$42:$DQ$44)</f>
        <v>0</v>
      </c>
      <c r="DW45">
        <f t="array" ref="DW45">SUM(AL15:AN17*$DO$38:$DQ$40)+SUM(AL44:AN46*$DO$42:$DQ$44)</f>
        <v>0</v>
      </c>
      <c r="DX45">
        <f t="array" ref="DX45">SUM(AM15:AO17*$DO$38:$DQ$40)+SUM(AM44:AO46*$DO$42:$DQ$44)</f>
        <v>-0.39223143511665337</v>
      </c>
      <c r="DY45">
        <f t="array" ref="DY45">SUM(AN15:AP17*$DO$38:$DQ$40)+SUM(AN44:AP46*$DO$42:$DQ$44)</f>
        <v>-1.0159000546276515</v>
      </c>
      <c r="DZ45">
        <f t="array" ref="DZ45">SUM(AO15:AQ17*$DO$38:$DQ$40)+SUM(AO44:AQ46*$DO$42:$DQ$44)</f>
        <v>-2.3801128628274872</v>
      </c>
      <c r="EA45">
        <f t="array" ref="EA45">SUM(AP15:AR17*$DO$38:$DQ$40)+SUM(AP44:AR46*$DO$42:$DQ$44)</f>
        <v>-4.3343772670353911</v>
      </c>
      <c r="EB45">
        <f t="array" ref="EB45">SUM(AQ15:AS17*$DO$38:$DQ$40)+SUM(AQ44:AS46*$DO$42:$DQ$44)</f>
        <v>-6.5827207785665696</v>
      </c>
      <c r="EC45">
        <f t="array" ref="EC45">SUM(AR15:AT17*$DO$38:$DQ$40)+SUM(AR44:AT46*$DO$42:$DQ$44)</f>
        <v>-8.0714097772471529</v>
      </c>
      <c r="ED45">
        <f t="array" ref="ED45">SUM(AS15:AU17*$DO$38:$DQ$40)+SUM(AS44:AU46*$DO$42:$DQ$44)</f>
        <v>-8.8264754589994787</v>
      </c>
      <c r="EE45">
        <f t="array" ref="EE45">SUM(AT15:AV17*$DO$38:$DQ$40)+SUM(AT44:AV46*$DO$42:$DQ$44)</f>
        <v>-9.7352929465481086</v>
      </c>
      <c r="EF45">
        <f t="array" ref="EF45">SUM(AU15:AW17*$DO$38:$DQ$40)+SUM(AU44:AW46*$DO$42:$DQ$44)</f>
        <v>-10.542569825685657</v>
      </c>
      <c r="EG45">
        <f t="array" ref="EG45">SUM(AV15:AX17*$DO$38:$DQ$40)+SUM(AV44:AX46*$DO$42:$DQ$44)</f>
        <v>-11.546138992905554</v>
      </c>
      <c r="EH45">
        <f t="array" ref="EH45">SUM(AW15:AY17*$DO$38:$DQ$40)+SUM(AW44:AY46*$DO$42:$DQ$44)</f>
        <v>-10.072850208395943</v>
      </c>
      <c r="EI45">
        <f t="array" ref="EI45">SUM(AX15:AZ17*$DO$38:$DQ$40)+SUM(AX44:AZ46*$DO$42:$DQ$44)</f>
        <v>-6.3986270335842281</v>
      </c>
      <c r="EJ45">
        <f t="array" ref="EJ45">SUM(AY15:BA17*$DO$38:$DQ$40)+SUM(AY44:BA46*$DO$42:$DQ$44)</f>
        <v>0.40375102544544239</v>
      </c>
      <c r="EK45">
        <f t="array" ref="EK45">SUM(AZ15:BB17*$DO$38:$DQ$40)+SUM(AZ44:BB46*$DO$42:$DQ$44)</f>
        <v>6.6000794576532291</v>
      </c>
      <c r="EL45">
        <f t="array" ref="EL45">SUM(BA15:BC17*$DO$38:$DQ$40)+SUM(BA44:BC46*$DO$42:$DQ$44)</f>
        <v>6.5575027995215436</v>
      </c>
      <c r="EM45">
        <f t="array" ref="EM45">SUM(BB15:BD17*$DO$38:$DQ$40)+SUM(BB44:BD46*$DO$42:$DQ$44)</f>
        <v>4.8234357194206989</v>
      </c>
      <c r="EN45">
        <f t="array" ref="EN45">SUM(BC15:BE17*$DO$38:$DQ$40)+SUM(BC44:BE46*$DO$42:$DQ$44)</f>
        <v>0.68638203536552</v>
      </c>
      <c r="EO45">
        <f t="array" ref="EO45">SUM(BD15:BF17*$DO$38:$DQ$40)+SUM(BD44:BF46*$DO$42:$DQ$44)</f>
        <v>0</v>
      </c>
      <c r="EP45">
        <f t="array" ref="EP45">SUM(BE15:BG17*$DO$38:$DQ$40)+SUM(BE44:BG46*$DO$42:$DQ$44)</f>
        <v>0</v>
      </c>
      <c r="ES45" s="127">
        <f t="shared" ref="ES45" si="214">MAX(DS45:DT46)</f>
        <v>0</v>
      </c>
      <c r="ET45" s="127"/>
      <c r="EU45" s="127">
        <f t="shared" ref="EU45" si="215">MAX(DU45:DV46)</f>
        <v>0</v>
      </c>
      <c r="EV45" s="127"/>
      <c r="EW45" s="127">
        <f t="shared" ref="EW45" si="216">MAX(DW45:DX46)</f>
        <v>0</v>
      </c>
      <c r="EX45" s="127"/>
      <c r="EY45" s="127">
        <f t="shared" ref="EY45" si="217">MAX(DY45:DZ46)</f>
        <v>-1.0159000546276515</v>
      </c>
      <c r="EZ45" s="127"/>
      <c r="FA45" s="127">
        <f t="shared" ref="FA45" si="218">MAX(EA45:EB46)</f>
        <v>-4.3343772670353911</v>
      </c>
      <c r="FB45" s="127"/>
      <c r="FC45" s="127">
        <f t="shared" ref="FC45" si="219">MAX(EC45:ED46)</f>
        <v>-7.7598980860035862</v>
      </c>
      <c r="FD45" s="127"/>
      <c r="FE45" s="127">
        <f t="shared" ref="FE45" si="220">MAX(EE45:EF46)</f>
        <v>-3.8035336979123833</v>
      </c>
      <c r="FF45" s="127"/>
      <c r="FG45" s="127">
        <f t="shared" ref="FG45" si="221">MAX(EG45:EH46)</f>
        <v>-2.8911977522634911</v>
      </c>
      <c r="FH45" s="127"/>
      <c r="FI45" s="127">
        <f t="shared" ref="FI45" si="222">MAX(EI45:EJ46)</f>
        <v>1.9652095566143863</v>
      </c>
      <c r="FJ45" s="127"/>
      <c r="FK45" s="127">
        <f t="shared" ref="FK45" si="223">MAX(EK45:EL46)</f>
        <v>8.2775309540197437</v>
      </c>
      <c r="FL45" s="127"/>
      <c r="FM45" s="127">
        <f t="shared" ref="FM45" si="224">MAX(EM45:EN46)</f>
        <v>6.8730109311132805</v>
      </c>
      <c r="FN45" s="127"/>
      <c r="FO45" s="127">
        <f t="shared" ref="FO45" si="225">MAX(EO45:EP46)</f>
        <v>0</v>
      </c>
      <c r="FP45" s="127"/>
      <c r="FT45">
        <v>0.95067552774089892</v>
      </c>
      <c r="FV45">
        <v>0.81609060866601468</v>
      </c>
      <c r="FX45">
        <v>0.62983613370886016</v>
      </c>
      <c r="FZ45">
        <v>0.24683400229492869</v>
      </c>
      <c r="GB45">
        <v>0.98631416513884862</v>
      </c>
      <c r="GD45">
        <v>0.3524372813256802</v>
      </c>
      <c r="GF45">
        <v>0.97153960107621762</v>
      </c>
      <c r="GH45">
        <v>0.99490026665824849</v>
      </c>
      <c r="GJ45">
        <v>3.6715811184512281E-3</v>
      </c>
      <c r="GL45">
        <v>0.20353961351428596</v>
      </c>
      <c r="GN45">
        <v>0.72125898805680633</v>
      </c>
      <c r="GP45">
        <v>0.22348484303550786</v>
      </c>
      <c r="GR45">
        <v>0.86678537201906625</v>
      </c>
    </row>
    <row r="46" spans="1:200" ht="27.75" customHeight="1" x14ac:dyDescent="0.2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1">
        <f t="array" ref="AH46">SUM(A16:C18*$AD$38:$AF$40)</f>
        <v>0</v>
      </c>
      <c r="AI46" s="1">
        <f t="array" ref="AI46">SUM(B16:D18*$AD$38:$AF$40)</f>
        <v>0</v>
      </c>
      <c r="AJ46" s="1">
        <f t="array" ref="AJ46">SUM(C16:E18*$AD$38:$AF$40)</f>
        <v>0</v>
      </c>
      <c r="AK46" s="1">
        <f t="array" ref="AK46">SUM(D16:F18*$AD$38:$AF$40)</f>
        <v>0</v>
      </c>
      <c r="AL46" s="1">
        <f t="array" ref="AL46">SUM(E16:G18*$AD$38:$AF$40)</f>
        <v>0</v>
      </c>
      <c r="AM46" s="1">
        <f t="array" ref="AM46">SUM(F16:H18*$AD$38:$AF$40)</f>
        <v>0</v>
      </c>
      <c r="AN46" s="1">
        <f t="array" ref="AN46">SUM(G16:I18*$AD$38:$AF$40)</f>
        <v>0</v>
      </c>
      <c r="AO46" s="1">
        <f t="array" ref="AO46">SUM(H16:J18*$AD$38:$AF$40)</f>
        <v>-0.266666680574417</v>
      </c>
      <c r="AP46" s="1">
        <f t="array" ref="AP46">SUM(I16:K18*$AD$38:$AF$40)</f>
        <v>-0.46666669845580999</v>
      </c>
      <c r="AQ46" s="1">
        <f t="array" ref="AQ46">SUM(J16:L18*$AD$38:$AF$40)</f>
        <v>-0.69411770999431599</v>
      </c>
      <c r="AR46" s="1">
        <f t="array" ref="AR46">SUM(K16:M18*$AD$38:$AF$40)</f>
        <v>-0.98823535442352195</v>
      </c>
      <c r="AS46" s="1">
        <f t="array" ref="AS46">SUM(L16:N18*$AD$38:$AF$40)</f>
        <v>-0.92941181361675196</v>
      </c>
      <c r="AT46" s="1">
        <f t="array" ref="AT46">SUM(M16:O18*$AD$38:$AF$40)</f>
        <v>-0.43529415130615301</v>
      </c>
      <c r="AU46" s="1">
        <f t="array" ref="AU46">SUM(N16:P18*$AD$38:$AF$40)</f>
        <v>0</v>
      </c>
      <c r="AV46" s="1">
        <f t="array" ref="AV46">SUM(O16:Q18*$AD$38:$AF$40)</f>
        <v>-0.51372551918029696</v>
      </c>
      <c r="AW46" s="1">
        <f t="array" ref="AW46">SUM(P16:R18*$AD$38:$AF$40)</f>
        <v>-0.71764707565307595</v>
      </c>
      <c r="AX46" s="1">
        <f t="array" ref="AX46">SUM(Q16:S18*$AD$38:$AF$40)</f>
        <v>-0.58431375026702892</v>
      </c>
      <c r="AY46" s="1">
        <f t="array" ref="AY46">SUM(R16:T18*$AD$38:$AF$40)</f>
        <v>-0.38039219379424993</v>
      </c>
      <c r="AZ46" s="1">
        <f t="array" ref="AZ46">SUM(S16:U18*$AD$38:$AF$40)</f>
        <v>4.3137252330779918E-2</v>
      </c>
      <c r="BA46" s="1">
        <f t="array" ref="BA46">SUM(T16:V18*$AD$38:$AF$40)</f>
        <v>1.290196150541306</v>
      </c>
      <c r="BB46" s="1">
        <f t="array" ref="BB46">SUM(U16:W18*$AD$38:$AF$40)</f>
        <v>2.9450982213020311</v>
      </c>
      <c r="BC46" s="1">
        <f t="array" ref="BC46">SUM(V16:X18*$AD$38:$AF$40)</f>
        <v>1.698039323091505</v>
      </c>
      <c r="BD46" s="1">
        <f t="array" ref="BD46">SUM(W16:Y18*$AD$38:$AF$40)</f>
        <v>0</v>
      </c>
      <c r="BE46" s="1">
        <f t="array" ref="BE46">SUM(X16:Z18*$AD$38:$AF$40)</f>
        <v>0</v>
      </c>
      <c r="BF46" s="1">
        <f t="array" ref="BF46">SUM(Y16:AA18*$AD$38:$AF$40)</f>
        <v>0</v>
      </c>
      <c r="BG46" s="1">
        <f t="array" ref="BG46">SUM(Z16:AB18*$AD$38:$AF$40)</f>
        <v>0</v>
      </c>
      <c r="BH46" s="79"/>
      <c r="BI46" s="79"/>
      <c r="BJ46" s="79"/>
      <c r="BK46" s="1">
        <f t="shared" si="200"/>
        <v>0</v>
      </c>
      <c r="BL46" s="1">
        <f t="shared" si="200"/>
        <v>0</v>
      </c>
      <c r="BM46" s="1">
        <f t="shared" si="200"/>
        <v>0</v>
      </c>
      <c r="BN46" s="1">
        <f t="shared" si="200"/>
        <v>0</v>
      </c>
      <c r="BO46" s="1">
        <f t="shared" si="200"/>
        <v>0</v>
      </c>
      <c r="BP46" s="1">
        <f t="shared" si="200"/>
        <v>0</v>
      </c>
      <c r="BQ46" s="1">
        <f t="shared" si="200"/>
        <v>0</v>
      </c>
      <c r="BR46" s="1">
        <f t="shared" si="200"/>
        <v>0</v>
      </c>
      <c r="BS46" s="1">
        <f t="shared" si="200"/>
        <v>0</v>
      </c>
      <c r="BT46" s="1">
        <f t="shared" si="200"/>
        <v>0</v>
      </c>
      <c r="BU46" s="1">
        <f t="shared" si="200"/>
        <v>0</v>
      </c>
      <c r="BV46" s="1">
        <f t="shared" si="200"/>
        <v>0</v>
      </c>
      <c r="BW46" s="1">
        <f t="shared" si="200"/>
        <v>0</v>
      </c>
      <c r="BX46" s="1">
        <f t="shared" si="200"/>
        <v>0</v>
      </c>
      <c r="BY46" s="1">
        <f t="shared" si="200"/>
        <v>0</v>
      </c>
      <c r="BZ46" s="1">
        <f t="shared" si="200"/>
        <v>0</v>
      </c>
      <c r="CA46" s="1">
        <f t="shared" si="201"/>
        <v>0</v>
      </c>
      <c r="CB46" s="1">
        <f t="shared" si="201"/>
        <v>0</v>
      </c>
      <c r="CC46" s="1">
        <f t="shared" si="201"/>
        <v>4.3137252330779918E-2</v>
      </c>
      <c r="CD46" s="1">
        <f t="shared" si="201"/>
        <v>1.290196150541306</v>
      </c>
      <c r="CE46" s="1">
        <f t="shared" si="201"/>
        <v>2.9450982213020311</v>
      </c>
      <c r="CF46" s="1">
        <f t="shared" si="187"/>
        <v>1.698039323091505</v>
      </c>
      <c r="CG46" s="1">
        <f t="shared" si="187"/>
        <v>0</v>
      </c>
      <c r="CH46" s="1">
        <f t="shared" si="187"/>
        <v>0</v>
      </c>
      <c r="CI46" s="1">
        <f t="shared" si="187"/>
        <v>0</v>
      </c>
      <c r="CJ46" s="1">
        <f t="shared" si="187"/>
        <v>0</v>
      </c>
      <c r="DS46">
        <f t="array" ref="DS46">SUM(AH16:AJ18*$DO$38:$DQ$40)+SUM(AH45:AJ47*$DO$42:$DQ$44)</f>
        <v>0</v>
      </c>
      <c r="DT46">
        <f t="array" ref="DT46">SUM(AI16:AK18*$DO$38:$DQ$40)+SUM(AI45:AK47*$DO$42:$DQ$44)</f>
        <v>0</v>
      </c>
      <c r="DU46">
        <f t="array" ref="DU46">SUM(AJ16:AL18*$DO$38:$DQ$40)+SUM(AJ45:AL47*$DO$42:$DQ$44)</f>
        <v>0</v>
      </c>
      <c r="DV46">
        <f t="array" ref="DV46">SUM(AK16:AM18*$DO$38:$DQ$40)+SUM(AK45:AM47*$DO$42:$DQ$44)</f>
        <v>-0.21342004364426931</v>
      </c>
      <c r="DW46">
        <f t="array" ref="DW46">SUM(AL16:AN18*$DO$38:$DQ$40)+SUM(AL45:AN47*$DO$42:$DQ$44)</f>
        <v>-1.2579204737159815</v>
      </c>
      <c r="DX46">
        <f t="array" ref="DX46">SUM(AM16:AO18*$DO$38:$DQ$40)+SUM(AM45:AO47*$DO$42:$DQ$44)</f>
        <v>-2.9867702248997805</v>
      </c>
      <c r="DY46">
        <f t="array" ref="DY46">SUM(AN16:AP18*$DO$38:$DQ$40)+SUM(AN45:AP47*$DO$42:$DQ$44)</f>
        <v>-4.8937434486368705</v>
      </c>
      <c r="DZ46">
        <f t="array" ref="DZ46">SUM(AO16:AQ18*$DO$38:$DQ$40)+SUM(AO45:AQ47*$DO$42:$DQ$44)</f>
        <v>-7.2647472691650243</v>
      </c>
      <c r="EA46">
        <f t="array" ref="EA46">SUM(AP16:AR18*$DO$38:$DQ$40)+SUM(AP45:AR47*$DO$42:$DQ$44)</f>
        <v>-9.4839347845268787</v>
      </c>
      <c r="EB46">
        <f t="array" ref="EB46">SUM(AQ16:AS18*$DO$38:$DQ$40)+SUM(AQ45:AS47*$DO$42:$DQ$44)</f>
        <v>-10.567683123751372</v>
      </c>
      <c r="EC46">
        <f t="array" ref="EC46">SUM(AR16:AT18*$DO$38:$DQ$40)+SUM(AR45:AT47*$DO$42:$DQ$44)</f>
        <v>-9.8111148351370367</v>
      </c>
      <c r="ED46">
        <f t="array" ref="ED46">SUM(AS16:AU18*$DO$38:$DQ$40)+SUM(AS45:AU47*$DO$42:$DQ$44)</f>
        <v>-7.7598980860035862</v>
      </c>
      <c r="EE46">
        <f t="array" ref="EE46">SUM(AT16:AV18*$DO$38:$DQ$40)+SUM(AT45:AV47*$DO$42:$DQ$44)</f>
        <v>-5.463853711286891</v>
      </c>
      <c r="EF46">
        <f t="array" ref="EF46">SUM(AU16:AW18*$DO$38:$DQ$40)+SUM(AU45:AW47*$DO$42:$DQ$44)</f>
        <v>-3.8035336979123833</v>
      </c>
      <c r="EG46">
        <f t="array" ref="EG46">SUM(AV16:AX18*$DO$38:$DQ$40)+SUM(AV45:AX47*$DO$42:$DQ$44)</f>
        <v>-3.9306511871026748</v>
      </c>
      <c r="EH46">
        <f t="array" ref="EH46">SUM(AW16:AY18*$DO$38:$DQ$40)+SUM(AW45:AY47*$DO$42:$DQ$44)</f>
        <v>-2.8911977522634911</v>
      </c>
      <c r="EI46">
        <f t="array" ref="EI46">SUM(AX16:AZ18*$DO$38:$DQ$40)+SUM(AX45:AZ47*$DO$42:$DQ$44)</f>
        <v>-1.2200856946183429</v>
      </c>
      <c r="EJ46">
        <f t="array" ref="EJ46">SUM(AY16:BA18*$DO$38:$DQ$40)+SUM(AY45:BA47*$DO$42:$DQ$44)</f>
        <v>1.9652095566143863</v>
      </c>
      <c r="EK46">
        <f t="array" ref="EK46">SUM(AZ16:BB18*$DO$38:$DQ$40)+SUM(AZ45:BB47*$DO$42:$DQ$44)</f>
        <v>6.9621486647435384</v>
      </c>
      <c r="EL46">
        <f t="array" ref="EL46">SUM(BA16:BC18*$DO$38:$DQ$40)+SUM(BA45:BC47*$DO$42:$DQ$44)</f>
        <v>8.2775309540197437</v>
      </c>
      <c r="EM46">
        <f t="array" ref="EM46">SUM(BB16:BD18*$DO$38:$DQ$40)+SUM(BB45:BD47*$DO$42:$DQ$44)</f>
        <v>6.8730109311132805</v>
      </c>
      <c r="EN46">
        <f t="array" ref="EN46">SUM(BC16:BE18*$DO$38:$DQ$40)+SUM(BC45:BE47*$DO$42:$DQ$44)</f>
        <v>3.0983574465719186</v>
      </c>
      <c r="EO46">
        <f t="array" ref="EO46">SUM(BD16:BF18*$DO$38:$DQ$40)+SUM(BD45:BF47*$DO$42:$DQ$44)</f>
        <v>0</v>
      </c>
      <c r="EP46">
        <f t="array" ref="EP46">SUM(BE16:BG18*$DO$38:$DQ$40)+SUM(BE45:BG47*$DO$42:$DQ$44)</f>
        <v>0</v>
      </c>
      <c r="ES46" s="127"/>
      <c r="ET46" s="127"/>
      <c r="EU46" s="127"/>
      <c r="EV46" s="127"/>
      <c r="EW46" s="127"/>
      <c r="EX46" s="127"/>
      <c r="EY46" s="127"/>
      <c r="EZ46" s="127"/>
      <c r="FA46" s="127"/>
      <c r="FB46" s="127"/>
      <c r="FC46" s="127"/>
      <c r="FD46" s="127"/>
      <c r="FE46" s="127"/>
      <c r="FF46" s="127"/>
      <c r="FG46" s="127"/>
      <c r="FH46" s="127"/>
      <c r="FI46" s="127"/>
      <c r="FJ46" s="127"/>
      <c r="FK46" s="127"/>
      <c r="FL46" s="127"/>
      <c r="FM46" s="127"/>
      <c r="FN46" s="127"/>
      <c r="FO46" s="127"/>
      <c r="FP46" s="127"/>
    </row>
    <row r="47" spans="1:200" ht="27.75" customHeight="1" x14ac:dyDescent="0.25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1">
        <f t="array" ref="AH47">SUM(A17:C19*$AD$38:$AF$40)</f>
        <v>0</v>
      </c>
      <c r="AI47" s="1">
        <f t="array" ref="AI47">SUM(B17:D19*$AD$38:$AF$40)</f>
        <v>0</v>
      </c>
      <c r="AJ47" s="1">
        <f t="array" ref="AJ47">SUM(C17:E19*$AD$38:$AF$40)</f>
        <v>0</v>
      </c>
      <c r="AK47" s="1">
        <f t="array" ref="AK47">SUM(D17:F19*$AD$38:$AF$40)</f>
        <v>0</v>
      </c>
      <c r="AL47" s="1">
        <f t="array" ref="AL47">SUM(E17:G19*$AD$38:$AF$40)</f>
        <v>0</v>
      </c>
      <c r="AM47" s="1">
        <f t="array" ref="AM47">SUM(F17:H19*$AD$38:$AF$40)</f>
        <v>-0.14509804546832999</v>
      </c>
      <c r="AN47" s="1">
        <f t="array" ref="AN47">SUM(G17:I19*$AD$38:$AF$40)</f>
        <v>-0.73333334922790505</v>
      </c>
      <c r="AO47" s="1">
        <f t="array" ref="AO47">SUM(H17:J19*$AD$38:$AF$40)</f>
        <v>-1.113725557923317</v>
      </c>
      <c r="AP47" s="1">
        <f t="array" ref="AP47">SUM(I17:K19*$AD$38:$AF$40)</f>
        <v>-0.72941184043884189</v>
      </c>
      <c r="AQ47" s="1">
        <f t="array" ref="AQ47">SUM(J17:L19*$AD$38:$AF$40)</f>
        <v>-0.69803927838802293</v>
      </c>
      <c r="AR47" s="1">
        <f t="array" ref="AR47">SUM(K17:M19*$AD$38:$AF$40)</f>
        <v>-0.98823535442352195</v>
      </c>
      <c r="AS47" s="1">
        <f t="array" ref="AS47">SUM(L17:N19*$AD$38:$AF$40)</f>
        <v>-0.80784319341182598</v>
      </c>
      <c r="AT47" s="1">
        <f t="array" ref="AT47">SUM(M17:O19*$AD$38:$AF$40)</f>
        <v>-0.24705886840820401</v>
      </c>
      <c r="AU47" s="1">
        <f t="array" ref="AU47">SUM(N17:P19*$AD$38:$AF$40)</f>
        <v>6.6666662693023016E-2</v>
      </c>
      <c r="AV47" s="1">
        <f t="array" ref="AV47">SUM(O17:Q19*$AD$38:$AF$40)</f>
        <v>0.41568633913993797</v>
      </c>
      <c r="AW47" s="1">
        <f t="array" ref="AW47">SUM(P17:R19*$AD$38:$AF$40)</f>
        <v>0.43921574950218201</v>
      </c>
      <c r="AX47" s="1">
        <f t="array" ref="AX47">SUM(Q17:S19*$AD$38:$AF$40)</f>
        <v>-0.55294123291969188</v>
      </c>
      <c r="AY47" s="1">
        <f t="array" ref="AY47">SUM(R17:T19*$AD$38:$AF$40)</f>
        <v>-0.72941181063651994</v>
      </c>
      <c r="AZ47" s="1">
        <f t="array" ref="AZ47">SUM(S17:U19*$AD$38:$AF$40)</f>
        <v>-0.15294116735458396</v>
      </c>
      <c r="BA47" s="1">
        <f t="array" ref="BA47">SUM(T17:V19*$AD$38:$AF$40)</f>
        <v>1.0313726067543039</v>
      </c>
      <c r="BB47" s="1">
        <f t="array" ref="BB47">SUM(U17:W19*$AD$38:$AF$40)</f>
        <v>2.9882354736328107</v>
      </c>
      <c r="BC47" s="1">
        <f t="array" ref="BC47">SUM(V17:X19*$AD$38:$AF$40)</f>
        <v>1.9568628668785069</v>
      </c>
      <c r="BD47" s="1">
        <f t="array" ref="BD47">SUM(W17:Y19*$AD$38:$AF$40)</f>
        <v>0</v>
      </c>
      <c r="BE47" s="1">
        <f t="array" ref="BE47">SUM(X17:Z19*$AD$38:$AF$40)</f>
        <v>0</v>
      </c>
      <c r="BF47" s="1">
        <f t="array" ref="BF47">SUM(Y17:AA19*$AD$38:$AF$40)</f>
        <v>0</v>
      </c>
      <c r="BG47" s="1">
        <f t="array" ref="BG47">SUM(Z17:AB19*$AD$38:$AF$40)</f>
        <v>0</v>
      </c>
      <c r="BH47" s="79"/>
      <c r="BI47" s="79"/>
      <c r="BJ47" s="79"/>
      <c r="BK47" s="1">
        <f t="shared" si="200"/>
        <v>0</v>
      </c>
      <c r="BL47" s="1">
        <f t="shared" si="200"/>
        <v>0</v>
      </c>
      <c r="BM47" s="1">
        <f t="shared" si="200"/>
        <v>0</v>
      </c>
      <c r="BN47" s="1">
        <f t="shared" si="200"/>
        <v>0</v>
      </c>
      <c r="BO47" s="1">
        <f t="shared" si="200"/>
        <v>0</v>
      </c>
      <c r="BP47" s="1">
        <f t="shared" si="200"/>
        <v>0</v>
      </c>
      <c r="BQ47" s="1">
        <f t="shared" si="200"/>
        <v>0</v>
      </c>
      <c r="BR47" s="1">
        <f t="shared" si="200"/>
        <v>0</v>
      </c>
      <c r="BS47" s="1">
        <f t="shared" si="200"/>
        <v>0</v>
      </c>
      <c r="BT47" s="1">
        <f t="shared" si="200"/>
        <v>0</v>
      </c>
      <c r="BU47" s="1">
        <f t="shared" si="200"/>
        <v>0</v>
      </c>
      <c r="BV47" s="1">
        <f t="shared" si="200"/>
        <v>0</v>
      </c>
      <c r="BW47" s="1">
        <f t="shared" si="200"/>
        <v>0</v>
      </c>
      <c r="BX47" s="1">
        <f t="shared" si="200"/>
        <v>6.6666662693023016E-2</v>
      </c>
      <c r="BY47" s="1">
        <f t="shared" si="200"/>
        <v>0.41568633913993797</v>
      </c>
      <c r="BZ47" s="1">
        <f t="shared" si="200"/>
        <v>0.43921574950218201</v>
      </c>
      <c r="CA47" s="1">
        <f t="shared" si="201"/>
        <v>0</v>
      </c>
      <c r="CB47" s="1">
        <f t="shared" si="201"/>
        <v>0</v>
      </c>
      <c r="CC47" s="1">
        <f t="shared" si="201"/>
        <v>0</v>
      </c>
      <c r="CD47" s="1">
        <f t="shared" si="201"/>
        <v>1.0313726067543039</v>
      </c>
      <c r="CE47" s="1">
        <f t="shared" si="201"/>
        <v>2.9882354736328107</v>
      </c>
      <c r="CF47" s="1">
        <f t="shared" si="187"/>
        <v>1.9568628668785069</v>
      </c>
      <c r="CG47" s="1">
        <f t="shared" si="187"/>
        <v>0</v>
      </c>
      <c r="CH47" s="1">
        <f t="shared" si="187"/>
        <v>0</v>
      </c>
      <c r="CI47" s="1">
        <f t="shared" si="187"/>
        <v>0</v>
      </c>
      <c r="CJ47" s="1">
        <f t="shared" si="187"/>
        <v>0</v>
      </c>
      <c r="DS47">
        <f t="array" ref="DS47">SUM(AH17:AJ19*$DO$38:$DQ$40)+SUM(AH46:AJ48*$DO$42:$DQ$44)</f>
        <v>0</v>
      </c>
      <c r="DT47">
        <f t="array" ref="DT47">SUM(AI17:AK19*$DO$38:$DQ$40)+SUM(AI46:AK48*$DO$42:$DQ$44)</f>
        <v>0</v>
      </c>
      <c r="DU47">
        <f t="array" ref="DU47">SUM(AJ17:AL19*$DO$38:$DQ$40)+SUM(AJ46:AL48*$DO$42:$DQ$44)</f>
        <v>-0.65179637024107528</v>
      </c>
      <c r="DV47">
        <f t="array" ref="DV47">SUM(AK17:AM19*$DO$38:$DQ$40)+SUM(AK46:AM48*$DO$42:$DQ$44)</f>
        <v>-2.0355528764118076</v>
      </c>
      <c r="DW47">
        <f t="array" ref="DW47">SUM(AL17:AN19*$DO$38:$DQ$40)+SUM(AL46:AN48*$DO$42:$DQ$44)</f>
        <v>-4.4325231821047124</v>
      </c>
      <c r="DX47">
        <f t="array" ref="DX47">SUM(AM17:AO19*$DO$38:$DQ$40)+SUM(AM46:AO48*$DO$42:$DQ$44)</f>
        <v>-7.2196549343104746</v>
      </c>
      <c r="DY47">
        <f t="array" ref="DY47">SUM(AN17:AP19*$DO$38:$DQ$40)+SUM(AN46:AP48*$DO$42:$DQ$44)</f>
        <v>-9.2397674451922853</v>
      </c>
      <c r="DZ47">
        <f t="array" ref="DZ47">SUM(AO17:AQ19*$DO$38:$DQ$40)+SUM(AO46:AQ48*$DO$42:$DQ$44)</f>
        <v>-9.650328674511222</v>
      </c>
      <c r="EA47">
        <f t="array" ref="EA47">SUM(AP17:AR19*$DO$38:$DQ$40)+SUM(AP46:AR48*$DO$42:$DQ$44)</f>
        <v>-8.6360969246374104</v>
      </c>
      <c r="EB47">
        <f t="array" ref="EB47">SUM(AQ17:AS19*$DO$38:$DQ$40)+SUM(AQ46:AS48*$DO$42:$DQ$44)</f>
        <v>-5.920749759400703</v>
      </c>
      <c r="EC47">
        <f t="array" ref="EC47">SUM(AR17:AT19*$DO$38:$DQ$40)+SUM(AR46:AT48*$DO$42:$DQ$44)</f>
        <v>-2.7872558676921639</v>
      </c>
      <c r="ED47">
        <f t="array" ref="ED47">SUM(AS17:AU19*$DO$38:$DQ$40)+SUM(AS46:AU48*$DO$42:$DQ$44)</f>
        <v>0.56154803769571582</v>
      </c>
      <c r="EE47">
        <f t="array" ref="EE47">SUM(AT17:AV19*$DO$38:$DQ$40)+SUM(AT46:AV48*$DO$42:$DQ$44)</f>
        <v>3.5097841303270507</v>
      </c>
      <c r="EF47">
        <f t="array" ref="EF47">SUM(AU17:AW19*$DO$38:$DQ$40)+SUM(AU46:AW48*$DO$42:$DQ$44)</f>
        <v>5.3939193455799197</v>
      </c>
      <c r="EG47">
        <f t="array" ref="EG47">SUM(AV17:AX19*$DO$38:$DQ$40)+SUM(AV46:AX48*$DO$42:$DQ$44)</f>
        <v>4.0654976562347631</v>
      </c>
      <c r="EH47">
        <f t="array" ref="EH47">SUM(AW17:AY19*$DO$38:$DQ$40)+SUM(AW46:AY48*$DO$42:$DQ$44)</f>
        <v>2.7700709086278352</v>
      </c>
      <c r="EI47">
        <f t="array" ref="EI47">SUM(AX17:AZ19*$DO$38:$DQ$40)+SUM(AX46:AZ48*$DO$42:$DQ$44)</f>
        <v>1.5516886892050503</v>
      </c>
      <c r="EJ47">
        <f t="array" ref="EJ47">SUM(AY17:BA19*$DO$38:$DQ$40)+SUM(AY46:BA48*$DO$42:$DQ$44)</f>
        <v>3.4837265879421024</v>
      </c>
      <c r="EK47">
        <f t="array" ref="EK47">SUM(AZ17:BB19*$DO$38:$DQ$40)+SUM(AZ46:BB48*$DO$42:$DQ$44)</f>
        <v>7.5754457782431146</v>
      </c>
      <c r="EL47">
        <f t="array" ref="EL47">SUM(BA17:BC19*$DO$38:$DQ$40)+SUM(BA46:BC48*$DO$42:$DQ$44)</f>
        <v>8.8137663139331153</v>
      </c>
      <c r="EM47">
        <f t="array" ref="EM47">SUM(BB17:BD19*$DO$38:$DQ$40)+SUM(BB46:BD48*$DO$42:$DQ$44)</f>
        <v>7.7856798164577583</v>
      </c>
      <c r="EN47">
        <f t="array" ref="EN47">SUM(BC17:BE19*$DO$38:$DQ$40)+SUM(BC46:BE48*$DO$42:$DQ$44)</f>
        <v>3.9767840539407344</v>
      </c>
      <c r="EO47">
        <f t="array" ref="EO47">SUM(BD17:BF19*$DO$38:$DQ$40)+SUM(BD46:BF48*$DO$42:$DQ$44)</f>
        <v>0</v>
      </c>
      <c r="EP47">
        <f t="array" ref="EP47">SUM(BE17:BG19*$DO$38:$DQ$40)+SUM(BE46:BG48*$DO$42:$DQ$44)</f>
        <v>0</v>
      </c>
      <c r="ES47" s="127">
        <f t="shared" ref="ES47" si="226">MAX(DS47:DT48)</f>
        <v>0</v>
      </c>
      <c r="ET47" s="127"/>
      <c r="EU47" s="127">
        <f t="shared" ref="EU47" si="227">MAX(DU47:DV48)</f>
        <v>-0.65179637024107528</v>
      </c>
      <c r="EV47" s="127"/>
      <c r="EW47" s="127">
        <f t="shared" ref="EW47" si="228">MAX(DW47:DX48)</f>
        <v>-4.4325231821047124</v>
      </c>
      <c r="EX47" s="127"/>
      <c r="EY47" s="127">
        <f t="shared" ref="EY47" si="229">MAX(DY47:DZ48)</f>
        <v>-3.6532814261529536</v>
      </c>
      <c r="EZ47" s="127"/>
      <c r="FA47" s="127">
        <f t="shared" ref="FA47" si="230">MAX(EA47:EB48)</f>
        <v>3.9857944254282627</v>
      </c>
      <c r="FB47" s="127"/>
      <c r="FC47" s="127">
        <f t="shared" ref="FC47" si="231">MAX(EC47:ED48)</f>
        <v>7.8296052811520509</v>
      </c>
      <c r="FD47" s="127"/>
      <c r="FE47" s="127">
        <f t="shared" ref="FE47" si="232">MAX(EE47:EF48)</f>
        <v>9.2934468333157483</v>
      </c>
      <c r="FF47" s="127"/>
      <c r="FG47" s="127">
        <f t="shared" ref="FG47" si="233">MAX(EG47:EH48)</f>
        <v>4.551063482655354</v>
      </c>
      <c r="FH47" s="127"/>
      <c r="FI47" s="127">
        <f t="shared" ref="FI47" si="234">MAX(EI47:EJ48)</f>
        <v>3.4837265879421024</v>
      </c>
      <c r="FJ47" s="127"/>
      <c r="FK47" s="127">
        <f t="shared" ref="FK47" si="235">MAX(EK47:EL48)</f>
        <v>9.4214902021862326</v>
      </c>
      <c r="FL47" s="127"/>
      <c r="FM47" s="127">
        <f t="shared" ref="FM47" si="236">MAX(EM47:EN48)</f>
        <v>7.7856798164577583</v>
      </c>
      <c r="FN47" s="127"/>
      <c r="FO47" s="127">
        <f t="shared" ref="FO47" si="237">MAX(EO47:EP48)</f>
        <v>0</v>
      </c>
      <c r="FP47" s="127"/>
      <c r="FT47">
        <v>0.23119629182279788</v>
      </c>
      <c r="FV47">
        <v>0.39432103028789178</v>
      </c>
      <c r="FX47">
        <v>0.97817037734523682</v>
      </c>
      <c r="FZ47">
        <v>0.91701295791408766</v>
      </c>
      <c r="GB47">
        <v>0.57085521296928221</v>
      </c>
      <c r="GD47">
        <v>0.97866763192477479</v>
      </c>
      <c r="GF47">
        <v>1.3060150590342934E-2</v>
      </c>
      <c r="GH47">
        <v>0.61154495250170027</v>
      </c>
      <c r="GJ47">
        <v>0.24089192402435722</v>
      </c>
      <c r="GL47">
        <v>0.23608705521859685</v>
      </c>
      <c r="GN47">
        <v>0.82357341554894092</v>
      </c>
      <c r="GP47">
        <v>0.57344604728700688</v>
      </c>
      <c r="GR47">
        <v>0.4757472817415962</v>
      </c>
    </row>
    <row r="48" spans="1:200" ht="27.75" customHeight="1" x14ac:dyDescent="0.2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1">
        <f t="array" ref="AH48">SUM(A18:C20*$AD$38:$AF$40)</f>
        <v>0</v>
      </c>
      <c r="AI48" s="1">
        <f t="array" ref="AI48">SUM(B18:D20*$AD$38:$AF$40)</f>
        <v>0</v>
      </c>
      <c r="AJ48" s="1">
        <f t="array" ref="AJ48">SUM(C18:E20*$AD$38:$AF$40)</f>
        <v>0</v>
      </c>
      <c r="AK48" s="1">
        <f t="array" ref="AK48">SUM(D18:F20*$AD$38:$AF$40)</f>
        <v>0</v>
      </c>
      <c r="AL48" s="1">
        <f t="array" ref="AL48">SUM(E18:G20*$AD$38:$AF$40)</f>
        <v>-0.44313728809356601</v>
      </c>
      <c r="AM48" s="1">
        <f t="array" ref="AM48">SUM(F18:H20*$AD$38:$AF$40)</f>
        <v>-1.0039216428995119</v>
      </c>
      <c r="AN48" s="1">
        <f t="array" ref="AN48">SUM(G18:I20*$AD$38:$AF$40)</f>
        <v>-1.2862745523452759</v>
      </c>
      <c r="AO48" s="1">
        <f t="array" ref="AO48">SUM(H18:J20*$AD$38:$AF$40)</f>
        <v>-1.203921630978585</v>
      </c>
      <c r="AP48" s="1">
        <f t="array" ref="AP48">SUM(I18:K20*$AD$38:$AF$40)</f>
        <v>-0.62352949380874589</v>
      </c>
      <c r="AQ48" s="1">
        <f t="array" ref="AQ48">SUM(J18:L20*$AD$38:$AF$40)</f>
        <v>-0.10196080803871099</v>
      </c>
      <c r="AR48" s="1">
        <f t="array" ref="AR48">SUM(K18:M20*$AD$38:$AF$40)</f>
        <v>1.1764734983444991E-2</v>
      </c>
      <c r="AS48" s="1">
        <f t="array" ref="AS48">SUM(L18:N20*$AD$38:$AF$40)</f>
        <v>0.31764708459377405</v>
      </c>
      <c r="AT48" s="1">
        <f t="array" ref="AT48">SUM(M18:O20*$AD$38:$AF$40)</f>
        <v>0.53725489974021801</v>
      </c>
      <c r="AU48" s="1">
        <f t="array" ref="AU48">SUM(N18:P20*$AD$38:$AF$40)</f>
        <v>0.18823529779910902</v>
      </c>
      <c r="AV48" s="1">
        <f t="array" ref="AV48">SUM(O18:Q20*$AD$38:$AF$40)</f>
        <v>0.51372554898262002</v>
      </c>
      <c r="AW48" s="1">
        <f t="array" ref="AW48">SUM(P18:R20*$AD$38:$AF$40)</f>
        <v>0.54117652773857094</v>
      </c>
      <c r="AX48" s="1">
        <f t="array" ref="AX48">SUM(Q18:S20*$AD$38:$AF$40)</f>
        <v>-1.333333462476729</v>
      </c>
      <c r="AY48" s="1">
        <f t="array" ref="AY48">SUM(R18:T20*$AD$38:$AF$40)</f>
        <v>-1.725490301847457</v>
      </c>
      <c r="AZ48" s="1">
        <f t="array" ref="AZ48">SUM(S18:U20*$AD$38:$AF$40)</f>
        <v>-0.31372547149658203</v>
      </c>
      <c r="BA48" s="1">
        <f t="array" ref="BA48">SUM(T18:V20*$AD$38:$AF$40)</f>
        <v>1.8117648214101798</v>
      </c>
      <c r="BB48" s="1">
        <f t="array" ref="BB48">SUM(U18:W20*$AD$38:$AF$40)</f>
        <v>2.9372550845146161</v>
      </c>
      <c r="BC48" s="1">
        <f t="array" ref="BC48">SUM(V18:X20*$AD$38:$AF$40)</f>
        <v>1.1764706522226311</v>
      </c>
      <c r="BD48" s="1">
        <f t="array" ref="BD48">SUM(W18:Y20*$AD$38:$AF$40)</f>
        <v>0</v>
      </c>
      <c r="BE48" s="1">
        <f t="array" ref="BE48">SUM(X18:Z20*$AD$38:$AF$40)</f>
        <v>0</v>
      </c>
      <c r="BF48" s="1">
        <f t="array" ref="BF48">SUM(Y18:AA20*$AD$38:$AF$40)</f>
        <v>0</v>
      </c>
      <c r="BG48" s="1">
        <f t="array" ref="BG48">SUM(Z18:AB20*$AD$38:$AF$40)</f>
        <v>0</v>
      </c>
      <c r="BH48" s="79"/>
      <c r="BI48" s="79"/>
      <c r="BJ48" s="79"/>
      <c r="BK48" s="1">
        <f t="shared" si="200"/>
        <v>0</v>
      </c>
      <c r="BL48" s="1">
        <f t="shared" si="200"/>
        <v>0</v>
      </c>
      <c r="BM48" s="1">
        <f t="shared" si="200"/>
        <v>0</v>
      </c>
      <c r="BN48" s="1">
        <f t="shared" si="200"/>
        <v>0</v>
      </c>
      <c r="BO48" s="1">
        <f t="shared" si="200"/>
        <v>0</v>
      </c>
      <c r="BP48" s="1">
        <f t="shared" si="200"/>
        <v>0</v>
      </c>
      <c r="BQ48" s="1">
        <f t="shared" si="200"/>
        <v>0</v>
      </c>
      <c r="BR48" s="1">
        <f t="shared" si="200"/>
        <v>0</v>
      </c>
      <c r="BS48" s="1">
        <f t="shared" si="200"/>
        <v>0</v>
      </c>
      <c r="BT48" s="1">
        <f t="shared" si="200"/>
        <v>0</v>
      </c>
      <c r="BU48" s="1">
        <f t="shared" si="200"/>
        <v>1.1764734983444991E-2</v>
      </c>
      <c r="BV48" s="1">
        <f t="shared" si="200"/>
        <v>0.31764708459377405</v>
      </c>
      <c r="BW48" s="1">
        <f t="shared" si="200"/>
        <v>0.53725489974021801</v>
      </c>
      <c r="BX48" s="1">
        <f t="shared" si="200"/>
        <v>0.18823529779910902</v>
      </c>
      <c r="BY48" s="1">
        <f t="shared" si="200"/>
        <v>0.51372554898262002</v>
      </c>
      <c r="BZ48" s="1">
        <f t="shared" si="200"/>
        <v>0.54117652773857094</v>
      </c>
      <c r="CA48" s="1">
        <f t="shared" si="201"/>
        <v>0</v>
      </c>
      <c r="CB48" s="1">
        <f t="shared" si="201"/>
        <v>0</v>
      </c>
      <c r="CC48" s="1">
        <f t="shared" si="201"/>
        <v>0</v>
      </c>
      <c r="CD48" s="1">
        <f t="shared" si="201"/>
        <v>1.8117648214101798</v>
      </c>
      <c r="CE48" s="1">
        <f t="shared" si="201"/>
        <v>2.9372550845146161</v>
      </c>
      <c r="CF48" s="1">
        <f t="shared" si="187"/>
        <v>1.1764706522226311</v>
      </c>
      <c r="CG48" s="1">
        <f t="shared" si="187"/>
        <v>0</v>
      </c>
      <c r="CH48" s="1">
        <f t="shared" si="187"/>
        <v>0</v>
      </c>
      <c r="CI48" s="1">
        <f t="shared" si="187"/>
        <v>0</v>
      </c>
      <c r="CJ48" s="1">
        <f t="shared" si="187"/>
        <v>0</v>
      </c>
      <c r="DS48">
        <f t="array" ref="DS48">SUM(AH18:AJ20*$DO$38:$DQ$40)+SUM(AH47:AJ49*$DO$42:$DQ$44)</f>
        <v>0</v>
      </c>
      <c r="DT48">
        <f t="array" ref="DT48">SUM(AI18:AK20*$DO$38:$DQ$40)+SUM(AI47:AK49*$DO$42:$DQ$44)</f>
        <v>0</v>
      </c>
      <c r="DU48">
        <f t="array" ref="DU48">SUM(AJ18:AL20*$DO$38:$DQ$40)+SUM(AJ47:AL49*$DO$42:$DQ$44)</f>
        <v>-1.6613424952852716</v>
      </c>
      <c r="DV48">
        <f t="array" ref="DV48">SUM(AK18:AM20*$DO$38:$DQ$40)+SUM(AK47:AM49*$DO$42:$DQ$44)</f>
        <v>-4.2954658083130566</v>
      </c>
      <c r="DW48">
        <f t="array" ref="DW48">SUM(AL18:AN20*$DO$38:$DQ$40)+SUM(AL47:AN49*$DO$42:$DQ$44)</f>
        <v>-7.2464766809271977</v>
      </c>
      <c r="DX48">
        <f t="array" ref="DX48">SUM(AM18:AO20*$DO$38:$DQ$40)+SUM(AM47:AO49*$DO$42:$DQ$44)</f>
        <v>-8.6855109322328552</v>
      </c>
      <c r="DY48">
        <f t="array" ref="DY48">SUM(AN18:AP20*$DO$38:$DQ$40)+SUM(AN47:AP49*$DO$42:$DQ$44)</f>
        <v>-7.2439255208813016</v>
      </c>
      <c r="DZ48">
        <f t="array" ref="DZ48">SUM(AO18:AQ20*$DO$38:$DQ$40)+SUM(AO47:AQ49*$DO$42:$DQ$44)</f>
        <v>-3.6532814261529536</v>
      </c>
      <c r="EA48">
        <f t="array" ref="EA48">SUM(AP18:AR20*$DO$38:$DQ$40)+SUM(AP47:AR49*$DO$42:$DQ$44)</f>
        <v>0.51184168910657668</v>
      </c>
      <c r="EB48">
        <f t="array" ref="EB48">SUM(AQ18:AS20*$DO$38:$DQ$40)+SUM(AQ47:AS49*$DO$42:$DQ$44)</f>
        <v>3.9857944254282627</v>
      </c>
      <c r="EC48">
        <f t="array" ref="EC48">SUM(AR18:AT20*$DO$38:$DQ$40)+SUM(AR47:AT49*$DO$42:$DQ$44)</f>
        <v>6.3814115368100088</v>
      </c>
      <c r="ED48">
        <f t="array" ref="ED48">SUM(AS18:AU20*$DO$38:$DQ$40)+SUM(AS47:AU49*$DO$42:$DQ$44)</f>
        <v>7.8296052811520509</v>
      </c>
      <c r="EE48">
        <f t="array" ref="EE48">SUM(AT18:AV20*$DO$38:$DQ$40)+SUM(AT47:AV49*$DO$42:$DQ$44)</f>
        <v>9.2934468333157483</v>
      </c>
      <c r="EF48">
        <f t="array" ref="EF48">SUM(AU18:AW20*$DO$38:$DQ$40)+SUM(AU47:AW49*$DO$42:$DQ$44)</f>
        <v>9.0801984426077773</v>
      </c>
      <c r="EG48">
        <f t="array" ref="EG48">SUM(AV18:AX20*$DO$38:$DQ$40)+SUM(AV47:AX49*$DO$42:$DQ$44)</f>
        <v>4.551063482655354</v>
      </c>
      <c r="EH48">
        <f t="array" ref="EH48">SUM(AW18:AY20*$DO$38:$DQ$40)+SUM(AW47:AY49*$DO$42:$DQ$44)</f>
        <v>0.76285319072568569</v>
      </c>
      <c r="EI48">
        <f t="array" ref="EI48">SUM(AX18:AZ20*$DO$38:$DQ$40)+SUM(AX47:AZ49*$DO$42:$DQ$44)</f>
        <v>-1.7586669871550575</v>
      </c>
      <c r="EJ48">
        <f t="array" ref="EJ48">SUM(AY18:BA20*$DO$38:$DQ$40)+SUM(AY47:BA49*$DO$42:$DQ$44)</f>
        <v>2.208551405562249</v>
      </c>
      <c r="EK48">
        <f t="array" ref="EK48">SUM(AZ18:BB20*$DO$38:$DQ$40)+SUM(AZ47:BB49*$DO$42:$DQ$44)</f>
        <v>8.0876698076778677</v>
      </c>
      <c r="EL48">
        <f t="array" ref="EL48">SUM(BA18:BC20*$DO$38:$DQ$40)+SUM(BA47:BC49*$DO$42:$DQ$44)</f>
        <v>9.4214902021862326</v>
      </c>
      <c r="EM48">
        <f t="array" ref="EM48">SUM(BB18:BD20*$DO$38:$DQ$40)+SUM(BB47:BD49*$DO$42:$DQ$44)</f>
        <v>7.7150012346081418</v>
      </c>
      <c r="EN48">
        <f t="array" ref="EN48">SUM(BC18:BE20*$DO$38:$DQ$40)+SUM(BC47:BE49*$DO$42:$DQ$44)</f>
        <v>3.3963129280354316</v>
      </c>
      <c r="EO48">
        <f t="array" ref="EO48">SUM(BD18:BF20*$DO$38:$DQ$40)+SUM(BD47:BF49*$DO$42:$DQ$44)</f>
        <v>0</v>
      </c>
      <c r="EP48">
        <f t="array" ref="EP48">SUM(BE18:BG20*$DO$38:$DQ$40)+SUM(BE47:BG49*$DO$42:$DQ$44)</f>
        <v>0</v>
      </c>
      <c r="ES48" s="127"/>
      <c r="ET48" s="127"/>
      <c r="EU48" s="127"/>
      <c r="EV48" s="127"/>
      <c r="EW48" s="127"/>
      <c r="EX48" s="127"/>
      <c r="EY48" s="127"/>
      <c r="EZ48" s="127"/>
      <c r="FA48" s="127"/>
      <c r="FB48" s="127"/>
      <c r="FC48" s="127"/>
      <c r="FD48" s="127"/>
      <c r="FE48" s="127"/>
      <c r="FF48" s="127"/>
      <c r="FG48" s="127"/>
      <c r="FH48" s="127"/>
      <c r="FI48" s="127"/>
      <c r="FJ48" s="127"/>
      <c r="FK48" s="127"/>
      <c r="FL48" s="127"/>
      <c r="FM48" s="127"/>
      <c r="FN48" s="127"/>
      <c r="FO48" s="127"/>
      <c r="FP48" s="127"/>
    </row>
    <row r="49" spans="1:200" ht="27.75" customHeight="1" x14ac:dyDescent="0.25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1">
        <f t="array" ref="AH49">SUM(A19:C21*$AD$38:$AF$40)</f>
        <v>0</v>
      </c>
      <c r="AI49" s="1">
        <f t="array" ref="AI49">SUM(B19:D21*$AD$38:$AF$40)</f>
        <v>0</v>
      </c>
      <c r="AJ49" s="1">
        <f t="array" ref="AJ49">SUM(C19:E21*$AD$38:$AF$40)</f>
        <v>0</v>
      </c>
      <c r="AK49" s="1">
        <f t="array" ref="AK49">SUM(D19:F21*$AD$38:$AF$40)</f>
        <v>0</v>
      </c>
      <c r="AL49" s="1">
        <f t="array" ref="AL49">SUM(E19:G21*$AD$38:$AF$40)</f>
        <v>-1.1058824062347399</v>
      </c>
      <c r="AM49" s="1">
        <f t="array" ref="AM49">SUM(F19:H21*$AD$38:$AF$40)</f>
        <v>-2.000000134110449</v>
      </c>
      <c r="AN49" s="1">
        <f t="array" ref="AN49">SUM(G19:I21*$AD$38:$AF$40)</f>
        <v>-1.3137255311012268</v>
      </c>
      <c r="AO49" s="1">
        <f t="array" ref="AO49">SUM(H19:J21*$AD$38:$AF$40)</f>
        <v>-0.18431372940540411</v>
      </c>
      <c r="AP49" s="1">
        <f t="array" ref="AP49">SUM(I19:K21*$AD$38:$AF$40)</f>
        <v>0.53333330154418912</v>
      </c>
      <c r="AQ49" s="1">
        <f t="array" ref="AQ49">SUM(J19:L21*$AD$38:$AF$40)</f>
        <v>0.73725494742393505</v>
      </c>
      <c r="AR49" s="1">
        <f t="array" ref="AR49">SUM(K19:M21*$AD$38:$AF$40)</f>
        <v>0.54117652773857194</v>
      </c>
      <c r="AS49" s="1">
        <f t="array" ref="AS49">SUM(L19:N21*$AD$38:$AF$40)</f>
        <v>0.45098040997982097</v>
      </c>
      <c r="AT49" s="1">
        <f t="array" ref="AT49">SUM(M19:O21*$AD$38:$AF$40)</f>
        <v>0.53725489974021801</v>
      </c>
      <c r="AU49" s="1">
        <f t="array" ref="AU49">SUM(N19:P21*$AD$38:$AF$40)</f>
        <v>0.18823529779910902</v>
      </c>
      <c r="AV49" s="1">
        <f t="array" ref="AV49">SUM(O19:Q21*$AD$38:$AF$40)</f>
        <v>0.51372554898262002</v>
      </c>
      <c r="AW49" s="1">
        <f t="array" ref="AW49">SUM(P19:R21*$AD$38:$AF$40)</f>
        <v>0.35294121503829995</v>
      </c>
      <c r="AX49" s="1">
        <f t="array" ref="AX49">SUM(Q19:S21*$AD$38:$AF$40)</f>
        <v>-2.2392158806323992</v>
      </c>
      <c r="AY49" s="1">
        <f t="array" ref="AY49">SUM(R19:T21*$AD$38:$AF$40)</f>
        <v>-2.5333334803581229</v>
      </c>
      <c r="AZ49" s="1">
        <f t="array" ref="AZ49">SUM(S19:U21*$AD$38:$AF$40)</f>
        <v>-0.32549017667770297</v>
      </c>
      <c r="BA49" s="1">
        <f t="array" ref="BA49">SUM(T19:V21*$AD$38:$AF$40)</f>
        <v>2.368627592921257</v>
      </c>
      <c r="BB49" s="1">
        <f t="array" ref="BB49">SUM(U19:W21*$AD$38:$AF$40)</f>
        <v>2.8588237166404702</v>
      </c>
      <c r="BC49" s="1">
        <f t="array" ref="BC49">SUM(V19:X21*$AD$38:$AF$40)</f>
        <v>0.61960788071155404</v>
      </c>
      <c r="BD49" s="1">
        <f t="array" ref="BD49">SUM(W19:Y21*$AD$38:$AF$40)</f>
        <v>0</v>
      </c>
      <c r="BE49" s="1">
        <f t="array" ref="BE49">SUM(X19:Z21*$AD$38:$AF$40)</f>
        <v>0</v>
      </c>
      <c r="BF49" s="1">
        <f t="array" ref="BF49">SUM(Y19:AA21*$AD$38:$AF$40)</f>
        <v>0</v>
      </c>
      <c r="BG49" s="1">
        <f t="array" ref="BG49">SUM(Z19:AB21*$AD$38:$AF$40)</f>
        <v>0</v>
      </c>
      <c r="BH49" s="79"/>
      <c r="BI49" s="79"/>
      <c r="BJ49" s="79"/>
      <c r="BK49" s="1">
        <f t="shared" si="200"/>
        <v>0</v>
      </c>
      <c r="BL49" s="1">
        <f t="shared" si="200"/>
        <v>0</v>
      </c>
      <c r="BM49" s="1">
        <f t="shared" si="200"/>
        <v>0</v>
      </c>
      <c r="BN49" s="1">
        <f t="shared" si="200"/>
        <v>0</v>
      </c>
      <c r="BO49" s="1">
        <f t="shared" si="200"/>
        <v>0</v>
      </c>
      <c r="BP49" s="1">
        <f t="shared" si="200"/>
        <v>0</v>
      </c>
      <c r="BQ49" s="1">
        <f t="shared" si="200"/>
        <v>0</v>
      </c>
      <c r="BR49" s="1">
        <f t="shared" si="200"/>
        <v>0</v>
      </c>
      <c r="BS49" s="1">
        <f t="shared" si="200"/>
        <v>0.53333330154418912</v>
      </c>
      <c r="BT49" s="1">
        <f t="shared" si="200"/>
        <v>0.73725494742393505</v>
      </c>
      <c r="BU49" s="1">
        <f t="shared" si="200"/>
        <v>0.54117652773857194</v>
      </c>
      <c r="BV49" s="1">
        <f t="shared" si="200"/>
        <v>0.45098040997982097</v>
      </c>
      <c r="BW49" s="1">
        <f t="shared" si="200"/>
        <v>0.53725489974021801</v>
      </c>
      <c r="BX49" s="1">
        <f t="shared" si="200"/>
        <v>0.18823529779910902</v>
      </c>
      <c r="BY49" s="1">
        <f t="shared" si="200"/>
        <v>0.51372554898262002</v>
      </c>
      <c r="BZ49" s="1">
        <f t="shared" si="200"/>
        <v>0.35294121503829995</v>
      </c>
      <c r="CA49" s="1">
        <f t="shared" si="201"/>
        <v>0</v>
      </c>
      <c r="CB49" s="1">
        <f t="shared" si="201"/>
        <v>0</v>
      </c>
      <c r="CC49" s="1">
        <f t="shared" si="201"/>
        <v>0</v>
      </c>
      <c r="CD49" s="1">
        <f t="shared" si="201"/>
        <v>2.368627592921257</v>
      </c>
      <c r="CE49" s="1">
        <f t="shared" si="201"/>
        <v>2.8588237166404702</v>
      </c>
      <c r="CF49" s="1">
        <f t="shared" si="187"/>
        <v>0.61960788071155404</v>
      </c>
      <c r="CG49" s="1">
        <f t="shared" si="187"/>
        <v>0</v>
      </c>
      <c r="CH49" s="1">
        <f t="shared" si="187"/>
        <v>0</v>
      </c>
      <c r="CI49" s="1">
        <f t="shared" si="187"/>
        <v>0</v>
      </c>
      <c r="CJ49" s="1">
        <f t="shared" si="187"/>
        <v>0</v>
      </c>
      <c r="DS49">
        <f t="array" ref="DS49">SUM(AH19:AJ21*$DO$38:$DQ$40)+SUM(AH48:AJ50*$DO$42:$DQ$44)</f>
        <v>0</v>
      </c>
      <c r="DT49">
        <f t="array" ref="DT49">SUM(AI19:AK21*$DO$38:$DQ$40)+SUM(AI48:AK50*$DO$42:$DQ$44)</f>
        <v>0</v>
      </c>
      <c r="DU49">
        <f t="array" ref="DU49">SUM(AJ19:AL21*$DO$38:$DQ$40)+SUM(AJ48:AL50*$DO$42:$DQ$44)</f>
        <v>-1.9575248383355037</v>
      </c>
      <c r="DV49">
        <f t="array" ref="DV49">SUM(AK19:AM21*$DO$38:$DQ$40)+SUM(AK48:AM50*$DO$42:$DQ$44)</f>
        <v>-4.8725682330726112</v>
      </c>
      <c r="DW49">
        <f t="array" ref="DW49">SUM(AL19:AN21*$DO$38:$DQ$40)+SUM(AL48:AN50*$DO$42:$DQ$44)</f>
        <v>-5.4380439593850802</v>
      </c>
      <c r="DX49">
        <f t="array" ref="DX49">SUM(AM19:AO21*$DO$38:$DQ$40)+SUM(AM48:AO50*$DO$42:$DQ$44)</f>
        <v>-3.8030037957867702</v>
      </c>
      <c r="DY49">
        <f t="array" ref="DY49">SUM(AN19:AP21*$DO$38:$DQ$40)+SUM(AN48:AP50*$DO$42:$DQ$44)</f>
        <v>0.49185105959513109</v>
      </c>
      <c r="DZ49">
        <f t="array" ref="DZ49">SUM(AO19:AQ21*$DO$38:$DQ$40)+SUM(AO48:AQ50*$DO$42:$DQ$44)</f>
        <v>5.1623774056390079</v>
      </c>
      <c r="EA49">
        <f t="array" ref="EA49">SUM(AP19:AR21*$DO$38:$DQ$40)+SUM(AP48:AR50*$DO$42:$DQ$44)</f>
        <v>8.2202755731146127</v>
      </c>
      <c r="EB49">
        <f t="array" ref="EB49">SUM(AQ19:AS21*$DO$38:$DQ$40)+SUM(AQ48:AS50*$DO$42:$DQ$44)</f>
        <v>8.9078027317821871</v>
      </c>
      <c r="EC49">
        <f t="array" ref="EC49">SUM(AR19:AT21*$DO$38:$DQ$40)+SUM(AR48:AT50*$DO$42:$DQ$44)</f>
        <v>8.4706148274251216</v>
      </c>
      <c r="ED49">
        <f t="array" ref="ED49">SUM(AS19:AU21*$DO$38:$DQ$40)+SUM(AS48:AU50*$DO$42:$DQ$44)</f>
        <v>7.0732952171078782</v>
      </c>
      <c r="EE49">
        <f t="array" ref="EE49">SUM(AT19:AV21*$DO$38:$DQ$40)+SUM(AT48:AV50*$DO$42:$DQ$44)</f>
        <v>6.6322163335668272</v>
      </c>
      <c r="EF49">
        <f t="array" ref="EF49">SUM(AU19:AW21*$DO$38:$DQ$40)+SUM(AU48:AW50*$DO$42:$DQ$44)</f>
        <v>4.760935024737778</v>
      </c>
      <c r="EG49">
        <f t="array" ref="EG49">SUM(AV19:AX21*$DO$38:$DQ$40)+SUM(AV48:AX50*$DO$42:$DQ$44)</f>
        <v>-0.71961110440552911</v>
      </c>
      <c r="EH49">
        <f t="array" ref="EH49">SUM(AW19:AY21*$DO$38:$DQ$40)+SUM(AW48:AY50*$DO$42:$DQ$44)</f>
        <v>-4.6002978250080986</v>
      </c>
      <c r="EI49">
        <f t="array" ref="EI49">SUM(AX19:AZ21*$DO$38:$DQ$40)+SUM(AX48:AZ50*$DO$42:$DQ$44)</f>
        <v>-5.6763821512232857</v>
      </c>
      <c r="EJ49">
        <f t="array" ref="EJ49">SUM(AY19:BA21*$DO$38:$DQ$40)+SUM(AY48:BA50*$DO$42:$DQ$44)</f>
        <v>0.75893177149640678</v>
      </c>
      <c r="EK49">
        <f t="array" ref="EK49">SUM(AZ19:BB21*$DO$38:$DQ$40)+SUM(AZ48:BB50*$DO$42:$DQ$44)</f>
        <v>7.9871074295191855</v>
      </c>
      <c r="EL49">
        <f t="array" ref="EL49">SUM(BA19:BC21*$DO$38:$DQ$40)+SUM(BA48:BC50*$DO$42:$DQ$44)</f>
        <v>9.0460127416351988</v>
      </c>
      <c r="EM49">
        <f t="array" ref="EM49">SUM(BB19:BD21*$DO$38:$DQ$40)+SUM(BB48:BD50*$DO$42:$DQ$44)</f>
        <v>6.9153174551052148</v>
      </c>
      <c r="EN49">
        <f t="array" ref="EN49">SUM(BC19:BE21*$DO$38:$DQ$40)+SUM(BC48:BE50*$DO$42:$DQ$44)</f>
        <v>1.9294066538564096</v>
      </c>
      <c r="EO49">
        <f t="array" ref="EO49">SUM(BD19:BF21*$DO$38:$DQ$40)+SUM(BD48:BF50*$DO$42:$DQ$44)</f>
        <v>0</v>
      </c>
      <c r="EP49">
        <f t="array" ref="EP49">SUM(BE19:BG21*$DO$38:$DQ$40)+SUM(BE48:BG50*$DO$42:$DQ$44)</f>
        <v>0</v>
      </c>
      <c r="ES49" s="127">
        <f t="shared" ref="ES49" si="238">MAX(DS49:DT50)</f>
        <v>0</v>
      </c>
      <c r="ET49" s="127"/>
      <c r="EU49" s="127">
        <f t="shared" ref="EU49" si="239">MAX(DU49:DV50)</f>
        <v>-1.8127807188089367</v>
      </c>
      <c r="EV49" s="127"/>
      <c r="EW49" s="127">
        <f t="shared" ref="EW49" si="240">MAX(DW49:DX50)</f>
        <v>1.6916328923950354</v>
      </c>
      <c r="EX49" s="127"/>
      <c r="EY49" s="127">
        <f t="shared" ref="EY49" si="241">MAX(DY49:DZ50)</f>
        <v>9.096149513512394</v>
      </c>
      <c r="EZ49" s="127"/>
      <c r="FA49" s="127">
        <f t="shared" ref="FA49" si="242">MAX(EA49:EB50)</f>
        <v>8.9078027317821871</v>
      </c>
      <c r="FB49" s="127"/>
      <c r="FC49" s="127">
        <f t="shared" ref="FC49" si="243">MAX(EC49:ED50)</f>
        <v>8.4706148274251216</v>
      </c>
      <c r="FD49" s="127"/>
      <c r="FE49" s="127">
        <f t="shared" ref="FE49" si="244">MAX(EE49:EF50)</f>
        <v>6.6322163335668272</v>
      </c>
      <c r="FF49" s="127"/>
      <c r="FG49" s="127">
        <f t="shared" ref="FG49" si="245">MAX(EG49:EH50)</f>
        <v>-0.71961110440552911</v>
      </c>
      <c r="FH49" s="127"/>
      <c r="FI49" s="127">
        <f t="shared" ref="FI49" si="246">MAX(EI49:EJ50)</f>
        <v>1.6171615906236994</v>
      </c>
      <c r="FJ49" s="127"/>
      <c r="FK49" s="127">
        <f t="shared" ref="FK49" si="247">MAX(EK49:EL50)</f>
        <v>9.1139158039084407</v>
      </c>
      <c r="FL49" s="127"/>
      <c r="FM49" s="127">
        <f t="shared" ref="FM49" si="248">MAX(EM49:EN50)</f>
        <v>6.9153174551052148</v>
      </c>
      <c r="FN49" s="127"/>
      <c r="FO49" s="127">
        <f t="shared" ref="FO49" si="249">MAX(EO49:EP50)</f>
        <v>0</v>
      </c>
      <c r="FP49" s="127"/>
      <c r="FT49">
        <v>0.96111753282695178</v>
      </c>
      <c r="FV49">
        <v>0.43195566179276712</v>
      </c>
      <c r="FX49">
        <v>0.9543674134784953</v>
      </c>
      <c r="FZ49">
        <v>0.89256518971538312</v>
      </c>
      <c r="GB49">
        <v>0.64664731216751969</v>
      </c>
      <c r="GD49">
        <v>0.22478272554312828</v>
      </c>
      <c r="GF49">
        <v>0.59944080645971076</v>
      </c>
      <c r="GH49">
        <v>0.89769321294161508</v>
      </c>
      <c r="GJ49">
        <v>0.78547871735431085</v>
      </c>
      <c r="GL49">
        <v>0.80910245030315231</v>
      </c>
      <c r="GN49">
        <v>0.69671600656332655</v>
      </c>
      <c r="GP49">
        <v>0.47000067757653485</v>
      </c>
      <c r="GR49">
        <v>0.57301548705157823</v>
      </c>
    </row>
    <row r="50" spans="1:200" ht="27.75" customHeight="1" x14ac:dyDescent="0.2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1">
        <f t="array" ref="AH50">SUM(A20:C22*$AD$38:$AF$40)</f>
        <v>0</v>
      </c>
      <c r="AI50" s="1">
        <f t="array" ref="AI50">SUM(B20:D22*$AD$38:$AF$40)</f>
        <v>0</v>
      </c>
      <c r="AJ50" s="1">
        <f t="array" ref="AJ50">SUM(C20:E22*$AD$38:$AF$40)</f>
        <v>0</v>
      </c>
      <c r="AK50" s="1">
        <f t="array" ref="AK50">SUM(D20:F22*$AD$38:$AF$40)</f>
        <v>0</v>
      </c>
      <c r="AL50" s="1">
        <f t="array" ref="AL50">SUM(E20:G22*$AD$38:$AF$40)</f>
        <v>-1.1764706447720514</v>
      </c>
      <c r="AM50" s="1">
        <f t="array" ref="AM50">SUM(F20:H22*$AD$38:$AF$40)</f>
        <v>-2.3411766290664651</v>
      </c>
      <c r="AN50" s="1">
        <f t="array" ref="AN50">SUM(G20:I22*$AD$38:$AF$40)</f>
        <v>-0.50980394333601042</v>
      </c>
      <c r="AO50" s="1">
        <f t="array" ref="AO50">SUM(H20:J22*$AD$38:$AF$40)</f>
        <v>1.1490196883678419</v>
      </c>
      <c r="AP50" s="1">
        <f t="array" ref="AP50">SUM(I20:K22*$AD$38:$AF$40)</f>
        <v>0.79607844352722101</v>
      </c>
      <c r="AQ50" s="1">
        <f t="array" ref="AQ50">SUM(J20:L22*$AD$38:$AF$40)</f>
        <v>0.74117651581764199</v>
      </c>
      <c r="AR50" s="1">
        <f t="array" ref="AR50">SUM(K20:M22*$AD$38:$AF$40)</f>
        <v>0.54117652773857194</v>
      </c>
      <c r="AS50" s="1">
        <f t="array" ref="AS50">SUM(L20:N22*$AD$38:$AF$40)</f>
        <v>0.32941178977489499</v>
      </c>
      <c r="AT50" s="1">
        <f t="array" ref="AT50">SUM(M20:O22*$AD$38:$AF$40)</f>
        <v>0.34901961684226901</v>
      </c>
      <c r="AU50" s="1">
        <f t="array" ref="AU50">SUM(N20:P22*$AD$38:$AF$40)</f>
        <v>0.121568635106086</v>
      </c>
      <c r="AV50" s="1">
        <f t="array" ref="AV50">SUM(O20:Q22*$AD$38:$AF$40)</f>
        <v>0</v>
      </c>
      <c r="AW50" s="1">
        <f t="array" ref="AW50">SUM(P20:R22*$AD$38:$AF$40)</f>
        <v>-0.51764708757400402</v>
      </c>
      <c r="AX50" s="1">
        <f t="array" ref="AX50">SUM(Q20:S22*$AD$38:$AF$40)</f>
        <v>-2.686274707317351</v>
      </c>
      <c r="AY50" s="1">
        <f t="array" ref="AY50">SUM(R20:T22*$AD$38:$AF$40)</f>
        <v>-2.4705883860588069</v>
      </c>
      <c r="AZ50" s="1">
        <f t="array" ref="AZ50">SUM(S20:U22*$AD$38:$AF$40)</f>
        <v>0.17254906892776589</v>
      </c>
      <c r="BA50" s="1">
        <f t="array" ref="BA50">SUM(T20:V22*$AD$38:$AF$40)</f>
        <v>2.8274511545896517</v>
      </c>
      <c r="BB50" s="1">
        <f t="array" ref="BB50">SUM(U20:W22*$AD$38:$AF$40)</f>
        <v>2.5137256383895852</v>
      </c>
      <c r="BC50" s="1">
        <f t="array" ref="BC50">SUM(V20:X22*$AD$38:$AF$40)</f>
        <v>0.16078431904315901</v>
      </c>
      <c r="BD50" s="1">
        <f t="array" ref="BD50">SUM(W20:Y22*$AD$38:$AF$40)</f>
        <v>0</v>
      </c>
      <c r="BE50" s="1">
        <f t="array" ref="BE50">SUM(X20:Z22*$AD$38:$AF$40)</f>
        <v>0</v>
      </c>
      <c r="BF50" s="1">
        <f t="array" ref="BF50">SUM(Y20:AA22*$AD$38:$AF$40)</f>
        <v>0</v>
      </c>
      <c r="BG50" s="1">
        <f t="array" ref="BG50">SUM(Z20:AB22*$AD$38:$AF$40)</f>
        <v>0</v>
      </c>
      <c r="BH50" s="79"/>
      <c r="BI50" s="79"/>
      <c r="BJ50" s="79"/>
      <c r="BK50" s="1">
        <f t="shared" si="200"/>
        <v>0</v>
      </c>
      <c r="BL50" s="1">
        <f t="shared" si="200"/>
        <v>0</v>
      </c>
      <c r="BM50" s="1">
        <f t="shared" si="200"/>
        <v>0</v>
      </c>
      <c r="BN50" s="1">
        <f t="shared" si="200"/>
        <v>0</v>
      </c>
      <c r="BO50" s="1">
        <f t="shared" si="200"/>
        <v>0</v>
      </c>
      <c r="BP50" s="1">
        <f t="shared" si="200"/>
        <v>0</v>
      </c>
      <c r="BQ50" s="1">
        <f t="shared" si="200"/>
        <v>0</v>
      </c>
      <c r="BR50" s="1">
        <f t="shared" si="200"/>
        <v>1.1490196883678419</v>
      </c>
      <c r="BS50" s="1">
        <f t="shared" si="200"/>
        <v>0.79607844352722101</v>
      </c>
      <c r="BT50" s="1">
        <f t="shared" si="200"/>
        <v>0.74117651581764199</v>
      </c>
      <c r="BU50" s="1">
        <f t="shared" si="200"/>
        <v>0.54117652773857194</v>
      </c>
      <c r="BV50" s="1">
        <f t="shared" si="200"/>
        <v>0.32941178977489499</v>
      </c>
      <c r="BW50" s="1">
        <f t="shared" si="200"/>
        <v>0.34901961684226901</v>
      </c>
      <c r="BX50" s="1">
        <f t="shared" si="200"/>
        <v>0.121568635106086</v>
      </c>
      <c r="BY50" s="1">
        <f t="shared" si="200"/>
        <v>0</v>
      </c>
      <c r="BZ50" s="1">
        <f t="shared" si="200"/>
        <v>0</v>
      </c>
      <c r="CA50" s="1">
        <f t="shared" si="201"/>
        <v>0</v>
      </c>
      <c r="CB50" s="1">
        <f t="shared" si="201"/>
        <v>0</v>
      </c>
      <c r="CC50" s="1">
        <f t="shared" si="201"/>
        <v>0.17254906892776589</v>
      </c>
      <c r="CD50" s="1">
        <f t="shared" si="201"/>
        <v>2.8274511545896517</v>
      </c>
      <c r="CE50" s="1">
        <f t="shared" si="201"/>
        <v>2.5137256383895852</v>
      </c>
      <c r="CF50" s="1">
        <f t="shared" si="187"/>
        <v>0.16078431904315901</v>
      </c>
      <c r="CG50" s="1">
        <f t="shared" si="187"/>
        <v>0</v>
      </c>
      <c r="CH50" s="1">
        <f t="shared" si="187"/>
        <v>0</v>
      </c>
      <c r="CI50" s="1">
        <f t="shared" si="187"/>
        <v>0</v>
      </c>
      <c r="CJ50" s="1">
        <f t="shared" si="187"/>
        <v>0</v>
      </c>
      <c r="DS50">
        <f t="array" ref="DS50">SUM(AH20:AJ22*$DO$38:$DQ$40)+SUM(AH49:AJ51*$DO$42:$DQ$44)</f>
        <v>0</v>
      </c>
      <c r="DT50">
        <f t="array" ref="DT50">SUM(AI20:AK22*$DO$38:$DQ$40)+SUM(AI49:AK51*$DO$42:$DQ$44)</f>
        <v>0</v>
      </c>
      <c r="DU50">
        <f t="array" ref="DU50">SUM(AJ20:AL22*$DO$38:$DQ$40)+SUM(AJ49:AL51*$DO$42:$DQ$44)</f>
        <v>-1.8127807188089367</v>
      </c>
      <c r="DV50">
        <f t="array" ref="DV50">SUM(AK20:AM22*$DO$38:$DQ$40)+SUM(AK49:AM51*$DO$42:$DQ$44)</f>
        <v>-3.9493572497225014</v>
      </c>
      <c r="DW50">
        <f t="array" ref="DW50">SUM(AL20:AN22*$DO$38:$DQ$40)+SUM(AL49:AN51*$DO$42:$DQ$44)</f>
        <v>-2.2831758697083977</v>
      </c>
      <c r="DX50">
        <f t="array" ref="DX50">SUM(AM20:AO22*$DO$38:$DQ$40)+SUM(AM49:AO51*$DO$42:$DQ$44)</f>
        <v>1.6916328923950354</v>
      </c>
      <c r="DY50">
        <f t="array" ref="DY50">SUM(AN20:AP22*$DO$38:$DQ$40)+SUM(AN49:AP51*$DO$42:$DQ$44)</f>
        <v>6.8676631132455324</v>
      </c>
      <c r="DZ50">
        <f t="array" ref="DZ50">SUM(AO20:AQ22*$DO$38:$DQ$40)+SUM(AO49:AQ51*$DO$42:$DQ$44)</f>
        <v>9.096149513512394</v>
      </c>
      <c r="EA50">
        <f t="array" ref="EA50">SUM(AP20:AR22*$DO$38:$DQ$40)+SUM(AP49:AR51*$DO$42:$DQ$44)</f>
        <v>7.77257128938371</v>
      </c>
      <c r="EB50">
        <f t="array" ref="EB50">SUM(AQ20:AS22*$DO$38:$DQ$40)+SUM(AQ49:AS51*$DO$42:$DQ$44)</f>
        <v>6.1547958793221413</v>
      </c>
      <c r="EC50">
        <f t="array" ref="EC50">SUM(AR20:AT22*$DO$38:$DQ$40)+SUM(AR49:AT51*$DO$42:$DQ$44)</f>
        <v>4.8322880395995744</v>
      </c>
      <c r="ED50">
        <f t="array" ref="ED50">SUM(AS20:AU22*$DO$38:$DQ$40)+SUM(AS49:AU51*$DO$42:$DQ$44)</f>
        <v>3.5285423574858661</v>
      </c>
      <c r="EE50">
        <f t="array" ref="EE50">SUM(AT20:AV22*$DO$38:$DQ$40)+SUM(AT49:AV51*$DO$42:$DQ$44)</f>
        <v>2.9737107044583966</v>
      </c>
      <c r="EF50">
        <f t="array" ref="EF50">SUM(AU20:AW22*$DO$38:$DQ$40)+SUM(AU49:AW51*$DO$42:$DQ$44)</f>
        <v>0.25854263984990788</v>
      </c>
      <c r="EG50">
        <f t="array" ref="EG50">SUM(AV20:AX22*$DO$38:$DQ$40)+SUM(AV49:AX51*$DO$42:$DQ$44)</f>
        <v>-5.4431793483713102</v>
      </c>
      <c r="EH50">
        <f t="array" ref="EH50">SUM(AW20:AY22*$DO$38:$DQ$40)+SUM(AW49:AY51*$DO$42:$DQ$44)</f>
        <v>-8.0553328601575505</v>
      </c>
      <c r="EI50">
        <f t="array" ref="EI50">SUM(AX20:AZ22*$DO$38:$DQ$40)+SUM(AX49:AZ51*$DO$42:$DQ$44)</f>
        <v>-6.3089438665400088</v>
      </c>
      <c r="EJ50">
        <f t="array" ref="EJ50">SUM(AY20:BA22*$DO$38:$DQ$40)+SUM(AY49:BA51*$DO$42:$DQ$44)</f>
        <v>1.6171615906236994</v>
      </c>
      <c r="EK50">
        <f t="array" ref="EK50">SUM(AZ20:BB22*$DO$38:$DQ$40)+SUM(AZ49:BB51*$DO$42:$DQ$44)</f>
        <v>9.0003215428597905</v>
      </c>
      <c r="EL50">
        <f t="array" ref="EL50">SUM(BA20:BC22*$DO$38:$DQ$40)+SUM(BA49:BC51*$DO$42:$DQ$44)</f>
        <v>9.1139158039084407</v>
      </c>
      <c r="EM50">
        <f t="array" ref="EM50">SUM(BB20:BD22*$DO$38:$DQ$40)+SUM(BB49:BD51*$DO$42:$DQ$44)</f>
        <v>6.1436476635652024</v>
      </c>
      <c r="EN50">
        <f t="array" ref="EN50">SUM(BC20:BE22*$DO$38:$DQ$40)+SUM(BC49:BE51*$DO$42:$DQ$44)</f>
        <v>0.72972879880294672</v>
      </c>
      <c r="EO50">
        <f t="array" ref="EO50">SUM(BD20:BF22*$DO$38:$DQ$40)+SUM(BD49:BF51*$DO$42:$DQ$44)</f>
        <v>0</v>
      </c>
      <c r="EP50">
        <f t="array" ref="EP50">SUM(BE20:BG22*$DO$38:$DQ$40)+SUM(BE49:BG51*$DO$42:$DQ$44)</f>
        <v>0</v>
      </c>
      <c r="ES50" s="127"/>
      <c r="ET50" s="127"/>
      <c r="EU50" s="127"/>
      <c r="EV50" s="127"/>
      <c r="EW50" s="127"/>
      <c r="EX50" s="127"/>
      <c r="EY50" s="127"/>
      <c r="EZ50" s="127"/>
      <c r="FA50" s="127"/>
      <c r="FB50" s="127"/>
      <c r="FC50" s="127"/>
      <c r="FD50" s="127"/>
      <c r="FE50" s="127"/>
      <c r="FF50" s="127"/>
      <c r="FG50" s="127"/>
      <c r="FH50" s="127"/>
      <c r="FI50" s="127"/>
      <c r="FJ50" s="127"/>
      <c r="FK50" s="127"/>
      <c r="FL50" s="127"/>
      <c r="FM50" s="127"/>
      <c r="FN50" s="127"/>
      <c r="FO50" s="127"/>
      <c r="FP50" s="127"/>
    </row>
    <row r="51" spans="1:200" ht="27.75" customHeight="1" x14ac:dyDescent="0.25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1">
        <f t="array" ref="AH51">SUM(A21:C23*$AD$38:$AF$40)</f>
        <v>0</v>
      </c>
      <c r="AI51" s="1">
        <f t="array" ref="AI51">SUM(B21:D23*$AD$38:$AF$40)</f>
        <v>0</v>
      </c>
      <c r="AJ51" s="1">
        <f t="array" ref="AJ51">SUM(C21:E23*$AD$38:$AF$40)</f>
        <v>0</v>
      </c>
      <c r="AK51" s="1">
        <f t="array" ref="AK51">SUM(D21:F23*$AD$38:$AF$40)</f>
        <v>0</v>
      </c>
      <c r="AL51" s="1">
        <f t="array" ref="AL51">SUM(E21:G23*$AD$38:$AF$40)</f>
        <v>-0.73333335667848543</v>
      </c>
      <c r="AM51" s="1">
        <f t="array" ref="AM51">SUM(F21:H23*$AD$38:$AF$40)</f>
        <v>-1.4823530316352829</v>
      </c>
      <c r="AN51" s="1">
        <f t="array" ref="AN51">SUM(G21:I23*$AD$38:$AF$40)</f>
        <v>4.313725978136046E-2</v>
      </c>
      <c r="AO51" s="1">
        <f t="array" ref="AO51">SUM(H21:J23*$AD$38:$AF$40)</f>
        <v>1.2392157614231099</v>
      </c>
      <c r="AP51" s="1">
        <f t="array" ref="AP51">SUM(I21:K23*$AD$38:$AF$40)</f>
        <v>0.69019609689712502</v>
      </c>
      <c r="AQ51" s="1">
        <f t="array" ref="AQ51">SUM(J21:L23*$AD$38:$AF$40)</f>
        <v>0.24313727021217299</v>
      </c>
      <c r="AR51" s="1">
        <f t="array" ref="AR51">SUM(K21:M23*$AD$38:$AF$40)</f>
        <v>0</v>
      </c>
      <c r="AS51" s="1">
        <f t="array" ref="AS51">SUM(L21:N23*$AD$38:$AF$40)</f>
        <v>0</v>
      </c>
      <c r="AT51" s="1">
        <f t="array" ref="AT51">SUM(M21:O23*$AD$38:$AF$40)</f>
        <v>0</v>
      </c>
      <c r="AU51" s="1">
        <f t="array" ref="AU51">SUM(N21:P23*$AD$38:$AF$40)</f>
        <v>0</v>
      </c>
      <c r="AV51" s="1">
        <f t="array" ref="AV51">SUM(O21:Q23*$AD$38:$AF$40)</f>
        <v>0</v>
      </c>
      <c r="AW51" s="1">
        <f t="array" ref="AW51">SUM(P21:R23*$AD$38:$AF$40)</f>
        <v>-1.0627451539039601</v>
      </c>
      <c r="AX51" s="1">
        <f t="array" ref="AX51">SUM(Q21:S23*$AD$38:$AF$40)</f>
        <v>-2.8980394005775438</v>
      </c>
      <c r="AY51" s="1">
        <f t="array" ref="AY51">SUM(R21:T23*$AD$38:$AF$40)</f>
        <v>-1.8627452254295349</v>
      </c>
      <c r="AZ51" s="1">
        <f t="array" ref="AZ51">SUM(S21:U23*$AD$38:$AF$40)</f>
        <v>1.1058824360370638</v>
      </c>
      <c r="BA51" s="1">
        <f t="array" ref="BA51">SUM(T21:V23*$AD$38:$AF$40)</f>
        <v>2.9254903793334948</v>
      </c>
      <c r="BB51" s="1">
        <f t="array" ref="BB51">SUM(U21:W23*$AD$38:$AF$40)</f>
        <v>1.7921569645404802</v>
      </c>
      <c r="BC51" s="1">
        <f t="array" ref="BC51">SUM(V21:X23*$AD$38:$AF$40)</f>
        <v>0</v>
      </c>
      <c r="BD51" s="1">
        <f t="array" ref="BD51">SUM(W21:Y23*$AD$38:$AF$40)</f>
        <v>0</v>
      </c>
      <c r="BE51" s="1">
        <f t="array" ref="BE51">SUM(X21:Z23*$AD$38:$AF$40)</f>
        <v>0</v>
      </c>
      <c r="BF51" s="1">
        <f t="array" ref="BF51">SUM(Y21:AA23*$AD$38:$AF$40)</f>
        <v>0</v>
      </c>
      <c r="BG51" s="1">
        <f t="array" ref="BG51">SUM(Z21:AB23*$AD$38:$AF$40)</f>
        <v>0</v>
      </c>
      <c r="BH51" s="79"/>
      <c r="BI51" s="79"/>
      <c r="BJ51" s="79"/>
      <c r="BK51" s="1">
        <f t="shared" si="200"/>
        <v>0</v>
      </c>
      <c r="BL51" s="1">
        <f t="shared" si="200"/>
        <v>0</v>
      </c>
      <c r="BM51" s="1">
        <f t="shared" si="200"/>
        <v>0</v>
      </c>
      <c r="BN51" s="1">
        <f t="shared" si="200"/>
        <v>0</v>
      </c>
      <c r="BO51" s="1">
        <f t="shared" si="200"/>
        <v>0</v>
      </c>
      <c r="BP51" s="1">
        <f t="shared" si="200"/>
        <v>0</v>
      </c>
      <c r="BQ51" s="1">
        <f t="shared" si="200"/>
        <v>4.313725978136046E-2</v>
      </c>
      <c r="BR51" s="1">
        <f t="shared" si="200"/>
        <v>1.2392157614231099</v>
      </c>
      <c r="BS51" s="1">
        <f t="shared" si="200"/>
        <v>0.69019609689712502</v>
      </c>
      <c r="BT51" s="1">
        <f t="shared" si="200"/>
        <v>0.24313727021217299</v>
      </c>
      <c r="BU51" s="1">
        <f t="shared" si="200"/>
        <v>0</v>
      </c>
      <c r="BV51" s="1">
        <f t="shared" si="200"/>
        <v>0</v>
      </c>
      <c r="BW51" s="1">
        <f t="shared" si="200"/>
        <v>0</v>
      </c>
      <c r="BX51" s="1">
        <f t="shared" si="200"/>
        <v>0</v>
      </c>
      <c r="BY51" s="1">
        <f t="shared" si="200"/>
        <v>0</v>
      </c>
      <c r="BZ51" s="1">
        <f t="shared" si="200"/>
        <v>0</v>
      </c>
      <c r="CA51" s="1">
        <f t="shared" si="201"/>
        <v>0</v>
      </c>
      <c r="CB51" s="1">
        <f t="shared" si="201"/>
        <v>0</v>
      </c>
      <c r="CC51" s="1">
        <f t="shared" si="201"/>
        <v>1.1058824360370638</v>
      </c>
      <c r="CD51" s="1">
        <f t="shared" si="201"/>
        <v>2.9254903793334948</v>
      </c>
      <c r="CE51" s="1">
        <f t="shared" si="201"/>
        <v>1.7921569645404802</v>
      </c>
      <c r="CF51" s="1">
        <f t="shared" si="187"/>
        <v>0</v>
      </c>
      <c r="CG51" s="1">
        <f t="shared" si="187"/>
        <v>0</v>
      </c>
      <c r="CH51" s="1">
        <f t="shared" si="187"/>
        <v>0</v>
      </c>
      <c r="CI51" s="1">
        <f t="shared" si="187"/>
        <v>0</v>
      </c>
      <c r="CJ51" s="1">
        <f t="shared" si="187"/>
        <v>0</v>
      </c>
      <c r="DS51">
        <f t="array" ref="DS51">SUM(AH21:AJ23*$DO$38:$DQ$40)+SUM(AH50:AJ52*$DO$42:$DQ$44)</f>
        <v>0</v>
      </c>
      <c r="DT51">
        <f t="array" ref="DT51">SUM(AI21:AK23*$DO$38:$DQ$40)+SUM(AI50:AK52*$DO$42:$DQ$44)</f>
        <v>0</v>
      </c>
      <c r="DU51">
        <f t="array" ref="DU51">SUM(AJ21:AL23*$DO$38:$DQ$40)+SUM(AJ50:AL52*$DO$42:$DQ$44)</f>
        <v>-0.94154857865799202</v>
      </c>
      <c r="DV51">
        <f t="array" ref="DV51">SUM(AK21:AM23*$DO$38:$DQ$40)+SUM(AK50:AM52*$DO$42:$DQ$44)</f>
        <v>-2.1138315174628541</v>
      </c>
      <c r="DW51">
        <f t="array" ref="DW51">SUM(AL21:AN23*$DO$38:$DQ$40)+SUM(AL50:AN52*$DO$42:$DQ$44)</f>
        <v>-0.23331689054399352</v>
      </c>
      <c r="DX51">
        <f t="array" ref="DX51">SUM(AM21:AO23*$DO$38:$DQ$40)+SUM(AM50:AO52*$DO$42:$DQ$44)</f>
        <v>2.8070592579446609</v>
      </c>
      <c r="DY51">
        <f t="array" ref="DY51">SUM(AN21:AP23*$DO$38:$DQ$40)+SUM(AN50:AP52*$DO$42:$DQ$44)</f>
        <v>5.8070050104183792</v>
      </c>
      <c r="DZ51">
        <f t="array" ref="DZ51">SUM(AO21:AQ23*$DO$38:$DQ$40)+SUM(AO50:AQ52*$DO$42:$DQ$44)</f>
        <v>6.7032149614357124</v>
      </c>
      <c r="EA51">
        <f t="array" ref="EA51">SUM(AP21:AR23*$DO$38:$DQ$40)+SUM(AP50:AR52*$DO$42:$DQ$44)</f>
        <v>3.7824875545348156</v>
      </c>
      <c r="EB51">
        <f t="array" ref="EB51">SUM(AQ21:AS23*$DO$38:$DQ$40)+SUM(AQ50:AS52*$DO$42:$DQ$44)</f>
        <v>2.139060820582996</v>
      </c>
      <c r="EC51">
        <f t="array" ref="EC51">SUM(AR21:AT23*$DO$38:$DQ$40)+SUM(AR50:AT52*$DO$42:$DQ$44)</f>
        <v>1.2023431181517201</v>
      </c>
      <c r="ED51">
        <f t="array" ref="ED51">SUM(AS21:AU23*$DO$38:$DQ$40)+SUM(AS50:AU52*$DO$42:$DQ$44)</f>
        <v>0.59959025913932817</v>
      </c>
      <c r="EE51">
        <f t="array" ref="EE51">SUM(AT21:AV23*$DO$38:$DQ$40)+SUM(AT50:AV52*$DO$42:$DQ$44)</f>
        <v>-0.87235782111107707</v>
      </c>
      <c r="EF51">
        <f t="array" ref="EF51">SUM(AU21:AW23*$DO$38:$DQ$40)+SUM(AU50:AW52*$DO$42:$DQ$44)</f>
        <v>-4.0183945325073864</v>
      </c>
      <c r="EG51">
        <f t="array" ref="EG51">SUM(AV21:AX23*$DO$38:$DQ$40)+SUM(AV50:AX52*$DO$42:$DQ$44)</f>
        <v>-9.0742310310910526</v>
      </c>
      <c r="EH51">
        <f t="array" ref="EH51">SUM(AW21:AY23*$DO$38:$DQ$40)+SUM(AW50:AY52*$DO$42:$DQ$44)</f>
        <v>-10.085246549118009</v>
      </c>
      <c r="EI51">
        <f t="array" ref="EI51">SUM(AX21:AZ23*$DO$38:$DQ$40)+SUM(AX50:AZ52*$DO$42:$DQ$44)</f>
        <v>-5.2515859076902025</v>
      </c>
      <c r="EJ51">
        <f t="array" ref="EJ51">SUM(AY21:BA23*$DO$38:$DQ$40)+SUM(AY50:BA52*$DO$42:$DQ$44)</f>
        <v>3.7547749357064104</v>
      </c>
      <c r="EK51">
        <f t="array" ref="EK51">SUM(AZ21:BB23*$DO$38:$DQ$40)+SUM(AZ50:BB52*$DO$42:$DQ$44)</f>
        <v>9.8767895548632278</v>
      </c>
      <c r="EL51">
        <f t="array" ref="EL51">SUM(BA21:BC23*$DO$38:$DQ$40)+SUM(BA50:BC52*$DO$42:$DQ$44)</f>
        <v>8.8230962221111735</v>
      </c>
      <c r="EM51">
        <f t="array" ref="EM51">SUM(BB21:BD23*$DO$38:$DQ$40)+SUM(BB50:BD52*$DO$42:$DQ$44)</f>
        <v>4.8569081100408802</v>
      </c>
      <c r="EN51">
        <f t="array" ref="EN51">SUM(BC21:BE23*$DO$38:$DQ$40)+SUM(BC50:BE52*$DO$42:$DQ$44)</f>
        <v>0.1304517802528688</v>
      </c>
      <c r="EO51">
        <f t="array" ref="EO51">SUM(BD21:BF23*$DO$38:$DQ$40)+SUM(BD50:BF52*$DO$42:$DQ$44)</f>
        <v>0</v>
      </c>
      <c r="EP51">
        <f t="array" ref="EP51">SUM(BE21:BG23*$DO$38:$DQ$40)+SUM(BE50:BG52*$DO$42:$DQ$44)</f>
        <v>0</v>
      </c>
      <c r="ES51" s="127">
        <f t="shared" ref="ES51" si="250">MAX(DS51:DT52)</f>
        <v>0</v>
      </c>
      <c r="ET51" s="127"/>
      <c r="EU51" s="127">
        <f t="shared" ref="EU51" si="251">MAX(DU51:DV52)</f>
        <v>-0.2416616247634944</v>
      </c>
      <c r="EV51" s="127"/>
      <c r="EW51" s="127">
        <f t="shared" ref="EW51" si="252">MAX(DW51:DX52)</f>
        <v>2.8070592579446609</v>
      </c>
      <c r="EX51" s="127"/>
      <c r="EY51" s="127">
        <f t="shared" ref="EY51" si="253">MAX(DY51:DZ52)</f>
        <v>6.7032149614357124</v>
      </c>
      <c r="EZ51" s="127"/>
      <c r="FA51" s="127">
        <f t="shared" ref="FA51" si="254">MAX(EA51:EB52)</f>
        <v>3.7824875545348156</v>
      </c>
      <c r="FB51" s="127"/>
      <c r="FC51" s="127">
        <f t="shared" ref="FC51" si="255">MAX(EC51:ED52)</f>
        <v>1.2023431181517201</v>
      </c>
      <c r="FD51" s="127"/>
      <c r="FE51" s="127">
        <f t="shared" ref="FE51" si="256">MAX(EE51:EF52)</f>
        <v>-0.87235782111107707</v>
      </c>
      <c r="FF51" s="127"/>
      <c r="FG51" s="127">
        <f t="shared" ref="FG51" si="257">MAX(EG51:EH52)</f>
        <v>-8.9086710193934628</v>
      </c>
      <c r="FH51" s="127"/>
      <c r="FI51" s="127">
        <f t="shared" ref="FI51" si="258">MAX(EI51:EJ52)</f>
        <v>6.468466384393718</v>
      </c>
      <c r="FJ51" s="127"/>
      <c r="FK51" s="127">
        <f t="shared" ref="FK51" si="259">MAX(EK51:EL52)</f>
        <v>9.9803905842996183</v>
      </c>
      <c r="FL51" s="127"/>
      <c r="FM51" s="127">
        <f t="shared" ref="FM51" si="260">MAX(EM51:EN52)</f>
        <v>4.8569081100408802</v>
      </c>
      <c r="FN51" s="127"/>
      <c r="FO51" s="127">
        <f t="shared" ref="FO51" si="261">MAX(EO51:EP52)</f>
        <v>0</v>
      </c>
      <c r="FP51" s="127"/>
      <c r="FT51">
        <v>0.45318144310652686</v>
      </c>
      <c r="FV51">
        <v>0.75497569468509551</v>
      </c>
      <c r="FX51">
        <v>0.6138557367035492</v>
      </c>
      <c r="FZ51">
        <v>0.7187719286036085</v>
      </c>
      <c r="GB51">
        <v>0.39460123852144813</v>
      </c>
      <c r="GD51">
        <v>0.50638947631406417</v>
      </c>
      <c r="GF51">
        <v>0.33547637125151875</v>
      </c>
      <c r="GH51">
        <v>0.65941495736426003</v>
      </c>
      <c r="GJ51">
        <v>0.76194391583749477</v>
      </c>
      <c r="GL51">
        <v>0.15584722749730895</v>
      </c>
      <c r="GN51">
        <v>0.58548188763599118</v>
      </c>
      <c r="GP51">
        <v>7.7413689172764144E-2</v>
      </c>
      <c r="GR51">
        <v>0.47084842990016917</v>
      </c>
    </row>
    <row r="52" spans="1:200" ht="27.75" customHeight="1" x14ac:dyDescent="0.2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1">
        <f t="array" ref="AH52">SUM(A22:C24*$AD$38:$AF$40)</f>
        <v>0</v>
      </c>
      <c r="AI52" s="1">
        <f t="array" ref="AI52">SUM(B22:D24*$AD$38:$AF$40)</f>
        <v>0</v>
      </c>
      <c r="AJ52" s="1">
        <f t="array" ref="AJ52">SUM(C22:E24*$AD$38:$AF$40)</f>
        <v>0</v>
      </c>
      <c r="AK52" s="1">
        <f t="array" ref="AK52">SUM(D22:F24*$AD$38:$AF$40)</f>
        <v>0</v>
      </c>
      <c r="AL52" s="1">
        <f t="array" ref="AL52">SUM(E22:G24*$AD$38:$AF$40)</f>
        <v>-7.0588238537311498E-2</v>
      </c>
      <c r="AM52" s="1">
        <f t="array" ref="AM52">SUM(F22:H24*$AD$38:$AF$40)</f>
        <v>-0.48627454042434598</v>
      </c>
      <c r="AN52" s="1">
        <f t="array" ref="AN52">SUM(G22:I24*$AD$38:$AF$40)</f>
        <v>7.0588238537311498E-2</v>
      </c>
      <c r="AO52" s="1">
        <f t="array" ref="AO52">SUM(H22:J24*$AD$38:$AF$40)</f>
        <v>0.48627454042434598</v>
      </c>
      <c r="AP52" s="1">
        <f t="array" ref="AP52">SUM(I22:K24*$AD$38:$AF$40)</f>
        <v>0</v>
      </c>
      <c r="AQ52" s="1">
        <f t="array" ref="AQ52">SUM(J22:L24*$AD$38:$AF$40)</f>
        <v>0</v>
      </c>
      <c r="AR52" s="1">
        <f t="array" ref="AR52">SUM(K22:M24*$AD$38:$AF$40)</f>
        <v>0</v>
      </c>
      <c r="AS52" s="1">
        <f t="array" ref="AS52">SUM(L22:N24*$AD$38:$AF$40)</f>
        <v>0</v>
      </c>
      <c r="AT52" s="1">
        <f t="array" ref="AT52">SUM(M22:O24*$AD$38:$AF$40)</f>
        <v>0</v>
      </c>
      <c r="AU52" s="1">
        <f t="array" ref="AU52">SUM(N22:P24*$AD$38:$AF$40)</f>
        <v>0</v>
      </c>
      <c r="AV52" s="1">
        <f t="array" ref="AV52">SUM(O22:Q24*$AD$38:$AF$40)</f>
        <v>-0.82352948188781705</v>
      </c>
      <c r="AW52" s="1">
        <f t="array" ref="AW52">SUM(P22:R24*$AD$38:$AF$40)</f>
        <v>-1.8549020588397971</v>
      </c>
      <c r="AX52" s="1">
        <f t="array" ref="AX52">SUM(Q22:S24*$AD$38:$AF$40)</f>
        <v>-2.1647059917449938</v>
      </c>
      <c r="AY52" s="1">
        <f t="array" ref="AY52">SUM(R22:T24*$AD$38:$AF$40)</f>
        <v>-0.73333337903022811</v>
      </c>
      <c r="AZ52" s="1">
        <f t="array" ref="AZ52">SUM(S22:U24*$AD$38:$AF$40)</f>
        <v>2.1137256324291216</v>
      </c>
      <c r="BA52" s="1">
        <f t="array" ref="BA52">SUM(T22:V24*$AD$38:$AF$40)</f>
        <v>2.5882354378700247</v>
      </c>
      <c r="BB52" s="1">
        <f t="array" ref="BB52">SUM(U22:W24*$AD$38:$AF$40)</f>
        <v>0.87450984120368902</v>
      </c>
      <c r="BC52" s="1">
        <f t="array" ref="BC52">SUM(V22:X24*$AD$38:$AF$40)</f>
        <v>0</v>
      </c>
      <c r="BD52" s="1">
        <f t="array" ref="BD52">SUM(W22:Y24*$AD$38:$AF$40)</f>
        <v>0</v>
      </c>
      <c r="BE52" s="1">
        <f t="array" ref="BE52">SUM(X22:Z24*$AD$38:$AF$40)</f>
        <v>0</v>
      </c>
      <c r="BF52" s="1">
        <f t="array" ref="BF52">SUM(Y22:AA24*$AD$38:$AF$40)</f>
        <v>0</v>
      </c>
      <c r="BG52" s="1">
        <f t="array" ref="BG52">SUM(Z22:AB24*$AD$38:$AF$40)</f>
        <v>0</v>
      </c>
      <c r="BH52" s="79"/>
      <c r="BI52" s="79"/>
      <c r="BJ52" s="79"/>
      <c r="BK52" s="1">
        <f t="shared" si="200"/>
        <v>0</v>
      </c>
      <c r="BL52" s="1">
        <f t="shared" si="200"/>
        <v>0</v>
      </c>
      <c r="BM52" s="1">
        <f t="shared" si="200"/>
        <v>0</v>
      </c>
      <c r="BN52" s="1">
        <f t="shared" si="200"/>
        <v>0</v>
      </c>
      <c r="BO52" s="1">
        <f t="shared" si="200"/>
        <v>0</v>
      </c>
      <c r="BP52" s="1">
        <f t="shared" si="200"/>
        <v>0</v>
      </c>
      <c r="BQ52" s="1">
        <f t="shared" si="200"/>
        <v>7.0588238537311498E-2</v>
      </c>
      <c r="BR52" s="1">
        <f t="shared" si="200"/>
        <v>0.48627454042434598</v>
      </c>
      <c r="BS52" s="1">
        <f t="shared" si="200"/>
        <v>0</v>
      </c>
      <c r="BT52" s="1">
        <f t="shared" si="200"/>
        <v>0</v>
      </c>
      <c r="BU52" s="1">
        <f t="shared" si="200"/>
        <v>0</v>
      </c>
      <c r="BV52" s="1">
        <f t="shared" si="200"/>
        <v>0</v>
      </c>
      <c r="BW52" s="1">
        <f t="shared" si="200"/>
        <v>0</v>
      </c>
      <c r="BX52" s="1">
        <f t="shared" si="200"/>
        <v>0</v>
      </c>
      <c r="BY52" s="1">
        <f t="shared" si="200"/>
        <v>0</v>
      </c>
      <c r="BZ52" s="1">
        <f t="shared" si="200"/>
        <v>0</v>
      </c>
      <c r="CA52" s="1">
        <f t="shared" si="201"/>
        <v>0</v>
      </c>
      <c r="CB52" s="1">
        <f t="shared" si="201"/>
        <v>0</v>
      </c>
      <c r="CC52" s="1">
        <f t="shared" si="201"/>
        <v>2.1137256324291216</v>
      </c>
      <c r="CD52" s="1">
        <f t="shared" si="201"/>
        <v>2.5882354378700247</v>
      </c>
      <c r="CE52" s="1">
        <f t="shared" si="201"/>
        <v>0.87450984120368902</v>
      </c>
      <c r="CF52" s="1">
        <f t="shared" si="187"/>
        <v>0</v>
      </c>
      <c r="CG52" s="1">
        <f t="shared" si="187"/>
        <v>0</v>
      </c>
      <c r="CH52" s="1">
        <f t="shared" si="187"/>
        <v>0</v>
      </c>
      <c r="CI52" s="1">
        <f t="shared" si="187"/>
        <v>0</v>
      </c>
      <c r="CJ52" s="1">
        <f t="shared" si="187"/>
        <v>0</v>
      </c>
      <c r="DS52">
        <f t="array" ref="DS52">SUM(AH22:AJ24*$DO$38:$DQ$40)+SUM(AH51:AJ53*$DO$42:$DQ$44)</f>
        <v>0</v>
      </c>
      <c r="DT52">
        <f t="array" ref="DT52">SUM(AI22:AK24*$DO$38:$DQ$40)+SUM(AI51:AK53*$DO$42:$DQ$44)</f>
        <v>0</v>
      </c>
      <c r="DU52">
        <f t="array" ref="DU52">SUM(AJ22:AL24*$DO$38:$DQ$40)+SUM(AJ51:AL53*$DO$42:$DQ$44)</f>
        <v>-0.2416616247634944</v>
      </c>
      <c r="DV52">
        <f t="array" ref="DV52">SUM(AK22:AM24*$DO$38:$DQ$40)+SUM(AK51:AM53*$DO$42:$DQ$44)</f>
        <v>-0.44083413981348119</v>
      </c>
      <c r="DW52">
        <f t="array" ref="DW52">SUM(AL22:AN24*$DO$38:$DQ$40)+SUM(AL51:AN53*$DO$42:$DQ$44)</f>
        <v>0.66495630441760345</v>
      </c>
      <c r="DX52">
        <f t="array" ref="DX52">SUM(AM22:AO24*$DO$38:$DQ$40)+SUM(AM51:AO53*$DO$42:$DQ$44)</f>
        <v>1.5260042766569661</v>
      </c>
      <c r="DY52">
        <f t="array" ref="DY52">SUM(AN22:AP24*$DO$38:$DQ$40)+SUM(AN51:AP53*$DO$42:$DQ$44)</f>
        <v>2.3411853933389017</v>
      </c>
      <c r="DZ52">
        <f t="array" ref="DZ52">SUM(AO22:AQ24*$DO$38:$DQ$40)+SUM(AO51:AQ53*$DO$42:$DQ$44)</f>
        <v>2.3530550167483884</v>
      </c>
      <c r="EA52">
        <f t="array" ref="EA52">SUM(AP22:AR24*$DO$38:$DQ$40)+SUM(AP51:AR53*$DO$42:$DQ$44)</f>
        <v>0.67152685960609992</v>
      </c>
      <c r="EB52">
        <f t="array" ref="EB52">SUM(AQ22:AS24*$DO$38:$DQ$40)+SUM(AQ51:AS53*$DO$42:$DQ$44)</f>
        <v>0.19726855164580356</v>
      </c>
      <c r="EC52">
        <f t="array" ref="EC52">SUM(AR22:AT24*$DO$38:$DQ$40)+SUM(AR51:AT53*$DO$42:$DQ$44)</f>
        <v>0</v>
      </c>
      <c r="ED52">
        <f t="array" ref="ED52">SUM(AS22:AU24*$DO$38:$DQ$40)+SUM(AS51:AU53*$DO$42:$DQ$44)</f>
        <v>0</v>
      </c>
      <c r="EE52">
        <f t="array" ref="EE52">SUM(AT22:AV24*$DO$38:$DQ$40)+SUM(AT51:AV53*$DO$42:$DQ$44)</f>
        <v>-2.6717384927033572</v>
      </c>
      <c r="EF52">
        <f t="array" ref="EF52">SUM(AU22:AW24*$DO$38:$DQ$40)+SUM(AU51:AW53*$DO$42:$DQ$44)</f>
        <v>-6.3304941324643149</v>
      </c>
      <c r="EG52">
        <f t="array" ref="EG52">SUM(AV22:AX24*$DO$38:$DQ$40)+SUM(AV51:AX53*$DO$42:$DQ$44)</f>
        <v>-10.268097713444712</v>
      </c>
      <c r="EH52">
        <f t="array" ref="EH52">SUM(AW22:AY24*$DO$38:$DQ$40)+SUM(AW51:AY53*$DO$42:$DQ$44)</f>
        <v>-8.9086710193934628</v>
      </c>
      <c r="EI52">
        <f t="array" ref="EI52">SUM(AX22:AZ24*$DO$38:$DQ$40)+SUM(AX51:AZ53*$DO$42:$DQ$44)</f>
        <v>-1.8652103291895812</v>
      </c>
      <c r="EJ52">
        <f t="array" ref="EJ52">SUM(AY22:BA24*$DO$38:$DQ$40)+SUM(AY51:BA53*$DO$42:$DQ$44)</f>
        <v>6.468466384393718</v>
      </c>
      <c r="EK52">
        <f t="array" ref="EK52">SUM(AZ22:BB24*$DO$38:$DQ$40)+SUM(AZ51:BB53*$DO$42:$DQ$44)</f>
        <v>9.9803905842996183</v>
      </c>
      <c r="EL52">
        <f t="array" ref="EL52">SUM(BA22:BC24*$DO$38:$DQ$40)+SUM(BA51:BC53*$DO$42:$DQ$44)</f>
        <v>7.5874158764697999</v>
      </c>
      <c r="EM52">
        <f t="array" ref="EM52">SUM(BB22:BD24*$DO$38:$DQ$40)+SUM(BB51:BD53*$DO$42:$DQ$44)</f>
        <v>2.8278843336277619</v>
      </c>
      <c r="EN52">
        <f t="array" ref="EN52">SUM(BC22:BE24*$DO$38:$DQ$40)+SUM(BC51:BE53*$DO$42:$DQ$44)</f>
        <v>0</v>
      </c>
      <c r="EO52">
        <f t="array" ref="EO52">SUM(BD22:BF24*$DO$38:$DQ$40)+SUM(BD51:BF53*$DO$42:$DQ$44)</f>
        <v>0</v>
      </c>
      <c r="EP52">
        <f t="array" ref="EP52">SUM(BE22:BG24*$DO$38:$DQ$40)+SUM(BE51:BG53*$DO$42:$DQ$44)</f>
        <v>0</v>
      </c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</row>
    <row r="53" spans="1:200" ht="27.75" customHeight="1" x14ac:dyDescent="0.25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1">
        <f t="array" ref="AH53">SUM(A23:C25*$AD$38:$AF$40)</f>
        <v>0</v>
      </c>
      <c r="AI53" s="1">
        <f t="array" ref="AI53">SUM(B23:D25*$AD$38:$AF$40)</f>
        <v>0</v>
      </c>
      <c r="AJ53" s="1">
        <f t="array" ref="AJ53">SUM(C23:E25*$AD$38:$AF$40)</f>
        <v>0</v>
      </c>
      <c r="AK53" s="1">
        <f t="array" ref="AK53">SUM(D23:F25*$AD$38:$AF$40)</f>
        <v>0</v>
      </c>
      <c r="AL53" s="1">
        <f t="array" ref="AL53">SUM(E23:G25*$AD$38:$AF$40)</f>
        <v>0</v>
      </c>
      <c r="AM53" s="1">
        <f t="array" ref="AM53">SUM(F23:H25*$AD$38:$AF$40)</f>
        <v>0</v>
      </c>
      <c r="AN53" s="1">
        <f t="array" ref="AN53">SUM(G23:I25*$AD$38:$AF$40)</f>
        <v>0</v>
      </c>
      <c r="AO53" s="1">
        <f t="array" ref="AO53">SUM(H23:J25*$AD$38:$AF$40)</f>
        <v>0</v>
      </c>
      <c r="AP53" s="1">
        <f t="array" ref="AP53">SUM(I23:K25*$AD$38:$AF$40)</f>
        <v>0</v>
      </c>
      <c r="AQ53" s="1">
        <f t="array" ref="AQ53">SUM(J23:L25*$AD$38:$AF$40)</f>
        <v>0</v>
      </c>
      <c r="AR53" s="1">
        <f t="array" ref="AR53">SUM(K23:M25*$AD$38:$AF$40)</f>
        <v>0</v>
      </c>
      <c r="AS53" s="1">
        <f t="array" ref="AS53">SUM(L23:N25*$AD$38:$AF$40)</f>
        <v>0</v>
      </c>
      <c r="AT53" s="1">
        <f t="array" ref="AT53">SUM(M23:O25*$AD$38:$AF$40)</f>
        <v>0</v>
      </c>
      <c r="AU53" s="1">
        <f t="array" ref="AU53">SUM(N23:P25*$AD$38:$AF$40)</f>
        <v>0</v>
      </c>
      <c r="AV53" s="1">
        <f t="array" ref="AV53">SUM(O23:Q25*$AD$38:$AF$40)</f>
        <v>-1.7725491523742671</v>
      </c>
      <c r="AW53" s="1">
        <f t="array" ref="AW53">SUM(P23:R25*$AD$38:$AF$40)</f>
        <v>-2.5215687751770011</v>
      </c>
      <c r="AX53" s="1">
        <f t="array" ref="AX53">SUM(Q23:S25*$AD$38:$AF$40)</f>
        <v>-1.1568627953529349</v>
      </c>
      <c r="AY53" s="1">
        <f t="array" ref="AY53">SUM(R23:T25*$AD$38:$AF$40)</f>
        <v>0.70588240027427596</v>
      </c>
      <c r="AZ53" s="1">
        <f t="array" ref="AZ53">SUM(S23:U25*$AD$38:$AF$40)</f>
        <v>2.705882519483565</v>
      </c>
      <c r="BA53" s="1">
        <f t="array" ref="BA53">SUM(T23:V25*$AD$38:$AF$40)</f>
        <v>1.8156863749027252</v>
      </c>
      <c r="BB53" s="1">
        <f t="array" ref="BB53">SUM(U23:W25*$AD$38:$AF$40)</f>
        <v>0.223529428243637</v>
      </c>
      <c r="BC53" s="1">
        <f t="array" ref="BC53">SUM(V23:X25*$AD$38:$AF$40)</f>
        <v>0</v>
      </c>
      <c r="BD53" s="1">
        <f t="array" ref="BD53">SUM(W23:Y25*$AD$38:$AF$40)</f>
        <v>0</v>
      </c>
      <c r="BE53" s="1">
        <f t="array" ref="BE53">SUM(X23:Z25*$AD$38:$AF$40)</f>
        <v>0</v>
      </c>
      <c r="BF53" s="1">
        <f t="array" ref="BF53">SUM(Y23:AA25*$AD$38:$AF$40)</f>
        <v>0</v>
      </c>
      <c r="BG53" s="1">
        <f t="array" ref="BG53">SUM(Z23:AB25*$AD$38:$AF$40)</f>
        <v>0</v>
      </c>
      <c r="BH53" s="79"/>
      <c r="BI53" s="79"/>
      <c r="BJ53" s="79"/>
      <c r="BK53" s="1">
        <f t="shared" si="200"/>
        <v>0</v>
      </c>
      <c r="BL53" s="1">
        <f t="shared" si="200"/>
        <v>0</v>
      </c>
      <c r="BM53" s="1">
        <f t="shared" si="200"/>
        <v>0</v>
      </c>
      <c r="BN53" s="1">
        <f t="shared" si="200"/>
        <v>0</v>
      </c>
      <c r="BO53" s="1">
        <f t="shared" si="200"/>
        <v>0</v>
      </c>
      <c r="BP53" s="1">
        <f t="shared" si="200"/>
        <v>0</v>
      </c>
      <c r="BQ53" s="1">
        <f t="shared" si="200"/>
        <v>0</v>
      </c>
      <c r="BR53" s="1">
        <f t="shared" si="200"/>
        <v>0</v>
      </c>
      <c r="BS53" s="1">
        <f t="shared" si="200"/>
        <v>0</v>
      </c>
      <c r="BT53" s="1">
        <f t="shared" si="200"/>
        <v>0</v>
      </c>
      <c r="BU53" s="1">
        <f t="shared" si="200"/>
        <v>0</v>
      </c>
      <c r="BV53" s="1">
        <f t="shared" si="200"/>
        <v>0</v>
      </c>
      <c r="BW53" s="1">
        <f t="shared" si="200"/>
        <v>0</v>
      </c>
      <c r="BX53" s="1">
        <f t="shared" si="200"/>
        <v>0</v>
      </c>
      <c r="BY53" s="1">
        <f t="shared" si="200"/>
        <v>0</v>
      </c>
      <c r="BZ53" s="1">
        <f t="shared" si="200"/>
        <v>0</v>
      </c>
      <c r="CA53" s="1">
        <f t="shared" si="201"/>
        <v>0</v>
      </c>
      <c r="CB53" s="1">
        <f t="shared" si="201"/>
        <v>0.70588240027427596</v>
      </c>
      <c r="CC53" s="1">
        <f t="shared" si="201"/>
        <v>2.705882519483565</v>
      </c>
      <c r="CD53" s="1">
        <f t="shared" si="201"/>
        <v>1.8156863749027252</v>
      </c>
      <c r="CE53" s="1">
        <f t="shared" si="201"/>
        <v>0.223529428243637</v>
      </c>
      <c r="CF53" s="1">
        <f t="shared" si="187"/>
        <v>0</v>
      </c>
      <c r="CG53" s="1">
        <f t="shared" si="187"/>
        <v>0</v>
      </c>
      <c r="CH53" s="1">
        <f t="shared" si="187"/>
        <v>0</v>
      </c>
      <c r="CI53" s="1">
        <f t="shared" si="187"/>
        <v>0</v>
      </c>
      <c r="CJ53" s="1">
        <f t="shared" si="187"/>
        <v>0</v>
      </c>
      <c r="DS53">
        <f t="array" ref="DS53">SUM(AH23:AJ25*$DO$38:$DQ$40)+SUM(AH52:AJ54*$DO$42:$DQ$44)</f>
        <v>0</v>
      </c>
      <c r="DT53">
        <f t="array" ref="DT53">SUM(AI23:AK25*$DO$38:$DQ$40)+SUM(AI52:AK54*$DO$42:$DQ$44)</f>
        <v>0</v>
      </c>
      <c r="DU53">
        <f t="array" ref="DU53">SUM(AJ23:AL25*$DO$38:$DQ$40)+SUM(AJ52:AL54*$DO$42:$DQ$44)</f>
        <v>-1.7821530564933869E-2</v>
      </c>
      <c r="DV53">
        <f t="array" ref="DV53">SUM(AK23:AM25*$DO$38:$DQ$40)+SUM(AK52:AM54*$DO$42:$DQ$44)</f>
        <v>-8.6792311562076896E-2</v>
      </c>
      <c r="DW53">
        <f t="array" ref="DW53">SUM(AL23:AN25*$DO$38:$DQ$40)+SUM(AL52:AN54*$DO$42:$DQ$44)</f>
        <v>0.29057211241594383</v>
      </c>
      <c r="DX53">
        <f t="array" ref="DX53">SUM(AM23:AO25*$DO$38:$DQ$40)+SUM(AM52:AO54*$DO$42:$DQ$44)</f>
        <v>0.32668966505138208</v>
      </c>
      <c r="DY53">
        <f t="array" ref="DY53">SUM(AN23:AP25*$DO$38:$DQ$40)+SUM(AN52:AP54*$DO$42:$DQ$44)</f>
        <v>0.28034898057626823</v>
      </c>
      <c r="DZ53">
        <f t="array" ref="DZ53">SUM(AO23:AQ25*$DO$38:$DQ$40)+SUM(AO52:AQ54*$DO$42:$DQ$44)</f>
        <v>0.39453710329160713</v>
      </c>
      <c r="EA53">
        <f t="array" ref="EA53">SUM(AP23:AR25*$DO$38:$DQ$40)+SUM(AP52:AR54*$DO$42:$DQ$44)</f>
        <v>0</v>
      </c>
      <c r="EB53">
        <f t="array" ref="EB53">SUM(AQ23:AS25*$DO$38:$DQ$40)+SUM(AQ52:AS54*$DO$42:$DQ$44)</f>
        <v>0</v>
      </c>
      <c r="EC53">
        <f t="array" ref="EC53">SUM(AR23:AT25*$DO$38:$DQ$40)+SUM(AR52:AT54*$DO$42:$DQ$44)</f>
        <v>0</v>
      </c>
      <c r="ED53">
        <f t="array" ref="ED53">SUM(AS23:AU25*$DO$38:$DQ$40)+SUM(AS52:AU54*$DO$42:$DQ$44)</f>
        <v>-0.5133617177182539</v>
      </c>
      <c r="EE53">
        <f t="array" ref="EE53">SUM(AT23:AV25*$DO$38:$DQ$40)+SUM(AT52:AV54*$DO$42:$DQ$44)</f>
        <v>-4.8861070232443256</v>
      </c>
      <c r="EF53">
        <f t="array" ref="EF53">SUM(AU23:AW25*$DO$38:$DQ$40)+SUM(AU52:AW54*$DO$42:$DQ$44)</f>
        <v>-8.3091317438898447</v>
      </c>
      <c r="EG53">
        <f t="array" ref="EG53">SUM(AV23:AX25*$DO$38:$DQ$40)+SUM(AV52:AX54*$DO$42:$DQ$44)</f>
        <v>-8.7406713682355957</v>
      </c>
      <c r="EH53">
        <f t="array" ref="EH53">SUM(AW23:AY25*$DO$38:$DQ$40)+SUM(AW52:AY54*$DO$42:$DQ$44)</f>
        <v>-4.3676445974274918</v>
      </c>
      <c r="EI53">
        <f t="array" ref="EI53">SUM(AX23:AZ25*$DO$38:$DQ$40)+SUM(AX52:AZ54*$DO$42:$DQ$44)</f>
        <v>4.4274321818272284</v>
      </c>
      <c r="EJ53">
        <f t="array" ref="EJ53">SUM(AY23:BA25*$DO$38:$DQ$40)+SUM(AY52:BA54*$DO$42:$DQ$44)</f>
        <v>9.3499346673038097</v>
      </c>
      <c r="EK53">
        <f t="array" ref="EK53">SUM(AZ23:BB25*$DO$38:$DQ$40)+SUM(AZ52:BB54*$DO$42:$DQ$44)</f>
        <v>9.5220457793100941</v>
      </c>
      <c r="EL53">
        <f t="array" ref="EL53">SUM(BA23:BC25*$DO$38:$DQ$40)+SUM(BA52:BC54*$DO$42:$DQ$44)</f>
        <v>5.4781801686935498</v>
      </c>
      <c r="EM53">
        <f t="array" ref="EM53">SUM(BB23:BD25*$DO$38:$DQ$40)+SUM(BB52:BD54*$DO$42:$DQ$44)</f>
        <v>1.0251327169981468</v>
      </c>
      <c r="EN53">
        <f t="array" ref="EN53">SUM(BC23:BE25*$DO$38:$DQ$40)+SUM(BC52:BE54*$DO$42:$DQ$44)</f>
        <v>0</v>
      </c>
      <c r="EO53">
        <f t="array" ref="EO53">SUM(BD23:BF25*$DO$38:$DQ$40)+SUM(BD52:BF54*$DO$42:$DQ$44)</f>
        <v>0</v>
      </c>
      <c r="EP53">
        <f t="array" ref="EP53">SUM(BE23:BG25*$DO$38:$DQ$40)+SUM(BE52:BG54*$DO$42:$DQ$44)</f>
        <v>0</v>
      </c>
      <c r="ES53" s="127">
        <f t="shared" ref="ES53" si="262">MAX(DS53:DT54)</f>
        <v>0</v>
      </c>
      <c r="ET53" s="127"/>
      <c r="EU53" s="127">
        <f t="shared" ref="EU53" si="263">MAX(DU53:DV54)</f>
        <v>0</v>
      </c>
      <c r="EV53" s="127"/>
      <c r="EW53" s="127">
        <f t="shared" ref="EW53" si="264">MAX(DW53:DX54)</f>
        <v>0.32668966505138208</v>
      </c>
      <c r="EX53" s="127"/>
      <c r="EY53" s="127">
        <f t="shared" ref="EY53" si="265">MAX(DY53:DZ54)</f>
        <v>0.39453710329160713</v>
      </c>
      <c r="EZ53" s="127"/>
      <c r="FA53" s="127">
        <f t="shared" ref="FA53" si="266">MAX(EA53:EB54)</f>
        <v>0</v>
      </c>
      <c r="FB53" s="127"/>
      <c r="FC53" s="127">
        <f t="shared" ref="FC53" si="267">MAX(EC53:ED54)</f>
        <v>0</v>
      </c>
      <c r="FD53" s="127"/>
      <c r="FE53" s="127">
        <f t="shared" ref="FE53" si="268">MAX(EE53:EF54)</f>
        <v>-4.8861070232443256</v>
      </c>
      <c r="FF53" s="127"/>
      <c r="FG53" s="127">
        <f t="shared" ref="FG53" si="269">MAX(EG53:EH54)</f>
        <v>0.16893277208187529</v>
      </c>
      <c r="FH53" s="127"/>
      <c r="FI53" s="127">
        <f t="shared" ref="FI53" si="270">MAX(EI53:EJ54)</f>
        <v>10.333030026224328</v>
      </c>
      <c r="FJ53" s="127"/>
      <c r="FK53" s="127">
        <f t="shared" ref="FK53" si="271">MAX(EK53:EL54)</f>
        <v>9.5220457793100941</v>
      </c>
      <c r="FL53" s="127"/>
      <c r="FM53" s="127">
        <f t="shared" ref="FM53" si="272">MAX(EM53:EN54)</f>
        <v>1.0251327169981468</v>
      </c>
      <c r="FN53" s="127"/>
      <c r="FO53" s="127">
        <f t="shared" ref="FO53" si="273">MAX(EO53:EP54)</f>
        <v>0</v>
      </c>
      <c r="FP53" s="127"/>
      <c r="FT53">
        <v>0.31619475956427956</v>
      </c>
      <c r="FV53">
        <v>0.21466890931588933</v>
      </c>
      <c r="FX53">
        <v>0.55765301823152302</v>
      </c>
      <c r="FZ53">
        <v>0.97235693808314905</v>
      </c>
      <c r="GB53">
        <v>0.15338383393370059</v>
      </c>
      <c r="GD53">
        <v>0.34909107889705004</v>
      </c>
      <c r="GF53">
        <v>0.86693801437310081</v>
      </c>
      <c r="GH53">
        <v>0.99585943769296226</v>
      </c>
      <c r="GJ53">
        <v>0.23577480402097406</v>
      </c>
      <c r="GL53">
        <v>0.94335348038935085</v>
      </c>
      <c r="GN53">
        <v>0.96414270821830694</v>
      </c>
      <c r="GP53">
        <v>0.37972480495552341</v>
      </c>
      <c r="GR53">
        <v>0.33449439821404614</v>
      </c>
    </row>
    <row r="54" spans="1:200" ht="27.75" customHeight="1" x14ac:dyDescent="0.2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1">
        <f t="array" ref="AH54">SUM(A24:C26*$AD$38:$AF$40)</f>
        <v>0</v>
      </c>
      <c r="AI54" s="1">
        <f t="array" ref="AI54">SUM(B24:D26*$AD$38:$AF$40)</f>
        <v>0</v>
      </c>
      <c r="AJ54" s="1">
        <f t="array" ref="AJ54">SUM(C24:E26*$AD$38:$AF$40)</f>
        <v>0</v>
      </c>
      <c r="AK54" s="1">
        <f t="array" ref="AK54">SUM(D24:F26*$AD$38:$AF$40)</f>
        <v>0</v>
      </c>
      <c r="AL54" s="1">
        <f t="array" ref="AL54">SUM(E24:G26*$AD$38:$AF$40)</f>
        <v>0</v>
      </c>
      <c r="AM54" s="1">
        <f t="array" ref="AM54">SUM(F24:H26*$AD$38:$AF$40)</f>
        <v>0</v>
      </c>
      <c r="AN54" s="1">
        <f t="array" ref="AN54">SUM(G24:I26*$AD$38:$AF$40)</f>
        <v>0</v>
      </c>
      <c r="AO54" s="1">
        <f t="array" ref="AO54">SUM(H24:J26*$AD$38:$AF$40)</f>
        <v>0</v>
      </c>
      <c r="AP54" s="1">
        <f t="array" ref="AP54">SUM(I24:K26*$AD$38:$AF$40)</f>
        <v>0</v>
      </c>
      <c r="AQ54" s="1">
        <f t="array" ref="AQ54">SUM(J24:L26*$AD$38:$AF$40)</f>
        <v>0</v>
      </c>
      <c r="AR54" s="1">
        <f t="array" ref="AR54">SUM(K24:M26*$AD$38:$AF$40)</f>
        <v>0</v>
      </c>
      <c r="AS54" s="1">
        <f t="array" ref="AS54">SUM(L24:N26*$AD$38:$AF$40)</f>
        <v>0</v>
      </c>
      <c r="AT54" s="1">
        <f t="array" ref="AT54">SUM(M24:O26*$AD$38:$AF$40)</f>
        <v>0</v>
      </c>
      <c r="AU54" s="1">
        <f t="array" ref="AU54">SUM(N24:P26*$AD$38:$AF$40)</f>
        <v>-0.34901961684226901</v>
      </c>
      <c r="AV54" s="1">
        <f t="array" ref="AV54">SUM(O24:Q26*$AD$38:$AF$40)</f>
        <v>-2.7568629384040824</v>
      </c>
      <c r="AW54" s="1">
        <f t="array" ref="AW54">SUM(P24:R26*$AD$38:$AF$40)</f>
        <v>-2.572549194097518</v>
      </c>
      <c r="AX54" s="1">
        <f t="array" ref="AX54">SUM(Q24:S26*$AD$38:$AF$40)</f>
        <v>0.48627457022666903</v>
      </c>
      <c r="AY54" s="1">
        <f t="array" ref="AY54">SUM(R24:T26*$AD$38:$AF$40)</f>
        <v>2.0392158329486829</v>
      </c>
      <c r="AZ54" s="1">
        <f t="array" ref="AZ54">SUM(S24:U26*$AD$38:$AF$40)</f>
        <v>2.2705883681774131</v>
      </c>
      <c r="BA54" s="1">
        <f t="array" ref="BA54">SUM(T24:V26*$AD$38:$AF$40)</f>
        <v>0.88235297799110401</v>
      </c>
      <c r="BB54" s="1">
        <f t="array" ref="BB54">SUM(U24:W26*$AD$38:$AF$40)</f>
        <v>0</v>
      </c>
      <c r="BC54" s="1">
        <f t="array" ref="BC54">SUM(V24:X26*$AD$38:$AF$40)</f>
        <v>0</v>
      </c>
      <c r="BD54" s="1">
        <f t="array" ref="BD54">SUM(W24:Y26*$AD$38:$AF$40)</f>
        <v>0</v>
      </c>
      <c r="BE54" s="1">
        <f t="array" ref="BE54">SUM(X24:Z26*$AD$38:$AF$40)</f>
        <v>0</v>
      </c>
      <c r="BF54" s="1">
        <f t="array" ref="BF54">SUM(Y24:AA26*$AD$38:$AF$40)</f>
        <v>0</v>
      </c>
      <c r="BG54" s="1">
        <f t="array" ref="BG54">SUM(Z24:AB26*$AD$38:$AF$40)</f>
        <v>0</v>
      </c>
      <c r="BH54" s="79"/>
      <c r="BI54" s="79"/>
      <c r="BJ54" s="79"/>
      <c r="BK54" s="1">
        <f t="shared" si="200"/>
        <v>0</v>
      </c>
      <c r="BL54" s="1">
        <f t="shared" si="200"/>
        <v>0</v>
      </c>
      <c r="BM54" s="1">
        <f t="shared" si="200"/>
        <v>0</v>
      </c>
      <c r="BN54" s="1">
        <f t="shared" si="200"/>
        <v>0</v>
      </c>
      <c r="BO54" s="1">
        <f t="shared" si="200"/>
        <v>0</v>
      </c>
      <c r="BP54" s="1">
        <f t="shared" si="200"/>
        <v>0</v>
      </c>
      <c r="BQ54" s="1">
        <f t="shared" si="200"/>
        <v>0</v>
      </c>
      <c r="BR54" s="1">
        <f t="shared" si="200"/>
        <v>0</v>
      </c>
      <c r="BS54" s="1">
        <f t="shared" si="200"/>
        <v>0</v>
      </c>
      <c r="BT54" s="1">
        <f t="shared" si="200"/>
        <v>0</v>
      </c>
      <c r="BU54" s="1">
        <f t="shared" si="200"/>
        <v>0</v>
      </c>
      <c r="BV54" s="1">
        <f t="shared" si="200"/>
        <v>0</v>
      </c>
      <c r="BW54" s="1">
        <f t="shared" si="200"/>
        <v>0</v>
      </c>
      <c r="BX54" s="1">
        <f t="shared" si="200"/>
        <v>0</v>
      </c>
      <c r="BY54" s="1">
        <f t="shared" si="200"/>
        <v>0</v>
      </c>
      <c r="BZ54" s="1">
        <f t="shared" si="200"/>
        <v>0</v>
      </c>
      <c r="CA54" s="1">
        <f t="shared" si="201"/>
        <v>0.48627457022666903</v>
      </c>
      <c r="CB54" s="1">
        <f t="shared" si="201"/>
        <v>2.0392158329486829</v>
      </c>
      <c r="CC54" s="1">
        <f t="shared" si="201"/>
        <v>2.2705883681774131</v>
      </c>
      <c r="CD54" s="1">
        <f t="shared" si="201"/>
        <v>0.88235297799110401</v>
      </c>
      <c r="CE54" s="1">
        <f t="shared" si="201"/>
        <v>0</v>
      </c>
      <c r="CF54" s="1">
        <f t="shared" si="187"/>
        <v>0</v>
      </c>
      <c r="CG54" s="1">
        <f t="shared" si="187"/>
        <v>0</v>
      </c>
      <c r="CH54" s="1">
        <f t="shared" si="187"/>
        <v>0</v>
      </c>
      <c r="CI54" s="1">
        <f t="shared" si="187"/>
        <v>0</v>
      </c>
      <c r="CJ54" s="1">
        <f t="shared" si="187"/>
        <v>0</v>
      </c>
      <c r="DS54">
        <f t="array" ref="DS54">SUM(AH24:AJ26*$DO$38:$DQ$40)+SUM(AH53:AJ55*$DO$42:$DQ$44)</f>
        <v>0</v>
      </c>
      <c r="DT54">
        <f t="array" ref="DT54">SUM(AI24:AK26*$DO$38:$DQ$40)+SUM(AI53:AK55*$DO$42:$DQ$44)</f>
        <v>0</v>
      </c>
      <c r="DU54">
        <f t="array" ref="DU54">SUM(AJ24:AL26*$DO$38:$DQ$40)+SUM(AJ53:AL55*$DO$42:$DQ$44)</f>
        <v>0</v>
      </c>
      <c r="DV54">
        <f t="array" ref="DV54">SUM(AK24:AM26*$DO$38:$DQ$40)+SUM(AK53:AM55*$DO$42:$DQ$44)</f>
        <v>0</v>
      </c>
      <c r="DW54">
        <f t="array" ref="DW54">SUM(AL24:AN26*$DO$38:$DQ$40)+SUM(AL53:AN55*$DO$42:$DQ$44)</f>
        <v>0</v>
      </c>
      <c r="DX54">
        <f t="array" ref="DX54">SUM(AM24:AO26*$DO$38:$DQ$40)+SUM(AM53:AO55*$DO$42:$DQ$44)</f>
        <v>0</v>
      </c>
      <c r="DY54">
        <f t="array" ref="DY54">SUM(AN24:AP26*$DO$38:$DQ$40)+SUM(AN53:AP55*$DO$42:$DQ$44)</f>
        <v>0</v>
      </c>
      <c r="DZ54">
        <f t="array" ref="DZ54">SUM(AO24:AQ26*$DO$38:$DQ$40)+SUM(AO53:AQ55*$DO$42:$DQ$44)</f>
        <v>0</v>
      </c>
      <c r="EA54">
        <f t="array" ref="EA54">SUM(AP24:AR26*$DO$38:$DQ$40)+SUM(AP53:AR55*$DO$42:$DQ$44)</f>
        <v>0</v>
      </c>
      <c r="EB54">
        <f t="array" ref="EB54">SUM(AQ24:AS26*$DO$38:$DQ$40)+SUM(AQ53:AS55*$DO$42:$DQ$44)</f>
        <v>0</v>
      </c>
      <c r="EC54">
        <f t="array" ref="EC54">SUM(AR24:AT26*$DO$38:$DQ$40)+SUM(AR53:AT55*$DO$42:$DQ$44)</f>
        <v>-2.8840546216276582E-2</v>
      </c>
      <c r="ED54">
        <f t="array" ref="ED54">SUM(AS24:AU26*$DO$38:$DQ$40)+SUM(AS53:AU55*$DO$42:$DQ$44)</f>
        <v>-1.7531780393275789</v>
      </c>
      <c r="EE54">
        <f t="array" ref="EE54">SUM(AT24:AV26*$DO$38:$DQ$40)+SUM(AT53:AV55*$DO$42:$DQ$44)</f>
        <v>-6.931505786711333</v>
      </c>
      <c r="EF54">
        <f t="array" ref="EF54">SUM(AU24:AW26*$DO$38:$DQ$40)+SUM(AU53:AW55*$DO$42:$DQ$44)</f>
        <v>-9.4286718199470645</v>
      </c>
      <c r="EG54">
        <f t="array" ref="EG54">SUM(AV24:AX26*$DO$38:$DQ$40)+SUM(AV53:AX55*$DO$42:$DQ$44)</f>
        <v>-6.8037176107866344</v>
      </c>
      <c r="EH54">
        <f t="array" ref="EH54">SUM(AW24:AY26*$DO$38:$DQ$40)+SUM(AW53:AY55*$DO$42:$DQ$44)</f>
        <v>0.16893277208187529</v>
      </c>
      <c r="EI54">
        <f t="array" ref="EI54">SUM(AX24:AZ26*$DO$38:$DQ$40)+SUM(AX53:AZ55*$DO$42:$DQ$44)</f>
        <v>9.3003334309336534</v>
      </c>
      <c r="EJ54">
        <f t="array" ref="EJ54">SUM(AY24:BA26*$DO$38:$DQ$40)+SUM(AY53:BA55*$DO$42:$DQ$44)</f>
        <v>10.333030026224328</v>
      </c>
      <c r="EK54">
        <f t="array" ref="EK54">SUM(AZ24:BB26*$DO$38:$DQ$40)+SUM(AZ53:BB55*$DO$42:$DQ$44)</f>
        <v>7.7355734082668119</v>
      </c>
      <c r="EL54">
        <f t="array" ref="EL54">SUM(BA24:BC26*$DO$38:$DQ$40)+SUM(BA53:BC55*$DO$42:$DQ$44)</f>
        <v>2.9605922748155153</v>
      </c>
      <c r="EM54">
        <f t="array" ref="EM54">SUM(BB24:BD26*$DO$38:$DQ$40)+SUM(BB53:BD55*$DO$42:$DQ$44)</f>
        <v>0.18135979943082031</v>
      </c>
      <c r="EN54">
        <f t="array" ref="EN54">SUM(BC24:BE26*$DO$38:$DQ$40)+SUM(BC53:BE55*$DO$42:$DQ$44)</f>
        <v>0</v>
      </c>
      <c r="EO54">
        <f t="array" ref="EO54">SUM(BD24:BF26*$DO$38:$DQ$40)+SUM(BD53:BF55*$DO$42:$DQ$44)</f>
        <v>0</v>
      </c>
      <c r="EP54">
        <f t="array" ref="EP54">SUM(BE24:BG26*$DO$38:$DQ$40)+SUM(BE53:BG55*$DO$42:$DQ$44)</f>
        <v>0</v>
      </c>
      <c r="ES54" s="127"/>
      <c r="ET54" s="127"/>
      <c r="EU54" s="127"/>
      <c r="EV54" s="127"/>
      <c r="EW54" s="127"/>
      <c r="EX54" s="127"/>
      <c r="EY54" s="127"/>
      <c r="EZ54" s="127"/>
      <c r="FA54" s="127"/>
      <c r="FB54" s="127"/>
      <c r="FC54" s="127"/>
      <c r="FD54" s="127"/>
      <c r="FE54" s="127"/>
      <c r="FF54" s="127"/>
      <c r="FG54" s="127"/>
      <c r="FH54" s="127"/>
      <c r="FI54" s="127"/>
      <c r="FJ54" s="127"/>
      <c r="FK54" s="127"/>
      <c r="FL54" s="127"/>
      <c r="FM54" s="127"/>
      <c r="FN54" s="127"/>
      <c r="FO54" s="127"/>
      <c r="FP54" s="127"/>
    </row>
    <row r="55" spans="1:200" ht="27.75" customHeight="1" x14ac:dyDescent="0.2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1">
        <f t="array" ref="AH55">SUM(A25:C27*$AD$38:$AF$40)</f>
        <v>0</v>
      </c>
      <c r="AI55" s="1">
        <f t="array" ref="AI55">SUM(B25:D27*$AD$38:$AF$40)</f>
        <v>0</v>
      </c>
      <c r="AJ55" s="1">
        <f t="array" ref="AJ55">SUM(C25:E27*$AD$38:$AF$40)</f>
        <v>0</v>
      </c>
      <c r="AK55" s="1">
        <f t="array" ref="AK55">SUM(D25:F27*$AD$38:$AF$40)</f>
        <v>0</v>
      </c>
      <c r="AL55" s="1">
        <f t="array" ref="AL55">SUM(E25:G27*$AD$38:$AF$40)</f>
        <v>0</v>
      </c>
      <c r="AM55" s="1">
        <f t="array" ref="AM55">SUM(F25:H27*$AD$38:$AF$40)</f>
        <v>0</v>
      </c>
      <c r="AN55" s="1">
        <f t="array" ref="AN55">SUM(G25:I27*$AD$38:$AF$40)</f>
        <v>0</v>
      </c>
      <c r="AO55" s="1">
        <f t="array" ref="AO55">SUM(H25:J27*$AD$38:$AF$40)</f>
        <v>0</v>
      </c>
      <c r="AP55" s="1">
        <f t="array" ref="AP55">SUM(I25:K27*$AD$38:$AF$40)</f>
        <v>0</v>
      </c>
      <c r="AQ55" s="1">
        <f t="array" ref="AQ55">SUM(J25:L27*$AD$38:$AF$40)</f>
        <v>0</v>
      </c>
      <c r="AR55" s="1">
        <f t="array" ref="AR55">SUM(K25:M27*$AD$38:$AF$40)</f>
        <v>0</v>
      </c>
      <c r="AS55" s="1">
        <f t="array" ref="AS55">SUM(L25:N27*$AD$38:$AF$40)</f>
        <v>0</v>
      </c>
      <c r="AT55" s="1">
        <f t="array" ref="AT55">SUM(M25:O27*$AD$38:$AF$40)</f>
        <v>-1.9607843831181498E-2</v>
      </c>
      <c r="AU55" s="1">
        <f t="array" ref="AU55">SUM(N25:P27*$AD$38:$AF$40)</f>
        <v>-1.1568628251552568</v>
      </c>
      <c r="AV55" s="1">
        <f t="array" ref="AV55">SUM(O25:Q27*$AD$38:$AF$40)</f>
        <v>-2.8784315567463623</v>
      </c>
      <c r="AW55" s="1">
        <f t="array" ref="AW55">SUM(P25:R27*$AD$38:$AF$40)</f>
        <v>-1.4000000655651093</v>
      </c>
      <c r="AX55" s="1">
        <f t="array" ref="AX55">SUM(Q25:S27*$AD$38:$AF$40)</f>
        <v>1.6235295236110678</v>
      </c>
      <c r="AY55" s="1">
        <f t="array" ref="AY55">SUM(R25:T27*$AD$38:$AF$40)</f>
        <v>2.333333462476729</v>
      </c>
      <c r="AZ55" s="1">
        <f t="array" ref="AZ55">SUM(S25:U27*$AD$38:$AF$40)</f>
        <v>1.274509876966476</v>
      </c>
      <c r="BA55" s="1">
        <f t="array" ref="BA55">SUM(T25:V27*$AD$38:$AF$40)</f>
        <v>0.223529428243637</v>
      </c>
      <c r="BB55" s="1">
        <f t="array" ref="BB55">SUM(U25:W27*$AD$38:$AF$40)</f>
        <v>0</v>
      </c>
      <c r="BC55" s="1">
        <f t="array" ref="BC55">SUM(V25:X27*$AD$38:$AF$40)</f>
        <v>0</v>
      </c>
      <c r="BD55" s="1">
        <f t="array" ref="BD55">SUM(W25:Y27*$AD$38:$AF$40)</f>
        <v>0</v>
      </c>
      <c r="BE55" s="1">
        <f t="array" ref="BE55">SUM(X25:Z27*$AD$38:$AF$40)</f>
        <v>0</v>
      </c>
      <c r="BF55" s="1">
        <f t="array" ref="BF55">SUM(Y25:AA27*$AD$38:$AF$40)</f>
        <v>0</v>
      </c>
      <c r="BG55" s="1">
        <f t="array" ref="BG55">SUM(Z25:AB27*$AD$38:$AF$40)</f>
        <v>0</v>
      </c>
      <c r="BH55" s="79"/>
      <c r="BI55" s="79"/>
      <c r="BJ55" s="79"/>
      <c r="BK55" s="1">
        <f t="shared" si="200"/>
        <v>0</v>
      </c>
      <c r="BL55" s="1">
        <f t="shared" si="200"/>
        <v>0</v>
      </c>
      <c r="BM55" s="1">
        <f t="shared" si="200"/>
        <v>0</v>
      </c>
      <c r="BN55" s="1">
        <f t="shared" si="200"/>
        <v>0</v>
      </c>
      <c r="BO55" s="1">
        <f t="shared" si="200"/>
        <v>0</v>
      </c>
      <c r="BP55" s="1">
        <f t="shared" si="200"/>
        <v>0</v>
      </c>
      <c r="BQ55" s="1">
        <f t="shared" si="200"/>
        <v>0</v>
      </c>
      <c r="BR55" s="1">
        <f t="shared" si="200"/>
        <v>0</v>
      </c>
      <c r="BS55" s="1">
        <f t="shared" si="200"/>
        <v>0</v>
      </c>
      <c r="BT55" s="1">
        <f t="shared" si="200"/>
        <v>0</v>
      </c>
      <c r="BU55" s="1">
        <f t="shared" si="200"/>
        <v>0</v>
      </c>
      <c r="BV55" s="1">
        <f t="shared" si="200"/>
        <v>0</v>
      </c>
      <c r="BW55" s="1">
        <f t="shared" si="200"/>
        <v>0</v>
      </c>
      <c r="BX55" s="1">
        <f t="shared" si="200"/>
        <v>0</v>
      </c>
      <c r="BY55" s="1">
        <f t="shared" si="200"/>
        <v>0</v>
      </c>
      <c r="BZ55" s="1">
        <f t="shared" si="200"/>
        <v>0</v>
      </c>
      <c r="CA55" s="1">
        <f t="shared" si="201"/>
        <v>1.6235295236110678</v>
      </c>
      <c r="CB55" s="1">
        <f t="shared" si="201"/>
        <v>2.333333462476729</v>
      </c>
      <c r="CC55" s="1">
        <f t="shared" si="201"/>
        <v>1.274509876966476</v>
      </c>
      <c r="CD55" s="1">
        <f t="shared" si="201"/>
        <v>0.223529428243637</v>
      </c>
      <c r="CE55" s="1">
        <f t="shared" si="201"/>
        <v>0</v>
      </c>
      <c r="CF55" s="1">
        <f t="shared" si="187"/>
        <v>0</v>
      </c>
      <c r="CG55" s="1">
        <f t="shared" si="187"/>
        <v>0</v>
      </c>
      <c r="CH55" s="1">
        <f t="shared" si="187"/>
        <v>0</v>
      </c>
      <c r="CI55" s="1">
        <f t="shared" si="187"/>
        <v>0</v>
      </c>
      <c r="CJ55" s="1">
        <f t="shared" si="187"/>
        <v>0</v>
      </c>
      <c r="DS55">
        <f t="array" ref="DS55">SUM(AH25:AJ27*$DO$38:$DQ$40)+SUM(AH54:AJ56*$DO$42:$DQ$44)</f>
        <v>0</v>
      </c>
      <c r="DT55">
        <f t="array" ref="DT55">SUM(AI25:AK27*$DO$38:$DQ$40)+SUM(AI54:AK56*$DO$42:$DQ$44)</f>
        <v>0</v>
      </c>
      <c r="DU55">
        <f t="array" ref="DU55">SUM(AJ25:AL27*$DO$38:$DQ$40)+SUM(AJ54:AL56*$DO$42:$DQ$44)</f>
        <v>0</v>
      </c>
      <c r="DV55">
        <f t="array" ref="DV55">SUM(AK25:AM27*$DO$38:$DQ$40)+SUM(AK54:AM56*$DO$42:$DQ$44)</f>
        <v>0</v>
      </c>
      <c r="DW55">
        <f t="array" ref="DW55">SUM(AL25:AN27*$DO$38:$DQ$40)+SUM(AL54:AN56*$DO$42:$DQ$44)</f>
        <v>0</v>
      </c>
      <c r="DX55">
        <f t="array" ref="DX55">SUM(AM25:AO27*$DO$38:$DQ$40)+SUM(AM54:AO56*$DO$42:$DQ$44)</f>
        <v>0</v>
      </c>
      <c r="DY55">
        <f t="array" ref="DY55">SUM(AN25:AP27*$DO$38:$DQ$40)+SUM(AN54:AP56*$DO$42:$DQ$44)</f>
        <v>0</v>
      </c>
      <c r="DZ55">
        <f t="array" ref="DZ55">SUM(AO25:AQ27*$DO$38:$DQ$40)+SUM(AO54:AQ56*$DO$42:$DQ$44)</f>
        <v>0</v>
      </c>
      <c r="EA55">
        <f t="array" ref="EA55">SUM(AP25:AR27*$DO$38:$DQ$40)+SUM(AP54:AR56*$DO$42:$DQ$44)</f>
        <v>0</v>
      </c>
      <c r="EB55">
        <f t="array" ref="EB55">SUM(AQ25:AS27*$DO$38:$DQ$40)+SUM(AQ54:AS56*$DO$42:$DQ$44)</f>
        <v>0</v>
      </c>
      <c r="EC55">
        <f t="array" ref="EC55">SUM(AR25:AT27*$DO$38:$DQ$40)+SUM(AR54:AT56*$DO$42:$DQ$44)</f>
        <v>-5.3449960130737412E-2</v>
      </c>
      <c r="ED55">
        <f t="array" ref="ED55">SUM(AS25:AU27*$DO$38:$DQ$40)+SUM(AS54:AU56*$DO$42:$DQ$44)</f>
        <v>-2.6152596188774377</v>
      </c>
      <c r="EE55">
        <f t="array" ref="EE55">SUM(AT25:AV27*$DO$38:$DQ$40)+SUM(AT54:AV56*$DO$42:$DQ$44)</f>
        <v>-6.411273497883748</v>
      </c>
      <c r="EF55">
        <f t="array" ref="EF55">SUM(AU25:AW27*$DO$38:$DQ$40)+SUM(AU54:AW56*$DO$42:$DQ$44)</f>
        <v>-6.0682985818724537</v>
      </c>
      <c r="EG55">
        <f t="array" ref="EG55">SUM(AV25:AX27*$DO$38:$DQ$40)+SUM(AV54:AX56*$DO$42:$DQ$44)</f>
        <v>-1.165087579316749</v>
      </c>
      <c r="EH55">
        <f t="array" ref="EH55">SUM(AW25:AY27*$DO$38:$DQ$40)+SUM(AW54:AY56*$DO$42:$DQ$44)</f>
        <v>5.9271979494867733</v>
      </c>
      <c r="EI55">
        <f t="array" ref="EI55">SUM(AX25:AZ27*$DO$38:$DQ$40)+SUM(AX54:AZ56*$DO$42:$DQ$44)</f>
        <v>11.186191458272088</v>
      </c>
      <c r="EJ55">
        <f t="array" ref="EJ55">SUM(AY25:BA27*$DO$38:$DQ$40)+SUM(AY54:BA56*$DO$42:$DQ$44)</f>
        <v>8.8830322595865994</v>
      </c>
      <c r="EK55">
        <f t="array" ref="EK55">SUM(AZ25:BB27*$DO$38:$DQ$40)+SUM(AZ54:BB56*$DO$42:$DQ$44)</f>
        <v>4.4516641823310348</v>
      </c>
      <c r="EL55">
        <f t="array" ref="EL55">SUM(BA25:BC27*$DO$38:$DQ$40)+SUM(BA54:BC56*$DO$42:$DQ$44)</f>
        <v>1.0314962178841405</v>
      </c>
      <c r="EM55">
        <f t="array" ref="EM55">SUM(BB25:BD27*$DO$38:$DQ$40)+SUM(BB54:BD56*$DO$42:$DQ$44)</f>
        <v>0</v>
      </c>
      <c r="EN55">
        <f t="array" ref="EN55">SUM(BC25:BE27*$DO$38:$DQ$40)+SUM(BC54:BE56*$DO$42:$DQ$44)</f>
        <v>0</v>
      </c>
      <c r="EO55">
        <f t="array" ref="EO55">SUM(BD25:BF27*$DO$38:$DQ$40)+SUM(BD54:BF56*$DO$42:$DQ$44)</f>
        <v>0</v>
      </c>
      <c r="EP55">
        <f t="array" ref="EP55">SUM(BE25:BG27*$DO$38:$DQ$40)+SUM(BE54:BG56*$DO$42:$DQ$44)</f>
        <v>0</v>
      </c>
      <c r="ES55" s="127">
        <f t="shared" ref="ES55" si="274">MAX(DS55:DT56)</f>
        <v>0</v>
      </c>
      <c r="ET55" s="127"/>
      <c r="EU55" s="127">
        <f t="shared" ref="EU55" si="275">MAX(DU55:DV56)</f>
        <v>0</v>
      </c>
      <c r="EV55" s="127"/>
      <c r="EW55" s="127">
        <f t="shared" ref="EW55" si="276">MAX(DW55:DX56)</f>
        <v>0</v>
      </c>
      <c r="EX55" s="127"/>
      <c r="EY55" s="127">
        <f t="shared" ref="EY55" si="277">MAX(DY55:DZ56)</f>
        <v>0</v>
      </c>
      <c r="EZ55" s="127"/>
      <c r="FA55" s="127">
        <f t="shared" ref="FA55" si="278">MAX(EA55:EB56)</f>
        <v>0</v>
      </c>
      <c r="FB55" s="127"/>
      <c r="FC55" s="127">
        <f t="shared" ref="FC55" si="279">MAX(EC55:ED56)</f>
        <v>-5.3449960130737412E-2</v>
      </c>
      <c r="FD55" s="127"/>
      <c r="FE55" s="127">
        <f t="shared" ref="FE55" si="280">MAX(EE55:EF56)</f>
        <v>-1.6140853044003656</v>
      </c>
      <c r="FF55" s="127"/>
      <c r="FG55" s="127">
        <f t="shared" ref="FG55" si="281">MAX(EG55:EH56)</f>
        <v>9.1506828508986935</v>
      </c>
      <c r="FH55" s="127"/>
      <c r="FI55" s="127">
        <f t="shared" ref="FI55" si="282">MAX(EI55:EJ56)</f>
        <v>11.186191458272088</v>
      </c>
      <c r="FJ55" s="127"/>
      <c r="FK55" s="127">
        <f t="shared" ref="FK55" si="283">MAX(EK55:EL56)</f>
        <v>4.4516641823310348</v>
      </c>
      <c r="FL55" s="127"/>
      <c r="FM55" s="127">
        <f t="shared" ref="FM55" si="284">MAX(EM55:EN56)</f>
        <v>0</v>
      </c>
      <c r="FN55" s="127"/>
      <c r="FO55" s="127">
        <f t="shared" ref="FO55" si="285">MAX(EO55:EP56)</f>
        <v>0</v>
      </c>
      <c r="FP55" s="127"/>
      <c r="FT55">
        <v>0.90635295352609024</v>
      </c>
      <c r="FV55">
        <v>0.52326504879196001</v>
      </c>
      <c r="FX55">
        <v>0.71081254968662744</v>
      </c>
      <c r="FZ55">
        <v>0.31386502263634153</v>
      </c>
      <c r="GB55">
        <v>0.69122785475977955</v>
      </c>
      <c r="GD55">
        <v>0.36025085501523402</v>
      </c>
      <c r="GF55">
        <v>0.4864273561912601</v>
      </c>
      <c r="GH55">
        <v>0.2588136503216435</v>
      </c>
      <c r="GJ55">
        <v>0.31217169269405687</v>
      </c>
      <c r="GL55">
        <v>0.93041638997182319</v>
      </c>
      <c r="GN55">
        <v>2.925286186074294E-2</v>
      </c>
      <c r="GP55">
        <v>0.23087015583751236</v>
      </c>
      <c r="GR55">
        <v>0.86842391434777921</v>
      </c>
    </row>
    <row r="56" spans="1:200" ht="27.75" customHeight="1" x14ac:dyDescent="0.2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1">
        <f t="array" ref="AH56">SUM(A26:C28*$AD$38:$AF$40)</f>
        <v>0</v>
      </c>
      <c r="AI56" s="1">
        <f t="array" ref="AI56">SUM(B26:D28*$AD$38:$AF$40)</f>
        <v>0</v>
      </c>
      <c r="AJ56" s="1">
        <f t="array" ref="AJ56">SUM(C26:E28*$AD$38:$AF$40)</f>
        <v>0</v>
      </c>
      <c r="AK56" s="1">
        <f t="array" ref="AK56">SUM(D26:F28*$AD$38:$AF$40)</f>
        <v>0</v>
      </c>
      <c r="AL56" s="1">
        <f t="array" ref="AL56">SUM(E26:G28*$AD$38:$AF$40)</f>
        <v>0</v>
      </c>
      <c r="AM56" s="1">
        <f t="array" ref="AM56">SUM(F26:H28*$AD$38:$AF$40)</f>
        <v>0</v>
      </c>
      <c r="AN56" s="1">
        <f t="array" ref="AN56">SUM(G26:I28*$AD$38:$AF$40)</f>
        <v>0</v>
      </c>
      <c r="AO56" s="1">
        <f t="array" ref="AO56">SUM(H26:J28*$AD$38:$AF$40)</f>
        <v>0</v>
      </c>
      <c r="AP56" s="1">
        <f t="array" ref="AP56">SUM(I26:K28*$AD$38:$AF$40)</f>
        <v>0</v>
      </c>
      <c r="AQ56" s="1">
        <f t="array" ref="AQ56">SUM(J26:L28*$AD$38:$AF$40)</f>
        <v>0</v>
      </c>
      <c r="AR56" s="1">
        <f t="array" ref="AR56">SUM(K26:M28*$AD$38:$AF$40)</f>
        <v>0</v>
      </c>
      <c r="AS56" s="1">
        <f t="array" ref="AS56">SUM(L26:N28*$AD$38:$AF$40)</f>
        <v>0</v>
      </c>
      <c r="AT56" s="1">
        <f t="array" ref="AT56">SUM(M26:O28*$AD$38:$AF$40)</f>
        <v>-3.5294119268655694E-2</v>
      </c>
      <c r="AU56" s="1">
        <f t="array" ref="AU56">SUM(N26:P28*$AD$38:$AF$40)</f>
        <v>-1.615686386823652</v>
      </c>
      <c r="AV56" s="1">
        <f t="array" ref="AV56">SUM(O26:Q28*$AD$38:$AF$40)</f>
        <v>-2.1843138597905623</v>
      </c>
      <c r="AW56" s="1">
        <f t="array" ref="AW56">SUM(P26:R28*$AD$38:$AF$40)</f>
        <v>5.4901987314222911E-2</v>
      </c>
      <c r="AX56" s="1">
        <f t="array" ref="AX56">SUM(Q26:S28*$AD$38:$AF$40)</f>
        <v>1.88235306739807</v>
      </c>
      <c r="AY56" s="1">
        <f t="array" ref="AY56">SUM(R26:T28*$AD$38:$AF$40)</f>
        <v>1.560784399509429</v>
      </c>
      <c r="AZ56" s="1">
        <f t="array" ref="AZ56">SUM(S26:U28*$AD$38:$AF$40)</f>
        <v>0.33725491166114802</v>
      </c>
      <c r="BA56" s="1">
        <f t="array" ref="BA56">SUM(T26:V28*$AD$38:$AF$40)</f>
        <v>0</v>
      </c>
      <c r="BB56" s="1">
        <f t="array" ref="BB56">SUM(U26:W28*$AD$38:$AF$40)</f>
        <v>0</v>
      </c>
      <c r="BC56" s="1">
        <f t="array" ref="BC56">SUM(V26:X28*$AD$38:$AF$40)</f>
        <v>0</v>
      </c>
      <c r="BD56" s="1">
        <f t="array" ref="BD56">SUM(W26:Y28*$AD$38:$AF$40)</f>
        <v>0</v>
      </c>
      <c r="BE56" s="1">
        <f t="array" ref="BE56">SUM(X26:Z28*$AD$38:$AF$40)</f>
        <v>0</v>
      </c>
      <c r="BF56" s="1">
        <f t="array" ref="BF56">SUM(Y26:AA28*$AD$38:$AF$40)</f>
        <v>0</v>
      </c>
      <c r="BG56" s="1">
        <f t="array" ref="BG56">SUM(Z26:AB28*$AD$38:$AF$40)</f>
        <v>0</v>
      </c>
      <c r="BH56" s="79"/>
      <c r="BI56" s="79"/>
      <c r="BJ56" s="79"/>
      <c r="BK56" s="1">
        <f t="shared" si="200"/>
        <v>0</v>
      </c>
      <c r="BL56" s="1">
        <f t="shared" si="200"/>
        <v>0</v>
      </c>
      <c r="BM56" s="1">
        <f t="shared" si="200"/>
        <v>0</v>
      </c>
      <c r="BN56" s="1">
        <f t="shared" si="200"/>
        <v>0</v>
      </c>
      <c r="BO56" s="1">
        <f t="shared" si="200"/>
        <v>0</v>
      </c>
      <c r="BP56" s="1">
        <f t="shared" si="200"/>
        <v>0</v>
      </c>
      <c r="BQ56" s="1">
        <f t="shared" si="200"/>
        <v>0</v>
      </c>
      <c r="BR56" s="1">
        <f t="shared" si="200"/>
        <v>0</v>
      </c>
      <c r="BS56" s="1">
        <f t="shared" si="200"/>
        <v>0</v>
      </c>
      <c r="BT56" s="1">
        <f t="shared" si="200"/>
        <v>0</v>
      </c>
      <c r="BU56" s="1">
        <f t="shared" si="200"/>
        <v>0</v>
      </c>
      <c r="BV56" s="1">
        <f t="shared" si="200"/>
        <v>0</v>
      </c>
      <c r="BW56" s="1">
        <f t="shared" si="200"/>
        <v>0</v>
      </c>
      <c r="BX56" s="1">
        <f t="shared" si="200"/>
        <v>0</v>
      </c>
      <c r="BY56" s="1">
        <f t="shared" si="200"/>
        <v>0</v>
      </c>
      <c r="BZ56" s="1">
        <f t="shared" si="200"/>
        <v>5.4901987314222911E-2</v>
      </c>
      <c r="CA56" s="1">
        <f t="shared" si="201"/>
        <v>1.88235306739807</v>
      </c>
      <c r="CB56" s="1">
        <f t="shared" si="201"/>
        <v>1.560784399509429</v>
      </c>
      <c r="CC56" s="1">
        <f t="shared" si="201"/>
        <v>0.33725491166114802</v>
      </c>
      <c r="CD56" s="1">
        <f t="shared" si="201"/>
        <v>0</v>
      </c>
      <c r="CE56" s="1">
        <f t="shared" si="201"/>
        <v>0</v>
      </c>
      <c r="CF56" s="1">
        <f t="shared" si="187"/>
        <v>0</v>
      </c>
      <c r="CG56" s="1">
        <f t="shared" si="187"/>
        <v>0</v>
      </c>
      <c r="CH56" s="1">
        <f t="shared" si="187"/>
        <v>0</v>
      </c>
      <c r="CI56" s="1">
        <f t="shared" si="187"/>
        <v>0</v>
      </c>
      <c r="CJ56" s="1">
        <f t="shared" si="187"/>
        <v>0</v>
      </c>
      <c r="DS56">
        <f t="array" ref="DS56">SUM(AH26:AJ28*$DO$38:$DQ$40)+SUM(AH55:AJ57*$DO$42:$DQ$44)</f>
        <v>0</v>
      </c>
      <c r="DT56">
        <f t="array" ref="DT56">SUM(AI26:AK28*$DO$38:$DQ$40)+SUM(AI55:AK57*$DO$42:$DQ$44)</f>
        <v>0</v>
      </c>
      <c r="DU56">
        <f t="array" ref="DU56">SUM(AJ26:AL28*$DO$38:$DQ$40)+SUM(AJ55:AL57*$DO$42:$DQ$44)</f>
        <v>0</v>
      </c>
      <c r="DV56">
        <f t="array" ref="DV56">SUM(AK26:AM28*$DO$38:$DQ$40)+SUM(AK55:AM57*$DO$42:$DQ$44)</f>
        <v>0</v>
      </c>
      <c r="DW56">
        <f t="array" ref="DW56">SUM(AL26:AN28*$DO$38:$DQ$40)+SUM(AL55:AN57*$DO$42:$DQ$44)</f>
        <v>0</v>
      </c>
      <c r="DX56">
        <f t="array" ref="DX56">SUM(AM26:AO28*$DO$38:$DQ$40)+SUM(AM55:AO57*$DO$42:$DQ$44)</f>
        <v>0</v>
      </c>
      <c r="DY56">
        <f t="array" ref="DY56">SUM(AN26:AP28*$DO$38:$DQ$40)+SUM(AN55:AP57*$DO$42:$DQ$44)</f>
        <v>0</v>
      </c>
      <c r="DZ56">
        <f t="array" ref="DZ56">SUM(AO26:AQ28*$DO$38:$DQ$40)+SUM(AO55:AQ57*$DO$42:$DQ$44)</f>
        <v>0</v>
      </c>
      <c r="EA56">
        <f t="array" ref="EA56">SUM(AP26:AR28*$DO$38:$DQ$40)+SUM(AP55:AR57*$DO$42:$DQ$44)</f>
        <v>0</v>
      </c>
      <c r="EB56">
        <f t="array" ref="EB56">SUM(AQ26:AS28*$DO$38:$DQ$40)+SUM(AQ55:AS57*$DO$42:$DQ$44)</f>
        <v>0</v>
      </c>
      <c r="EC56">
        <f t="array" ref="EC56">SUM(AR26:AT28*$DO$38:$DQ$40)+SUM(AR55:AT57*$DO$42:$DQ$44)</f>
        <v>-6.0892221283174626E-2</v>
      </c>
      <c r="ED56">
        <f t="array" ref="ED56">SUM(AS26:AU28*$DO$38:$DQ$40)+SUM(AS55:AU57*$DO$42:$DQ$44)</f>
        <v>-2.6074186451623573</v>
      </c>
      <c r="EE56">
        <f t="array" ref="EE56">SUM(AT26:AV28*$DO$38:$DQ$40)+SUM(AT55:AV57*$DO$42:$DQ$44)</f>
        <v>-4.2639583816268045</v>
      </c>
      <c r="EF56">
        <f t="array" ref="EF56">SUM(AU26:AW28*$DO$38:$DQ$40)+SUM(AU55:AW57*$DO$42:$DQ$44)</f>
        <v>-1.6140853044003656</v>
      </c>
      <c r="EG56">
        <f t="array" ref="EG56">SUM(AV26:AX28*$DO$38:$DQ$40)+SUM(AV55:AX57*$DO$42:$DQ$44)</f>
        <v>3.752127941963074</v>
      </c>
      <c r="EH56">
        <f t="array" ref="EH56">SUM(AW26:AY28*$DO$38:$DQ$40)+SUM(AW55:AY57*$DO$42:$DQ$44)</f>
        <v>9.1506828508986935</v>
      </c>
      <c r="EI56">
        <f t="array" ref="EI56">SUM(AX26:AZ28*$DO$38:$DQ$40)+SUM(AX55:AZ57*$DO$42:$DQ$44)</f>
        <v>9.5642904239050495</v>
      </c>
      <c r="EJ56">
        <f t="array" ref="EJ56">SUM(AY26:BA28*$DO$38:$DQ$40)+SUM(AY55:BA57*$DO$42:$DQ$44)</f>
        <v>5.6759377860405316</v>
      </c>
      <c r="EK56">
        <f t="array" ref="EK56">SUM(AZ26:BB28*$DO$38:$DQ$40)+SUM(AZ55:BB57*$DO$42:$DQ$44)</f>
        <v>1.6127845534065612</v>
      </c>
      <c r="EL56">
        <f t="array" ref="EL56">SUM(BA26:BC28*$DO$38:$DQ$40)+SUM(BA55:BC57*$DO$42:$DQ$44)</f>
        <v>0.18135979943082031</v>
      </c>
      <c r="EM56">
        <f t="array" ref="EM56">SUM(BB26:BD28*$DO$38:$DQ$40)+SUM(BB55:BD57*$DO$42:$DQ$44)</f>
        <v>0</v>
      </c>
      <c r="EN56">
        <f t="array" ref="EN56">SUM(BC26:BE28*$DO$38:$DQ$40)+SUM(BC55:BE57*$DO$42:$DQ$44)</f>
        <v>0</v>
      </c>
      <c r="EO56">
        <f t="array" ref="EO56">SUM(BD26:BF28*$DO$38:$DQ$40)+SUM(BD55:BF57*$DO$42:$DQ$44)</f>
        <v>0</v>
      </c>
      <c r="EP56">
        <f t="array" ref="EP56">SUM(BE26:BG28*$DO$38:$DQ$40)+SUM(BE55:BG57*$DO$42:$DQ$44)</f>
        <v>0</v>
      </c>
      <c r="ES56" s="127"/>
      <c r="ET56" s="127"/>
      <c r="EU56" s="127"/>
      <c r="EV56" s="127"/>
      <c r="EW56" s="127"/>
      <c r="EX56" s="127"/>
      <c r="EY56" s="127"/>
      <c r="EZ56" s="127"/>
      <c r="FA56" s="127"/>
      <c r="FB56" s="127"/>
      <c r="FC56" s="127"/>
      <c r="FD56" s="127"/>
      <c r="FE56" s="127"/>
      <c r="FF56" s="127"/>
      <c r="FG56" s="127"/>
      <c r="FH56" s="127"/>
      <c r="FI56" s="127"/>
      <c r="FJ56" s="127"/>
      <c r="FK56" s="127"/>
      <c r="FL56" s="127"/>
      <c r="FM56" s="127"/>
      <c r="FN56" s="127"/>
      <c r="FO56" s="127"/>
      <c r="FP56" s="127"/>
    </row>
    <row r="57" spans="1:200" ht="27.75" customHeight="1" x14ac:dyDescent="0.2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1">
        <f t="array" ref="AH57">SUM(A27:C29*$AD$38:$AF$40)</f>
        <v>0</v>
      </c>
      <c r="AI57" s="1">
        <f t="array" ref="AI57">SUM(B27:D29*$AD$38:$AF$40)</f>
        <v>0</v>
      </c>
      <c r="AJ57" s="1">
        <f t="array" ref="AJ57">SUM(C27:E29*$AD$38:$AF$40)</f>
        <v>0</v>
      </c>
      <c r="AK57" s="1">
        <f t="array" ref="AK57">SUM(D27:F29*$AD$38:$AF$40)</f>
        <v>0</v>
      </c>
      <c r="AL57" s="1">
        <f t="array" ref="AL57">SUM(E27:G29*$AD$38:$AF$40)</f>
        <v>0</v>
      </c>
      <c r="AM57" s="1">
        <f t="array" ref="AM57">SUM(F27:H29*$AD$38:$AF$40)</f>
        <v>0</v>
      </c>
      <c r="AN57" s="1">
        <f t="array" ref="AN57">SUM(G27:I29*$AD$38:$AF$40)</f>
        <v>0</v>
      </c>
      <c r="AO57" s="1">
        <f t="array" ref="AO57">SUM(H27:J29*$AD$38:$AF$40)</f>
        <v>0</v>
      </c>
      <c r="AP57" s="1">
        <f t="array" ref="AP57">SUM(I27:K29*$AD$38:$AF$40)</f>
        <v>0</v>
      </c>
      <c r="AQ57" s="1">
        <f t="array" ref="AQ57">SUM(J27:L29*$AD$38:$AF$40)</f>
        <v>0</v>
      </c>
      <c r="AR57" s="1">
        <f t="array" ref="AR57">SUM(K27:M29*$AD$38:$AF$40)</f>
        <v>0</v>
      </c>
      <c r="AS57" s="1">
        <f t="array" ref="AS57">SUM(L27:N29*$AD$38:$AF$40)</f>
        <v>0</v>
      </c>
      <c r="AT57" s="1">
        <f t="array" ref="AT57">SUM(M27:O29*$AD$38:$AF$40)</f>
        <v>-3.5294119268655694E-2</v>
      </c>
      <c r="AU57" s="1">
        <f t="array" ref="AU57">SUM(N27:P29*$AD$38:$AF$40)</f>
        <v>-1.2666667699813829</v>
      </c>
      <c r="AV57" s="1">
        <f t="array" ref="AV57">SUM(O27:Q29*$AD$38:$AF$40)</f>
        <v>-1.2000000737607472</v>
      </c>
      <c r="AW57" s="1">
        <f t="array" ref="AW57">SUM(P27:R29*$AD$38:$AF$40)</f>
        <v>0.65098047256469593</v>
      </c>
      <c r="AX57" s="1">
        <f t="array" ref="AX57">SUM(Q27:S29*$AD$38:$AF$40)</f>
        <v>1.235294193029403</v>
      </c>
      <c r="AY57" s="1">
        <f t="array" ref="AY57">SUM(R27:T29*$AD$38:$AF$40)</f>
        <v>0.61568629741668701</v>
      </c>
      <c r="AZ57" s="1">
        <f t="array" ref="AZ57">SUM(S27:U29*$AD$38:$AF$40)</f>
        <v>0</v>
      </c>
      <c r="BA57" s="1">
        <f t="array" ref="BA57">SUM(T27:V29*$AD$38:$AF$40)</f>
        <v>0</v>
      </c>
      <c r="BB57" s="1">
        <f t="array" ref="BB57">SUM(U27:W29*$AD$38:$AF$40)</f>
        <v>0</v>
      </c>
      <c r="BC57" s="1">
        <f t="array" ref="BC57">SUM(V27:X29*$AD$38:$AF$40)</f>
        <v>0</v>
      </c>
      <c r="BD57" s="1">
        <f t="array" ref="BD57">SUM(W27:Y29*$AD$38:$AF$40)</f>
        <v>0</v>
      </c>
      <c r="BE57" s="1">
        <f t="array" ref="BE57">SUM(X27:Z29*$AD$38:$AF$40)</f>
        <v>0</v>
      </c>
      <c r="BF57" s="1">
        <f t="array" ref="BF57">SUM(Y27:AA29*$AD$38:$AF$40)</f>
        <v>0</v>
      </c>
      <c r="BG57" s="1">
        <f t="array" ref="BG57">SUM(Z27:AB29*$AD$38:$AF$40)</f>
        <v>0</v>
      </c>
      <c r="BH57" s="79"/>
      <c r="BI57" s="79"/>
      <c r="BJ57" s="79"/>
      <c r="BK57" s="1">
        <f t="shared" si="200"/>
        <v>0</v>
      </c>
      <c r="BL57" s="1">
        <f t="shared" si="200"/>
        <v>0</v>
      </c>
      <c r="BM57" s="1">
        <f t="shared" si="200"/>
        <v>0</v>
      </c>
      <c r="BN57" s="1">
        <f t="shared" si="200"/>
        <v>0</v>
      </c>
      <c r="BO57" s="1">
        <f t="shared" si="200"/>
        <v>0</v>
      </c>
      <c r="BP57" s="1">
        <f t="shared" si="200"/>
        <v>0</v>
      </c>
      <c r="BQ57" s="1">
        <f t="shared" si="200"/>
        <v>0</v>
      </c>
      <c r="BR57" s="1">
        <f t="shared" si="200"/>
        <v>0</v>
      </c>
      <c r="BS57" s="1">
        <f t="shared" si="200"/>
        <v>0</v>
      </c>
      <c r="BT57" s="1">
        <f t="shared" si="200"/>
        <v>0</v>
      </c>
      <c r="BU57" s="1">
        <f t="shared" si="200"/>
        <v>0</v>
      </c>
      <c r="BV57" s="1">
        <f t="shared" si="200"/>
        <v>0</v>
      </c>
      <c r="BW57" s="1">
        <f t="shared" si="200"/>
        <v>0</v>
      </c>
      <c r="BX57" s="1">
        <f t="shared" si="200"/>
        <v>0</v>
      </c>
      <c r="BY57" s="1">
        <f t="shared" si="200"/>
        <v>0</v>
      </c>
      <c r="BZ57" s="1">
        <f t="shared" ref="BZ57" si="286">MAX(0,AW57)</f>
        <v>0.65098047256469593</v>
      </c>
      <c r="CA57" s="1">
        <f t="shared" si="201"/>
        <v>1.235294193029403</v>
      </c>
      <c r="CB57" s="1">
        <f t="shared" si="201"/>
        <v>0.61568629741668701</v>
      </c>
      <c r="CC57" s="1">
        <f t="shared" si="201"/>
        <v>0</v>
      </c>
      <c r="CD57" s="1">
        <f t="shared" si="201"/>
        <v>0</v>
      </c>
      <c r="CE57" s="1">
        <f t="shared" si="201"/>
        <v>0</v>
      </c>
      <c r="CF57" s="1">
        <f t="shared" si="187"/>
        <v>0</v>
      </c>
      <c r="CG57" s="1">
        <f t="shared" si="187"/>
        <v>0</v>
      </c>
      <c r="CH57" s="1">
        <f t="shared" si="187"/>
        <v>0</v>
      </c>
      <c r="CI57" s="1">
        <f t="shared" si="187"/>
        <v>0</v>
      </c>
      <c r="CJ57" s="1">
        <f t="shared" si="187"/>
        <v>0</v>
      </c>
    </row>
  </sheetData>
  <mergeCells count="288">
    <mergeCell ref="FE55:FF56"/>
    <mergeCell ref="FG55:FH56"/>
    <mergeCell ref="FI55:FJ56"/>
    <mergeCell ref="FK55:FL56"/>
    <mergeCell ref="FM55:FN56"/>
    <mergeCell ref="FO55:FP56"/>
    <mergeCell ref="ES55:ET56"/>
    <mergeCell ref="EU55:EV56"/>
    <mergeCell ref="EW55:EX56"/>
    <mergeCell ref="EY55:EZ56"/>
    <mergeCell ref="FA55:FB56"/>
    <mergeCell ref="FC55:FD56"/>
    <mergeCell ref="FE53:FF54"/>
    <mergeCell ref="FG53:FH54"/>
    <mergeCell ref="FI53:FJ54"/>
    <mergeCell ref="FK53:FL54"/>
    <mergeCell ref="FM53:FN54"/>
    <mergeCell ref="FO53:FP54"/>
    <mergeCell ref="ES53:ET54"/>
    <mergeCell ref="EU53:EV54"/>
    <mergeCell ref="EW53:EX54"/>
    <mergeCell ref="EY53:EZ54"/>
    <mergeCell ref="FA53:FB54"/>
    <mergeCell ref="FC53:FD54"/>
    <mergeCell ref="FE51:FF52"/>
    <mergeCell ref="FG51:FH52"/>
    <mergeCell ref="FI51:FJ52"/>
    <mergeCell ref="FK51:FL52"/>
    <mergeCell ref="FM51:FN52"/>
    <mergeCell ref="FO51:FP52"/>
    <mergeCell ref="ES51:ET52"/>
    <mergeCell ref="EU51:EV52"/>
    <mergeCell ref="EW51:EX52"/>
    <mergeCell ref="EY51:EZ52"/>
    <mergeCell ref="FA51:FB52"/>
    <mergeCell ref="FC51:FD52"/>
    <mergeCell ref="FE49:FF50"/>
    <mergeCell ref="FG49:FH50"/>
    <mergeCell ref="FI49:FJ50"/>
    <mergeCell ref="FK49:FL50"/>
    <mergeCell ref="FM49:FN50"/>
    <mergeCell ref="FO49:FP50"/>
    <mergeCell ref="ES49:ET50"/>
    <mergeCell ref="EU49:EV50"/>
    <mergeCell ref="EW49:EX50"/>
    <mergeCell ref="EY49:EZ50"/>
    <mergeCell ref="FA49:FB50"/>
    <mergeCell ref="FC49:FD50"/>
    <mergeCell ref="FE47:FF48"/>
    <mergeCell ref="FG47:FH48"/>
    <mergeCell ref="FI47:FJ48"/>
    <mergeCell ref="FK47:FL48"/>
    <mergeCell ref="FM47:FN48"/>
    <mergeCell ref="FO47:FP48"/>
    <mergeCell ref="ES47:ET48"/>
    <mergeCell ref="EU47:EV48"/>
    <mergeCell ref="EW47:EX48"/>
    <mergeCell ref="EY47:EZ48"/>
    <mergeCell ref="FA47:FB48"/>
    <mergeCell ref="FC47:FD48"/>
    <mergeCell ref="FE45:FF46"/>
    <mergeCell ref="FG45:FH46"/>
    <mergeCell ref="FI45:FJ46"/>
    <mergeCell ref="FK45:FL46"/>
    <mergeCell ref="FM45:FN46"/>
    <mergeCell ref="FO45:FP46"/>
    <mergeCell ref="ES45:ET46"/>
    <mergeCell ref="EU45:EV46"/>
    <mergeCell ref="EW45:EX46"/>
    <mergeCell ref="EY45:EZ46"/>
    <mergeCell ref="FA45:FB46"/>
    <mergeCell ref="FC45:FD46"/>
    <mergeCell ref="FE43:FF44"/>
    <mergeCell ref="FG43:FH44"/>
    <mergeCell ref="FI43:FJ44"/>
    <mergeCell ref="FK43:FL44"/>
    <mergeCell ref="FM43:FN44"/>
    <mergeCell ref="FO43:FP44"/>
    <mergeCell ref="ES43:ET44"/>
    <mergeCell ref="EU43:EV44"/>
    <mergeCell ref="EW43:EX44"/>
    <mergeCell ref="EY43:EZ44"/>
    <mergeCell ref="FA43:FB44"/>
    <mergeCell ref="FC43:FD44"/>
    <mergeCell ref="FE41:FF42"/>
    <mergeCell ref="FG41:FH42"/>
    <mergeCell ref="FI41:FJ42"/>
    <mergeCell ref="FK41:FL42"/>
    <mergeCell ref="FM41:FN42"/>
    <mergeCell ref="FO41:FP42"/>
    <mergeCell ref="ES41:ET42"/>
    <mergeCell ref="EU41:EV42"/>
    <mergeCell ref="EW41:EX42"/>
    <mergeCell ref="EY41:EZ42"/>
    <mergeCell ref="FA41:FB42"/>
    <mergeCell ref="FC41:FD42"/>
    <mergeCell ref="FE39:FF40"/>
    <mergeCell ref="FG39:FH40"/>
    <mergeCell ref="FI39:FJ40"/>
    <mergeCell ref="FK39:FL40"/>
    <mergeCell ref="FM39:FN40"/>
    <mergeCell ref="FO39:FP40"/>
    <mergeCell ref="ES39:ET40"/>
    <mergeCell ref="EU39:EV40"/>
    <mergeCell ref="EW39:EX40"/>
    <mergeCell ref="EY39:EZ40"/>
    <mergeCell ref="FA39:FB40"/>
    <mergeCell ref="FC39:FD40"/>
    <mergeCell ref="FE37:FF38"/>
    <mergeCell ref="FG37:FH38"/>
    <mergeCell ref="FI37:FJ38"/>
    <mergeCell ref="FK37:FL38"/>
    <mergeCell ref="FM37:FN38"/>
    <mergeCell ref="FO37:FP38"/>
    <mergeCell ref="ES37:ET38"/>
    <mergeCell ref="EU37:EV38"/>
    <mergeCell ref="EW37:EX38"/>
    <mergeCell ref="EY37:EZ38"/>
    <mergeCell ref="FA37:FB38"/>
    <mergeCell ref="FC37:FD38"/>
    <mergeCell ref="FE35:FF36"/>
    <mergeCell ref="FG35:FH36"/>
    <mergeCell ref="FI35:FJ36"/>
    <mergeCell ref="FK35:FL36"/>
    <mergeCell ref="FM35:FN36"/>
    <mergeCell ref="FO35:FP36"/>
    <mergeCell ref="ES35:ET36"/>
    <mergeCell ref="EU35:EV36"/>
    <mergeCell ref="EW35:EX36"/>
    <mergeCell ref="EY35:EZ36"/>
    <mergeCell ref="FA35:FB36"/>
    <mergeCell ref="FC35:FD36"/>
    <mergeCell ref="FE33:FF34"/>
    <mergeCell ref="FG33:FH34"/>
    <mergeCell ref="FI33:FJ34"/>
    <mergeCell ref="FK33:FL34"/>
    <mergeCell ref="FM33:FN34"/>
    <mergeCell ref="FO33:FP34"/>
    <mergeCell ref="ES33:ET34"/>
    <mergeCell ref="EU33:EV34"/>
    <mergeCell ref="EW33:EX34"/>
    <mergeCell ref="EY33:EZ34"/>
    <mergeCell ref="FA33:FB34"/>
    <mergeCell ref="FC33:FD34"/>
    <mergeCell ref="FE26:FF27"/>
    <mergeCell ref="FG26:FH27"/>
    <mergeCell ref="FI26:FJ27"/>
    <mergeCell ref="FK26:FL27"/>
    <mergeCell ref="FM26:FN27"/>
    <mergeCell ref="FO26:FP27"/>
    <mergeCell ref="ES26:ET27"/>
    <mergeCell ref="EU26:EV27"/>
    <mergeCell ref="EW26:EX27"/>
    <mergeCell ref="EY26:EZ27"/>
    <mergeCell ref="FA26:FB27"/>
    <mergeCell ref="FC26:FD27"/>
    <mergeCell ref="FE24:FF25"/>
    <mergeCell ref="FG24:FH25"/>
    <mergeCell ref="FI24:FJ25"/>
    <mergeCell ref="FK24:FL25"/>
    <mergeCell ref="FM24:FN25"/>
    <mergeCell ref="FO24:FP25"/>
    <mergeCell ref="ES24:ET25"/>
    <mergeCell ref="EU24:EV25"/>
    <mergeCell ref="EW24:EX25"/>
    <mergeCell ref="EY24:EZ25"/>
    <mergeCell ref="FA24:FB25"/>
    <mergeCell ref="FC24:FD25"/>
    <mergeCell ref="FE22:FF23"/>
    <mergeCell ref="FG22:FH23"/>
    <mergeCell ref="FI22:FJ23"/>
    <mergeCell ref="FK22:FL23"/>
    <mergeCell ref="FM22:FN23"/>
    <mergeCell ref="FO22:FP23"/>
    <mergeCell ref="ES22:ET23"/>
    <mergeCell ref="EU22:EV23"/>
    <mergeCell ref="EW22:EX23"/>
    <mergeCell ref="EY22:EZ23"/>
    <mergeCell ref="FA22:FB23"/>
    <mergeCell ref="FC22:FD23"/>
    <mergeCell ref="FE20:FF21"/>
    <mergeCell ref="FG20:FH21"/>
    <mergeCell ref="FI20:FJ21"/>
    <mergeCell ref="FK20:FL21"/>
    <mergeCell ref="FM20:FN21"/>
    <mergeCell ref="FO20:FP21"/>
    <mergeCell ref="ES20:ET21"/>
    <mergeCell ref="EU20:EV21"/>
    <mergeCell ref="EW20:EX21"/>
    <mergeCell ref="EY20:EZ21"/>
    <mergeCell ref="FA20:FB21"/>
    <mergeCell ref="FC20:FD21"/>
    <mergeCell ref="FE18:FF19"/>
    <mergeCell ref="FG18:FH19"/>
    <mergeCell ref="FI18:FJ19"/>
    <mergeCell ref="FK18:FL19"/>
    <mergeCell ref="FM18:FN19"/>
    <mergeCell ref="FO18:FP19"/>
    <mergeCell ref="ES18:ET19"/>
    <mergeCell ref="EU18:EV19"/>
    <mergeCell ref="EW18:EX19"/>
    <mergeCell ref="EY18:EZ19"/>
    <mergeCell ref="FA18:FB19"/>
    <mergeCell ref="FC18:FD19"/>
    <mergeCell ref="FE16:FF17"/>
    <mergeCell ref="FG16:FH17"/>
    <mergeCell ref="FI16:FJ17"/>
    <mergeCell ref="FK16:FL17"/>
    <mergeCell ref="FM16:FN17"/>
    <mergeCell ref="FO16:FP17"/>
    <mergeCell ref="ES16:ET17"/>
    <mergeCell ref="EU16:EV17"/>
    <mergeCell ref="EW16:EX17"/>
    <mergeCell ref="EY16:EZ17"/>
    <mergeCell ref="FA16:FB17"/>
    <mergeCell ref="FC16:FD17"/>
    <mergeCell ref="FE14:FF15"/>
    <mergeCell ref="FG14:FH15"/>
    <mergeCell ref="FI14:FJ15"/>
    <mergeCell ref="FK14:FL15"/>
    <mergeCell ref="FM14:FN15"/>
    <mergeCell ref="FO14:FP15"/>
    <mergeCell ref="ES14:ET15"/>
    <mergeCell ref="EU14:EV15"/>
    <mergeCell ref="EW14:EX15"/>
    <mergeCell ref="EY14:EZ15"/>
    <mergeCell ref="FA14:FB15"/>
    <mergeCell ref="FC14:FD15"/>
    <mergeCell ref="FE12:FF13"/>
    <mergeCell ref="FG12:FH13"/>
    <mergeCell ref="FI12:FJ13"/>
    <mergeCell ref="FK12:FL13"/>
    <mergeCell ref="FM12:FN13"/>
    <mergeCell ref="FO12:FP13"/>
    <mergeCell ref="ES12:ET13"/>
    <mergeCell ref="EU12:EV13"/>
    <mergeCell ref="EW12:EX13"/>
    <mergeCell ref="EY12:EZ13"/>
    <mergeCell ref="FA12:FB13"/>
    <mergeCell ref="FC12:FD13"/>
    <mergeCell ref="FE10:FF11"/>
    <mergeCell ref="FG10:FH11"/>
    <mergeCell ref="FI10:FJ11"/>
    <mergeCell ref="FK10:FL11"/>
    <mergeCell ref="FM10:FN11"/>
    <mergeCell ref="FO10:FP11"/>
    <mergeCell ref="ES10:ET11"/>
    <mergeCell ref="EU10:EV11"/>
    <mergeCell ref="EW10:EX11"/>
    <mergeCell ref="EY10:EZ11"/>
    <mergeCell ref="FA10:FB11"/>
    <mergeCell ref="FC10:FD11"/>
    <mergeCell ref="FE8:FF9"/>
    <mergeCell ref="FG8:FH9"/>
    <mergeCell ref="FI8:FJ9"/>
    <mergeCell ref="FK8:FL9"/>
    <mergeCell ref="FM8:FN9"/>
    <mergeCell ref="FO8:FP9"/>
    <mergeCell ref="ES8:ET9"/>
    <mergeCell ref="EU8:EV9"/>
    <mergeCell ref="EW8:EX9"/>
    <mergeCell ref="EY8:EZ9"/>
    <mergeCell ref="FA8:FB9"/>
    <mergeCell ref="FC8:FD9"/>
    <mergeCell ref="FE6:FF7"/>
    <mergeCell ref="FG6:FH7"/>
    <mergeCell ref="FI6:FJ7"/>
    <mergeCell ref="FK6:FL7"/>
    <mergeCell ref="FM6:FN7"/>
    <mergeCell ref="FO6:FP7"/>
    <mergeCell ref="ES6:ET7"/>
    <mergeCell ref="EU6:EV7"/>
    <mergeCell ref="EW6:EX7"/>
    <mergeCell ref="EY6:EZ7"/>
    <mergeCell ref="FA6:FB7"/>
    <mergeCell ref="FC6:FD7"/>
    <mergeCell ref="FE4:FF5"/>
    <mergeCell ref="FG4:FH5"/>
    <mergeCell ref="FI4:FJ5"/>
    <mergeCell ref="FK4:FL5"/>
    <mergeCell ref="FM4:FN5"/>
    <mergeCell ref="FO4:FP5"/>
    <mergeCell ref="ES4:ET5"/>
    <mergeCell ref="EU4:EV5"/>
    <mergeCell ref="EW4:EX5"/>
    <mergeCell ref="EY4:EZ5"/>
    <mergeCell ref="FA4:FB5"/>
    <mergeCell ref="FC4:FD5"/>
  </mergeCells>
  <conditionalFormatting sqref="A2:AB30">
    <cfRule type="colorScale" priority="155">
      <colorScale>
        <cfvo type="min"/>
        <cfvo type="max"/>
        <color rgb="FFFCFCFF"/>
        <color rgb="FFF8696B"/>
      </colorScale>
    </cfRule>
  </conditionalFormatting>
  <conditionalFormatting sqref="AH3:BJ28 CK3:DM28">
    <cfRule type="colorScale" priority="154">
      <colorScale>
        <cfvo type="min"/>
        <cfvo type="max"/>
        <color rgb="FFFCFCFF"/>
        <color rgb="FFF8696B"/>
      </colorScale>
    </cfRule>
  </conditionalFormatting>
  <conditionalFormatting sqref="AH32:BJ57 CN32:DM57">
    <cfRule type="colorScale" priority="153">
      <colorScale>
        <cfvo type="min"/>
        <cfvo type="max"/>
        <color rgb="FFFCFCFF"/>
        <color rgb="FFF8696B"/>
      </colorScale>
    </cfRule>
  </conditionalFormatting>
  <conditionalFormatting sqref="DS33:EP56 DS4:EP27">
    <cfRule type="colorScale" priority="152">
      <colorScale>
        <cfvo type="min"/>
        <cfvo type="max"/>
        <color rgb="FFFCFCFF"/>
        <color rgb="FFF8696B"/>
      </colorScale>
    </cfRule>
  </conditionalFormatting>
  <conditionalFormatting sqref="BK3:CJ28">
    <cfRule type="colorScale" priority="149">
      <colorScale>
        <cfvo type="min"/>
        <cfvo type="max"/>
        <color rgb="FFFCFCFF"/>
        <color rgb="FFF8696B"/>
      </colorScale>
    </cfRule>
  </conditionalFormatting>
  <conditionalFormatting sqref="BK32:CJ57">
    <cfRule type="colorScale" priority="148">
      <colorScale>
        <cfvo type="min"/>
        <cfvo type="max"/>
        <color rgb="FFFCFCFF"/>
        <color rgb="FFF8696B"/>
      </colorScale>
    </cfRule>
  </conditionalFormatting>
  <conditionalFormatting sqref="AD11:AF1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8:AF40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S4:FP27">
    <cfRule type="colorScale" priority="2">
      <colorScale>
        <cfvo type="min"/>
        <cfvo type="max"/>
        <color rgb="FFFCFCFF"/>
        <color rgb="FFF8696B"/>
      </colorScale>
    </cfRule>
  </conditionalFormatting>
  <conditionalFormatting sqref="ES33:FP5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G10"/>
  <sheetViews>
    <sheetView showGridLines="0" workbookViewId="0">
      <selection activeCell="K8" sqref="K8"/>
    </sheetView>
  </sheetViews>
  <sheetFormatPr defaultColWidth="4.7109375" defaultRowHeight="24.75" customHeight="1" x14ac:dyDescent="0.25"/>
  <cols>
    <col min="4" max="7" width="4.85546875" customWidth="1"/>
  </cols>
  <sheetData>
    <row r="1" spans="4:7" ht="24.75" customHeight="1" thickBot="1" x14ac:dyDescent="0.3"/>
    <row r="2" spans="4:7" ht="24.75" customHeight="1" x14ac:dyDescent="0.25">
      <c r="D2" s="86">
        <v>4</v>
      </c>
      <c r="E2" s="87">
        <v>2</v>
      </c>
      <c r="F2" s="86">
        <v>9</v>
      </c>
      <c r="G2" s="87">
        <f t="shared" ref="G2" ca="1" si="0">RANDBETWEEN(0,9)</f>
        <v>9</v>
      </c>
    </row>
    <row r="3" spans="4:7" ht="24.75" customHeight="1" thickBot="1" x14ac:dyDescent="0.3">
      <c r="D3" s="39">
        <v>1</v>
      </c>
      <c r="E3" s="40">
        <v>3</v>
      </c>
      <c r="F3" s="39">
        <v>6</v>
      </c>
      <c r="G3" s="40">
        <v>5</v>
      </c>
    </row>
    <row r="4" spans="4:7" ht="24.75" customHeight="1" x14ac:dyDescent="0.25">
      <c r="D4" s="86">
        <v>1</v>
      </c>
      <c r="E4" s="87">
        <v>5</v>
      </c>
      <c r="F4" s="86">
        <v>1</v>
      </c>
      <c r="G4" s="87">
        <v>0</v>
      </c>
    </row>
    <row r="5" spans="4:7" ht="24.75" customHeight="1" thickBot="1" x14ac:dyDescent="0.3">
      <c r="D5" s="39">
        <v>2</v>
      </c>
      <c r="E5" s="40">
        <v>7</v>
      </c>
      <c r="F5" s="39">
        <v>0</v>
      </c>
      <c r="G5" s="40">
        <v>1</v>
      </c>
    </row>
    <row r="6" spans="4:7" ht="15.75" customHeight="1" thickBot="1" x14ac:dyDescent="0.3"/>
    <row r="7" spans="4:7" ht="24.75" customHeight="1" x14ac:dyDescent="0.25">
      <c r="D7" s="128">
        <f>MAX(D2:E3)</f>
        <v>4</v>
      </c>
      <c r="E7" s="129"/>
      <c r="F7" s="129">
        <f ca="1">MAX(F2:G3)</f>
        <v>9</v>
      </c>
      <c r="G7" s="132"/>
    </row>
    <row r="8" spans="4:7" ht="24.75" customHeight="1" x14ac:dyDescent="0.25">
      <c r="D8" s="130"/>
      <c r="E8" s="131"/>
      <c r="F8" s="131"/>
      <c r="G8" s="133"/>
    </row>
    <row r="9" spans="4:7" ht="24.75" customHeight="1" x14ac:dyDescent="0.25">
      <c r="D9" s="130">
        <f>MAX(D4:E5)</f>
        <v>7</v>
      </c>
      <c r="E9" s="131"/>
      <c r="F9" s="131">
        <f>MAX(F4:G5)</f>
        <v>1</v>
      </c>
      <c r="G9" s="133"/>
    </row>
    <row r="10" spans="4:7" ht="24.75" customHeight="1" thickBot="1" x14ac:dyDescent="0.3">
      <c r="D10" s="134"/>
      <c r="E10" s="135"/>
      <c r="F10" s="135"/>
      <c r="G10" s="136"/>
    </row>
  </sheetData>
  <mergeCells count="4">
    <mergeCell ref="D7:E8"/>
    <mergeCell ref="F7:G8"/>
    <mergeCell ref="D9:E10"/>
    <mergeCell ref="F9:G10"/>
  </mergeCells>
  <conditionalFormatting sqref="D2:G5 F7 D9 F9 D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Activation Functions</vt:lpstr>
      <vt:lpstr>XOR</vt:lpstr>
      <vt:lpstr>conv-example</vt:lpstr>
      <vt:lpstr>Max Pooling</vt:lpstr>
      <vt:lpstr>XOR!current_Row</vt:lpstr>
      <vt:lpstr>XOR!sigmoid_slope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Collins</dc:creator>
  <cp:lastModifiedBy>Rob Collins</cp:lastModifiedBy>
  <dcterms:created xsi:type="dcterms:W3CDTF">2021-03-24T16:30:03Z</dcterms:created>
  <dcterms:modified xsi:type="dcterms:W3CDTF">2022-01-26T17:30:12Z</dcterms:modified>
</cp:coreProperties>
</file>