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9140" windowHeight="9315" activeTab="5"/>
  </bookViews>
  <sheets>
    <sheet name="Activity 1" sheetId="7" r:id="rId1"/>
    <sheet name="Activity 2" sheetId="8" r:id="rId2"/>
    <sheet name="Activity 3" sheetId="9" r:id="rId3"/>
    <sheet name="Automated" sheetId="10" r:id="rId4"/>
    <sheet name="Single Gaussian" sheetId="5" r:id="rId5"/>
    <sheet name="Problem" sheetId="3" r:id="rId6"/>
  </sheets>
  <definedNames>
    <definedName name="eps" localSheetId="3">#REF!</definedName>
    <definedName name="eps">#REF!</definedName>
    <definedName name="G1_Weight">'Activity 3'!$C$47</definedName>
    <definedName name="G2_Weight">'Activity 3'!$D$47</definedName>
    <definedName name="step" localSheetId="0">'Activity 1'!$C$6</definedName>
    <definedName name="step" localSheetId="1">'Activity 2'!$C$6</definedName>
    <definedName name="step">Problem!$C$6</definedName>
    <definedName name="sum_ai" localSheetId="3">Automated!$G$30</definedName>
    <definedName name="sum_ai">#REF!</definedName>
    <definedName name="sum_ai_xi" localSheetId="3">Automated!$I$30</definedName>
    <definedName name="sum_ai_xi">#REF!</definedName>
    <definedName name="sum_Bi" localSheetId="3">Automated!$F$30</definedName>
    <definedName name="sum_Bi">#REF!</definedName>
    <definedName name="sum_bi_xi" localSheetId="3">Automated!$H$30</definedName>
    <definedName name="sum_bi_xi">#REF!</definedName>
    <definedName name="X" localSheetId="3">#REF!</definedName>
    <definedName name="X">#REF!</definedName>
  </definedNames>
  <calcPr calcId="145621"/>
</workbook>
</file>

<file path=xl/calcChain.xml><?xml version="1.0" encoding="utf-8"?>
<calcChain xmlns="http://schemas.openxmlformats.org/spreadsheetml/2006/main">
  <c r="D59" i="10" l="1"/>
  <c r="D57" i="10"/>
  <c r="C59" i="10"/>
  <c r="C57" i="10"/>
  <c r="B66" i="10"/>
  <c r="B67" i="10" s="1"/>
  <c r="F10" i="10"/>
  <c r="D58" i="10" s="1"/>
  <c r="E10" i="10"/>
  <c r="C58" i="10" s="1"/>
  <c r="F9" i="10"/>
  <c r="E16" i="10" s="1"/>
  <c r="E9" i="10"/>
  <c r="D19" i="10" s="1"/>
  <c r="D17" i="10" l="1"/>
  <c r="D16" i="10"/>
  <c r="F16" i="10" s="1"/>
  <c r="D26" i="10"/>
  <c r="D24" i="10"/>
  <c r="D22" i="10"/>
  <c r="D20" i="10"/>
  <c r="D27" i="10"/>
  <c r="D25" i="10"/>
  <c r="D23" i="10"/>
  <c r="D21" i="10"/>
  <c r="D18" i="10"/>
  <c r="D15" i="10"/>
  <c r="E27" i="10"/>
  <c r="E26" i="10"/>
  <c r="E25" i="10"/>
  <c r="E24" i="10"/>
  <c r="E23" i="10"/>
  <c r="E22" i="10"/>
  <c r="E21" i="10"/>
  <c r="E20" i="10"/>
  <c r="E19" i="10"/>
  <c r="F19" i="10" s="1"/>
  <c r="E18" i="10"/>
  <c r="E17" i="10"/>
  <c r="E15" i="10"/>
  <c r="B68" i="10"/>
  <c r="F20" i="10" l="1"/>
  <c r="G20" i="10" s="1"/>
  <c r="F25" i="10"/>
  <c r="H25" i="10" s="1"/>
  <c r="F21" i="10"/>
  <c r="J21" i="10" s="1"/>
  <c r="F17" i="10"/>
  <c r="G17" i="10" s="1"/>
  <c r="J19" i="10"/>
  <c r="H19" i="10"/>
  <c r="G19" i="10"/>
  <c r="H16" i="10"/>
  <c r="G16" i="10"/>
  <c r="J16" i="10"/>
  <c r="F23" i="10"/>
  <c r="F27" i="10"/>
  <c r="B69" i="10"/>
  <c r="F22" i="10"/>
  <c r="F15" i="10"/>
  <c r="F24" i="10"/>
  <c r="F18" i="10"/>
  <c r="F26" i="10"/>
  <c r="F21" i="9"/>
  <c r="D45" i="9" s="1"/>
  <c r="D21" i="9"/>
  <c r="C45" i="9" s="1"/>
  <c r="G21" i="9"/>
  <c r="D46" i="9" s="1"/>
  <c r="E21" i="9"/>
  <c r="C46" i="9" s="1"/>
  <c r="B21" i="9"/>
  <c r="C21" i="9" s="1"/>
  <c r="D47" i="9" s="1"/>
  <c r="B66" i="9"/>
  <c r="H6" i="8"/>
  <c r="O12" i="8"/>
  <c r="O11" i="8"/>
  <c r="H20" i="10" l="1"/>
  <c r="J20" i="10"/>
  <c r="G21" i="10"/>
  <c r="I21" i="10" s="1"/>
  <c r="J25" i="10"/>
  <c r="H21" i="10"/>
  <c r="H17" i="10"/>
  <c r="J17" i="10"/>
  <c r="G25" i="10"/>
  <c r="K25" i="10" s="1"/>
  <c r="I19" i="10"/>
  <c r="K19" i="10"/>
  <c r="J24" i="10"/>
  <c r="H24" i="10"/>
  <c r="G24" i="10"/>
  <c r="B70" i="10"/>
  <c r="J23" i="10"/>
  <c r="G23" i="10"/>
  <c r="H23" i="10"/>
  <c r="F30" i="10"/>
  <c r="J15" i="10"/>
  <c r="H15" i="10"/>
  <c r="G15" i="10"/>
  <c r="N6" i="10"/>
  <c r="O6" i="10" s="1"/>
  <c r="J27" i="10"/>
  <c r="H27" i="10"/>
  <c r="G27" i="10"/>
  <c r="J22" i="10"/>
  <c r="H22" i="10"/>
  <c r="G22" i="10"/>
  <c r="I16" i="10"/>
  <c r="K16" i="10"/>
  <c r="I20" i="10"/>
  <c r="K20" i="10"/>
  <c r="I17" i="10"/>
  <c r="K17" i="10"/>
  <c r="H26" i="10"/>
  <c r="J26" i="10"/>
  <c r="G26" i="10"/>
  <c r="J18" i="10"/>
  <c r="H18" i="10"/>
  <c r="G18" i="10"/>
  <c r="C47" i="9"/>
  <c r="C65" i="9" s="1"/>
  <c r="D12" i="9"/>
  <c r="D14" i="9"/>
  <c r="D4" i="9"/>
  <c r="D13" i="9"/>
  <c r="D10" i="9"/>
  <c r="D9" i="9"/>
  <c r="D8" i="9"/>
  <c r="D65" i="9"/>
  <c r="D7" i="9"/>
  <c r="D6" i="9"/>
  <c r="D15" i="9"/>
  <c r="D5" i="9"/>
  <c r="D16" i="9"/>
  <c r="D11" i="9"/>
  <c r="C9" i="9"/>
  <c r="C4" i="9"/>
  <c r="C14" i="9"/>
  <c r="C12" i="9"/>
  <c r="C11" i="9"/>
  <c r="C10" i="9"/>
  <c r="C6" i="9"/>
  <c r="C5" i="9"/>
  <c r="C13" i="9"/>
  <c r="C7" i="9"/>
  <c r="C15" i="9"/>
  <c r="C8" i="9"/>
  <c r="C16" i="9"/>
  <c r="B67" i="9"/>
  <c r="D66" i="9"/>
  <c r="I6" i="8"/>
  <c r="C1424" i="8"/>
  <c r="C1423" i="8"/>
  <c r="C1422" i="8"/>
  <c r="C1421" i="8"/>
  <c r="C1420" i="8"/>
  <c r="C1419" i="8"/>
  <c r="C1418" i="8"/>
  <c r="C1417" i="8"/>
  <c r="C1416" i="8"/>
  <c r="C1415" i="8"/>
  <c r="C1414" i="8"/>
  <c r="C1413" i="8"/>
  <c r="C1412" i="8"/>
  <c r="C1411" i="8"/>
  <c r="C1410" i="8"/>
  <c r="C1409" i="8"/>
  <c r="C1408" i="8"/>
  <c r="C1407" i="8"/>
  <c r="C1406" i="8"/>
  <c r="C1405" i="8"/>
  <c r="C1404" i="8"/>
  <c r="C1403" i="8"/>
  <c r="C1402" i="8"/>
  <c r="C1401" i="8"/>
  <c r="C1400" i="8"/>
  <c r="C1399" i="8"/>
  <c r="C1398" i="8"/>
  <c r="C1397" i="8"/>
  <c r="C1396" i="8"/>
  <c r="C1395" i="8"/>
  <c r="C1394" i="8"/>
  <c r="C1393" i="8"/>
  <c r="C1392" i="8"/>
  <c r="C1391" i="8"/>
  <c r="C1390" i="8"/>
  <c r="C1389" i="8"/>
  <c r="C1388" i="8"/>
  <c r="C1387" i="8"/>
  <c r="C1386" i="8"/>
  <c r="C1385" i="8"/>
  <c r="C1384" i="8"/>
  <c r="C1383" i="8"/>
  <c r="C1382" i="8"/>
  <c r="C1381" i="8"/>
  <c r="C1380" i="8"/>
  <c r="C1379" i="8"/>
  <c r="C1378" i="8"/>
  <c r="C1377" i="8"/>
  <c r="C1376" i="8"/>
  <c r="C1375" i="8"/>
  <c r="C1374" i="8"/>
  <c r="C1373" i="8"/>
  <c r="C1372" i="8"/>
  <c r="C1371" i="8"/>
  <c r="C1370" i="8"/>
  <c r="C1369" i="8"/>
  <c r="C1368" i="8"/>
  <c r="C1367" i="8"/>
  <c r="C1366" i="8"/>
  <c r="C1365" i="8"/>
  <c r="C1364" i="8"/>
  <c r="C1363" i="8"/>
  <c r="C1362" i="8"/>
  <c r="C1361" i="8"/>
  <c r="C1360" i="8"/>
  <c r="C1359" i="8"/>
  <c r="C1358" i="8"/>
  <c r="C1357" i="8"/>
  <c r="C1356" i="8"/>
  <c r="C1355" i="8"/>
  <c r="C1354" i="8"/>
  <c r="C1353" i="8"/>
  <c r="C1352" i="8"/>
  <c r="C1351" i="8"/>
  <c r="C1350" i="8"/>
  <c r="C1349" i="8"/>
  <c r="C1348" i="8"/>
  <c r="C1347" i="8"/>
  <c r="C1346" i="8"/>
  <c r="C1345" i="8"/>
  <c r="C1344" i="8"/>
  <c r="C1343" i="8"/>
  <c r="C1342" i="8"/>
  <c r="C1341" i="8"/>
  <c r="C1340" i="8"/>
  <c r="C1339" i="8"/>
  <c r="C1338" i="8"/>
  <c r="C1337" i="8"/>
  <c r="C1336" i="8"/>
  <c r="C1335" i="8"/>
  <c r="C1334" i="8"/>
  <c r="C1333" i="8"/>
  <c r="C1332" i="8"/>
  <c r="C1331" i="8"/>
  <c r="C1330" i="8"/>
  <c r="C1329" i="8"/>
  <c r="C1328" i="8"/>
  <c r="C1327" i="8"/>
  <c r="C1326" i="8"/>
  <c r="C1325" i="8"/>
  <c r="C1324" i="8"/>
  <c r="C1323" i="8"/>
  <c r="C1322" i="8"/>
  <c r="C1321" i="8"/>
  <c r="C1320" i="8"/>
  <c r="C1319" i="8"/>
  <c r="C1318" i="8"/>
  <c r="C1317" i="8"/>
  <c r="C1316" i="8"/>
  <c r="C1315" i="8"/>
  <c r="C1314" i="8"/>
  <c r="C1313" i="8"/>
  <c r="C1312" i="8"/>
  <c r="C1311" i="8"/>
  <c r="C1310" i="8"/>
  <c r="C1309" i="8"/>
  <c r="C1308" i="8"/>
  <c r="C1307" i="8"/>
  <c r="C1306" i="8"/>
  <c r="C1305" i="8"/>
  <c r="C1304" i="8"/>
  <c r="C1303" i="8"/>
  <c r="C1302" i="8"/>
  <c r="C1301" i="8"/>
  <c r="C1300" i="8"/>
  <c r="C1299" i="8"/>
  <c r="C1298" i="8"/>
  <c r="C1297" i="8"/>
  <c r="C1296" i="8"/>
  <c r="C1295" i="8"/>
  <c r="C1294" i="8"/>
  <c r="C1293" i="8"/>
  <c r="C1292" i="8"/>
  <c r="C1291" i="8"/>
  <c r="C1290" i="8"/>
  <c r="C1289" i="8"/>
  <c r="C1288" i="8"/>
  <c r="C1287" i="8"/>
  <c r="C1286" i="8"/>
  <c r="C1285" i="8"/>
  <c r="C1284" i="8"/>
  <c r="C1283" i="8"/>
  <c r="C1282" i="8"/>
  <c r="C1281" i="8"/>
  <c r="C1280" i="8"/>
  <c r="C1279" i="8"/>
  <c r="C1278" i="8"/>
  <c r="C1277" i="8"/>
  <c r="C1276" i="8"/>
  <c r="C1275" i="8"/>
  <c r="C1274" i="8"/>
  <c r="C1273" i="8"/>
  <c r="C1272" i="8"/>
  <c r="C1271" i="8"/>
  <c r="C1270" i="8"/>
  <c r="C1269" i="8"/>
  <c r="C1268" i="8"/>
  <c r="C1267" i="8"/>
  <c r="C1266" i="8"/>
  <c r="C1265" i="8"/>
  <c r="C1264" i="8"/>
  <c r="C1263" i="8"/>
  <c r="C1262" i="8"/>
  <c r="C1261" i="8"/>
  <c r="C1260" i="8"/>
  <c r="C1259" i="8"/>
  <c r="C1258" i="8"/>
  <c r="C1257" i="8"/>
  <c r="C1256" i="8"/>
  <c r="C1255" i="8"/>
  <c r="C1254" i="8"/>
  <c r="C1253" i="8"/>
  <c r="C1252" i="8"/>
  <c r="C1251" i="8"/>
  <c r="C1250" i="8"/>
  <c r="C1249" i="8"/>
  <c r="C1248" i="8"/>
  <c r="C1247" i="8"/>
  <c r="C1246" i="8"/>
  <c r="C1245" i="8"/>
  <c r="C1244" i="8"/>
  <c r="C1243" i="8"/>
  <c r="C1242" i="8"/>
  <c r="C1241" i="8"/>
  <c r="C1240" i="8"/>
  <c r="C1239" i="8"/>
  <c r="C1238" i="8"/>
  <c r="C1237" i="8"/>
  <c r="C1236" i="8"/>
  <c r="C1235" i="8"/>
  <c r="C1234" i="8"/>
  <c r="C1233" i="8"/>
  <c r="C1232" i="8"/>
  <c r="C1231" i="8"/>
  <c r="C1230" i="8"/>
  <c r="C1229" i="8"/>
  <c r="C1228" i="8"/>
  <c r="C1227" i="8"/>
  <c r="C1226" i="8"/>
  <c r="C1225" i="8"/>
  <c r="C1224" i="8"/>
  <c r="C1223" i="8"/>
  <c r="C1222" i="8"/>
  <c r="C1221" i="8"/>
  <c r="C1220" i="8"/>
  <c r="C1219" i="8"/>
  <c r="C1218" i="8"/>
  <c r="C1217" i="8"/>
  <c r="C1216" i="8"/>
  <c r="C1215" i="8"/>
  <c r="C1214" i="8"/>
  <c r="C1213" i="8"/>
  <c r="C1212" i="8"/>
  <c r="C1211" i="8"/>
  <c r="C1210" i="8"/>
  <c r="C1209" i="8"/>
  <c r="C1208" i="8"/>
  <c r="C1207" i="8"/>
  <c r="C1206" i="8"/>
  <c r="C1205" i="8"/>
  <c r="C1204" i="8"/>
  <c r="C1203" i="8"/>
  <c r="C1202" i="8"/>
  <c r="C1201" i="8"/>
  <c r="C1200" i="8"/>
  <c r="C1199" i="8"/>
  <c r="C1198" i="8"/>
  <c r="C1197" i="8"/>
  <c r="C1196" i="8"/>
  <c r="C1195" i="8"/>
  <c r="C1194" i="8"/>
  <c r="C1193" i="8"/>
  <c r="C1192" i="8"/>
  <c r="C1191" i="8"/>
  <c r="C1190" i="8"/>
  <c r="C1189" i="8"/>
  <c r="C1188" i="8"/>
  <c r="C1187" i="8"/>
  <c r="C1186" i="8"/>
  <c r="C1185" i="8"/>
  <c r="C1184" i="8"/>
  <c r="C1183" i="8"/>
  <c r="C1182" i="8"/>
  <c r="C1181" i="8"/>
  <c r="C1180" i="8"/>
  <c r="C1179" i="8"/>
  <c r="C1178" i="8"/>
  <c r="C1177" i="8"/>
  <c r="C1176" i="8"/>
  <c r="C1175" i="8"/>
  <c r="C1174" i="8"/>
  <c r="C1173" i="8"/>
  <c r="C1172" i="8"/>
  <c r="C1171" i="8"/>
  <c r="C1170" i="8"/>
  <c r="C1169" i="8"/>
  <c r="C1168" i="8"/>
  <c r="C1167" i="8"/>
  <c r="C1166" i="8"/>
  <c r="C1165" i="8"/>
  <c r="C1164" i="8"/>
  <c r="C1163" i="8"/>
  <c r="C1162" i="8"/>
  <c r="C1161" i="8"/>
  <c r="C1160" i="8"/>
  <c r="C1159" i="8"/>
  <c r="C1158" i="8"/>
  <c r="C1157" i="8"/>
  <c r="C1156" i="8"/>
  <c r="C1155" i="8"/>
  <c r="C1154" i="8"/>
  <c r="C1153" i="8"/>
  <c r="C1152" i="8"/>
  <c r="C1151" i="8"/>
  <c r="C1150" i="8"/>
  <c r="C1149" i="8"/>
  <c r="C1148" i="8"/>
  <c r="C1147" i="8"/>
  <c r="C1146" i="8"/>
  <c r="C1145" i="8"/>
  <c r="C1144" i="8"/>
  <c r="C1143" i="8"/>
  <c r="C1142" i="8"/>
  <c r="C1141" i="8"/>
  <c r="C1140" i="8"/>
  <c r="C1139" i="8"/>
  <c r="C1138" i="8"/>
  <c r="C1137" i="8"/>
  <c r="C1136" i="8"/>
  <c r="C1135" i="8"/>
  <c r="C1134" i="8"/>
  <c r="C1133" i="8"/>
  <c r="C1132" i="8"/>
  <c r="C1131" i="8"/>
  <c r="C1130" i="8"/>
  <c r="C1129" i="8"/>
  <c r="C1128" i="8"/>
  <c r="C1127" i="8"/>
  <c r="C1126" i="8"/>
  <c r="C1125" i="8"/>
  <c r="C1124" i="8"/>
  <c r="C1123" i="8"/>
  <c r="C1122" i="8"/>
  <c r="C1121" i="8"/>
  <c r="C1120" i="8"/>
  <c r="C1119" i="8"/>
  <c r="C1118" i="8"/>
  <c r="C1117" i="8"/>
  <c r="C1116" i="8"/>
  <c r="C1115" i="8"/>
  <c r="C1114" i="8"/>
  <c r="C1113" i="8"/>
  <c r="C1112" i="8"/>
  <c r="C1111" i="8"/>
  <c r="C1110" i="8"/>
  <c r="C1109" i="8"/>
  <c r="C1108" i="8"/>
  <c r="C1107" i="8"/>
  <c r="C1106" i="8"/>
  <c r="C1105" i="8"/>
  <c r="C1104" i="8"/>
  <c r="C1103" i="8"/>
  <c r="C1102" i="8"/>
  <c r="C1101" i="8"/>
  <c r="C1100" i="8"/>
  <c r="C1099" i="8"/>
  <c r="C1098" i="8"/>
  <c r="C1097" i="8"/>
  <c r="C1096" i="8"/>
  <c r="C1095" i="8"/>
  <c r="C1094" i="8"/>
  <c r="C1093" i="8"/>
  <c r="C1092" i="8"/>
  <c r="C1091" i="8"/>
  <c r="C1090" i="8"/>
  <c r="C1089" i="8"/>
  <c r="C1088" i="8"/>
  <c r="C1087" i="8"/>
  <c r="C1086" i="8"/>
  <c r="C1085" i="8"/>
  <c r="C1084" i="8"/>
  <c r="C1083" i="8"/>
  <c r="C1082" i="8"/>
  <c r="C1081" i="8"/>
  <c r="C1080" i="8"/>
  <c r="C1079" i="8"/>
  <c r="C1078" i="8"/>
  <c r="C1077" i="8"/>
  <c r="C1076" i="8"/>
  <c r="C1075" i="8"/>
  <c r="C1074" i="8"/>
  <c r="C1073" i="8"/>
  <c r="C1072" i="8"/>
  <c r="C1071" i="8"/>
  <c r="C1070" i="8"/>
  <c r="C1069" i="8"/>
  <c r="C1068" i="8"/>
  <c r="C1067" i="8"/>
  <c r="C1066" i="8"/>
  <c r="C1065" i="8"/>
  <c r="C1064" i="8"/>
  <c r="C1063" i="8"/>
  <c r="C1062" i="8"/>
  <c r="C1061" i="8"/>
  <c r="C1060" i="8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D504" i="8"/>
  <c r="C504" i="8"/>
  <c r="D503" i="8"/>
  <c r="C503" i="8"/>
  <c r="D502" i="8"/>
  <c r="C502" i="8"/>
  <c r="D501" i="8"/>
  <c r="C501" i="8"/>
  <c r="D500" i="8"/>
  <c r="C500" i="8"/>
  <c r="D499" i="8"/>
  <c r="C499" i="8"/>
  <c r="D498" i="8"/>
  <c r="C498" i="8"/>
  <c r="D497" i="8"/>
  <c r="C497" i="8"/>
  <c r="D496" i="8"/>
  <c r="C496" i="8"/>
  <c r="D495" i="8"/>
  <c r="C495" i="8"/>
  <c r="D494" i="8"/>
  <c r="C494" i="8"/>
  <c r="D493" i="8"/>
  <c r="C493" i="8"/>
  <c r="D492" i="8"/>
  <c r="C492" i="8"/>
  <c r="D491" i="8"/>
  <c r="C491" i="8"/>
  <c r="D490" i="8"/>
  <c r="C490" i="8"/>
  <c r="D489" i="8"/>
  <c r="C489" i="8"/>
  <c r="D488" i="8"/>
  <c r="C488" i="8"/>
  <c r="D487" i="8"/>
  <c r="C487" i="8"/>
  <c r="D486" i="8"/>
  <c r="C486" i="8"/>
  <c r="D485" i="8"/>
  <c r="C485" i="8"/>
  <c r="D484" i="8"/>
  <c r="C484" i="8"/>
  <c r="D483" i="8"/>
  <c r="C483" i="8"/>
  <c r="D482" i="8"/>
  <c r="C482" i="8"/>
  <c r="D481" i="8"/>
  <c r="C481" i="8"/>
  <c r="D480" i="8"/>
  <c r="C480" i="8"/>
  <c r="D479" i="8"/>
  <c r="C479" i="8"/>
  <c r="D478" i="8"/>
  <c r="C478" i="8"/>
  <c r="D477" i="8"/>
  <c r="C477" i="8"/>
  <c r="D476" i="8"/>
  <c r="C476" i="8"/>
  <c r="D475" i="8"/>
  <c r="C475" i="8"/>
  <c r="D474" i="8"/>
  <c r="C474" i="8"/>
  <c r="D473" i="8"/>
  <c r="C473" i="8"/>
  <c r="D472" i="8"/>
  <c r="C472" i="8"/>
  <c r="D471" i="8"/>
  <c r="C471" i="8"/>
  <c r="D470" i="8"/>
  <c r="C470" i="8"/>
  <c r="D469" i="8"/>
  <c r="C469" i="8"/>
  <c r="D468" i="8"/>
  <c r="C468" i="8"/>
  <c r="D467" i="8"/>
  <c r="C467" i="8"/>
  <c r="D466" i="8"/>
  <c r="C466" i="8"/>
  <c r="D465" i="8"/>
  <c r="C465" i="8"/>
  <c r="D464" i="8"/>
  <c r="C464" i="8"/>
  <c r="D463" i="8"/>
  <c r="C463" i="8"/>
  <c r="D462" i="8"/>
  <c r="C462" i="8"/>
  <c r="D461" i="8"/>
  <c r="C461" i="8"/>
  <c r="D460" i="8"/>
  <c r="C460" i="8"/>
  <c r="D459" i="8"/>
  <c r="C459" i="8"/>
  <c r="D458" i="8"/>
  <c r="C458" i="8"/>
  <c r="D457" i="8"/>
  <c r="C457" i="8"/>
  <c r="D456" i="8"/>
  <c r="C456" i="8"/>
  <c r="D455" i="8"/>
  <c r="C455" i="8"/>
  <c r="D454" i="8"/>
  <c r="C454" i="8"/>
  <c r="D453" i="8"/>
  <c r="C453" i="8"/>
  <c r="D452" i="8"/>
  <c r="C452" i="8"/>
  <c r="D451" i="8"/>
  <c r="C451" i="8"/>
  <c r="D450" i="8"/>
  <c r="C450" i="8"/>
  <c r="D449" i="8"/>
  <c r="C449" i="8"/>
  <c r="D448" i="8"/>
  <c r="C448" i="8"/>
  <c r="D447" i="8"/>
  <c r="C447" i="8"/>
  <c r="D446" i="8"/>
  <c r="C446" i="8"/>
  <c r="D445" i="8"/>
  <c r="C445" i="8"/>
  <c r="D444" i="8"/>
  <c r="C444" i="8"/>
  <c r="D443" i="8"/>
  <c r="C443" i="8"/>
  <c r="D442" i="8"/>
  <c r="C442" i="8"/>
  <c r="D441" i="8"/>
  <c r="C441" i="8"/>
  <c r="D440" i="8"/>
  <c r="C440" i="8"/>
  <c r="D439" i="8"/>
  <c r="C439" i="8"/>
  <c r="D438" i="8"/>
  <c r="C438" i="8"/>
  <c r="D437" i="8"/>
  <c r="C437" i="8"/>
  <c r="D436" i="8"/>
  <c r="C436" i="8"/>
  <c r="D435" i="8"/>
  <c r="C435" i="8"/>
  <c r="D434" i="8"/>
  <c r="C434" i="8"/>
  <c r="D433" i="8"/>
  <c r="C433" i="8"/>
  <c r="D432" i="8"/>
  <c r="C432" i="8"/>
  <c r="D431" i="8"/>
  <c r="C431" i="8"/>
  <c r="D430" i="8"/>
  <c r="C430" i="8"/>
  <c r="D429" i="8"/>
  <c r="C429" i="8"/>
  <c r="D428" i="8"/>
  <c r="C428" i="8"/>
  <c r="D427" i="8"/>
  <c r="C427" i="8"/>
  <c r="D426" i="8"/>
  <c r="C426" i="8"/>
  <c r="D425" i="8"/>
  <c r="C425" i="8"/>
  <c r="D424" i="8"/>
  <c r="C424" i="8"/>
  <c r="D423" i="8"/>
  <c r="C423" i="8"/>
  <c r="D422" i="8"/>
  <c r="C422" i="8"/>
  <c r="D421" i="8"/>
  <c r="C421" i="8"/>
  <c r="D420" i="8"/>
  <c r="C420" i="8"/>
  <c r="D419" i="8"/>
  <c r="C419" i="8"/>
  <c r="D418" i="8"/>
  <c r="C418" i="8"/>
  <c r="D417" i="8"/>
  <c r="C417" i="8"/>
  <c r="D416" i="8"/>
  <c r="C416" i="8"/>
  <c r="D415" i="8"/>
  <c r="C415" i="8"/>
  <c r="D414" i="8"/>
  <c r="C414" i="8"/>
  <c r="D413" i="8"/>
  <c r="C413" i="8"/>
  <c r="D412" i="8"/>
  <c r="C412" i="8"/>
  <c r="D411" i="8"/>
  <c r="C411" i="8"/>
  <c r="D410" i="8"/>
  <c r="C410" i="8"/>
  <c r="D409" i="8"/>
  <c r="C409" i="8"/>
  <c r="D408" i="8"/>
  <c r="C408" i="8"/>
  <c r="D407" i="8"/>
  <c r="C407" i="8"/>
  <c r="D406" i="8"/>
  <c r="C406" i="8"/>
  <c r="D405" i="8"/>
  <c r="C405" i="8"/>
  <c r="D404" i="8"/>
  <c r="C404" i="8"/>
  <c r="D403" i="8"/>
  <c r="C403" i="8"/>
  <c r="D402" i="8"/>
  <c r="C402" i="8"/>
  <c r="D401" i="8"/>
  <c r="C401" i="8"/>
  <c r="D400" i="8"/>
  <c r="C400" i="8"/>
  <c r="D399" i="8"/>
  <c r="C399" i="8"/>
  <c r="D398" i="8"/>
  <c r="C398" i="8"/>
  <c r="D397" i="8"/>
  <c r="C397" i="8"/>
  <c r="D396" i="8"/>
  <c r="C396" i="8"/>
  <c r="D395" i="8"/>
  <c r="C395" i="8"/>
  <c r="D394" i="8"/>
  <c r="C394" i="8"/>
  <c r="D393" i="8"/>
  <c r="C393" i="8"/>
  <c r="D392" i="8"/>
  <c r="C392" i="8"/>
  <c r="D391" i="8"/>
  <c r="C391" i="8"/>
  <c r="D390" i="8"/>
  <c r="C390" i="8"/>
  <c r="D389" i="8"/>
  <c r="C389" i="8"/>
  <c r="D388" i="8"/>
  <c r="C388" i="8"/>
  <c r="D387" i="8"/>
  <c r="C387" i="8"/>
  <c r="D386" i="8"/>
  <c r="C386" i="8"/>
  <c r="D385" i="8"/>
  <c r="C385" i="8"/>
  <c r="D384" i="8"/>
  <c r="C384" i="8"/>
  <c r="D383" i="8"/>
  <c r="C383" i="8"/>
  <c r="D382" i="8"/>
  <c r="C382" i="8"/>
  <c r="D381" i="8"/>
  <c r="C381" i="8"/>
  <c r="D380" i="8"/>
  <c r="C380" i="8"/>
  <c r="D379" i="8"/>
  <c r="C379" i="8"/>
  <c r="D378" i="8"/>
  <c r="C378" i="8"/>
  <c r="D377" i="8"/>
  <c r="C377" i="8"/>
  <c r="D376" i="8"/>
  <c r="C376" i="8"/>
  <c r="D375" i="8"/>
  <c r="C375" i="8"/>
  <c r="D374" i="8"/>
  <c r="C374" i="8"/>
  <c r="D373" i="8"/>
  <c r="C373" i="8"/>
  <c r="D372" i="8"/>
  <c r="C372" i="8"/>
  <c r="D371" i="8"/>
  <c r="C371" i="8"/>
  <c r="D370" i="8"/>
  <c r="C370" i="8"/>
  <c r="D369" i="8"/>
  <c r="C369" i="8"/>
  <c r="D368" i="8"/>
  <c r="C368" i="8"/>
  <c r="D367" i="8"/>
  <c r="C367" i="8"/>
  <c r="D366" i="8"/>
  <c r="C366" i="8"/>
  <c r="D365" i="8"/>
  <c r="C365" i="8"/>
  <c r="D364" i="8"/>
  <c r="C364" i="8"/>
  <c r="D363" i="8"/>
  <c r="C363" i="8"/>
  <c r="D362" i="8"/>
  <c r="C362" i="8"/>
  <c r="D361" i="8"/>
  <c r="C361" i="8"/>
  <c r="D360" i="8"/>
  <c r="C360" i="8"/>
  <c r="D359" i="8"/>
  <c r="C359" i="8"/>
  <c r="D358" i="8"/>
  <c r="C358" i="8"/>
  <c r="D357" i="8"/>
  <c r="C357" i="8"/>
  <c r="D356" i="8"/>
  <c r="C356" i="8"/>
  <c r="D355" i="8"/>
  <c r="C355" i="8"/>
  <c r="D354" i="8"/>
  <c r="C354" i="8"/>
  <c r="D353" i="8"/>
  <c r="C353" i="8"/>
  <c r="D352" i="8"/>
  <c r="C352" i="8"/>
  <c r="D351" i="8"/>
  <c r="C351" i="8"/>
  <c r="D350" i="8"/>
  <c r="C350" i="8"/>
  <c r="D349" i="8"/>
  <c r="C349" i="8"/>
  <c r="D348" i="8"/>
  <c r="C348" i="8"/>
  <c r="D347" i="8"/>
  <c r="C347" i="8"/>
  <c r="D346" i="8"/>
  <c r="C346" i="8"/>
  <c r="D345" i="8"/>
  <c r="C345" i="8"/>
  <c r="D344" i="8"/>
  <c r="C344" i="8"/>
  <c r="D343" i="8"/>
  <c r="C343" i="8"/>
  <c r="D342" i="8"/>
  <c r="C342" i="8"/>
  <c r="D341" i="8"/>
  <c r="C341" i="8"/>
  <c r="D340" i="8"/>
  <c r="C340" i="8"/>
  <c r="D339" i="8"/>
  <c r="C339" i="8"/>
  <c r="D338" i="8"/>
  <c r="C338" i="8"/>
  <c r="D337" i="8"/>
  <c r="C337" i="8"/>
  <c r="D336" i="8"/>
  <c r="C336" i="8"/>
  <c r="D335" i="8"/>
  <c r="C335" i="8"/>
  <c r="D334" i="8"/>
  <c r="C334" i="8"/>
  <c r="D333" i="8"/>
  <c r="C333" i="8"/>
  <c r="D332" i="8"/>
  <c r="C332" i="8"/>
  <c r="D331" i="8"/>
  <c r="C331" i="8"/>
  <c r="D330" i="8"/>
  <c r="C330" i="8"/>
  <c r="D329" i="8"/>
  <c r="C329" i="8"/>
  <c r="D328" i="8"/>
  <c r="C328" i="8"/>
  <c r="D327" i="8"/>
  <c r="C327" i="8"/>
  <c r="D326" i="8"/>
  <c r="C326" i="8"/>
  <c r="D325" i="8"/>
  <c r="C325" i="8"/>
  <c r="D324" i="8"/>
  <c r="C324" i="8"/>
  <c r="D323" i="8"/>
  <c r="C323" i="8"/>
  <c r="D322" i="8"/>
  <c r="C322" i="8"/>
  <c r="D321" i="8"/>
  <c r="C321" i="8"/>
  <c r="D320" i="8"/>
  <c r="C320" i="8"/>
  <c r="D319" i="8"/>
  <c r="C319" i="8"/>
  <c r="D318" i="8"/>
  <c r="C318" i="8"/>
  <c r="D317" i="8"/>
  <c r="C317" i="8"/>
  <c r="D316" i="8"/>
  <c r="C316" i="8"/>
  <c r="D315" i="8"/>
  <c r="C315" i="8"/>
  <c r="D314" i="8"/>
  <c r="C314" i="8"/>
  <c r="D313" i="8"/>
  <c r="C313" i="8"/>
  <c r="D312" i="8"/>
  <c r="C312" i="8"/>
  <c r="D311" i="8"/>
  <c r="C311" i="8"/>
  <c r="D310" i="8"/>
  <c r="C310" i="8"/>
  <c r="D309" i="8"/>
  <c r="C309" i="8"/>
  <c r="D308" i="8"/>
  <c r="C308" i="8"/>
  <c r="D307" i="8"/>
  <c r="C307" i="8"/>
  <c r="D306" i="8"/>
  <c r="C306" i="8"/>
  <c r="D305" i="8"/>
  <c r="C305" i="8"/>
  <c r="D304" i="8"/>
  <c r="C304" i="8"/>
  <c r="D303" i="8"/>
  <c r="C303" i="8"/>
  <c r="D302" i="8"/>
  <c r="C302" i="8"/>
  <c r="D301" i="8"/>
  <c r="C301" i="8"/>
  <c r="D300" i="8"/>
  <c r="C300" i="8"/>
  <c r="D299" i="8"/>
  <c r="C299" i="8"/>
  <c r="D298" i="8"/>
  <c r="C298" i="8"/>
  <c r="D297" i="8"/>
  <c r="C297" i="8"/>
  <c r="D296" i="8"/>
  <c r="C296" i="8"/>
  <c r="D295" i="8"/>
  <c r="C295" i="8"/>
  <c r="D294" i="8"/>
  <c r="C294" i="8"/>
  <c r="D293" i="8"/>
  <c r="C293" i="8"/>
  <c r="D292" i="8"/>
  <c r="C292" i="8"/>
  <c r="D291" i="8"/>
  <c r="C291" i="8"/>
  <c r="D290" i="8"/>
  <c r="C290" i="8"/>
  <c r="D289" i="8"/>
  <c r="C289" i="8"/>
  <c r="D288" i="8"/>
  <c r="C288" i="8"/>
  <c r="D287" i="8"/>
  <c r="C287" i="8"/>
  <c r="D286" i="8"/>
  <c r="C286" i="8"/>
  <c r="D285" i="8"/>
  <c r="C285" i="8"/>
  <c r="D284" i="8"/>
  <c r="C284" i="8"/>
  <c r="D283" i="8"/>
  <c r="C283" i="8"/>
  <c r="D282" i="8"/>
  <c r="C282" i="8"/>
  <c r="D281" i="8"/>
  <c r="C281" i="8"/>
  <c r="D280" i="8"/>
  <c r="C280" i="8"/>
  <c r="D279" i="8"/>
  <c r="C279" i="8"/>
  <c r="D278" i="8"/>
  <c r="C278" i="8"/>
  <c r="D277" i="8"/>
  <c r="C277" i="8"/>
  <c r="D276" i="8"/>
  <c r="C276" i="8"/>
  <c r="D275" i="8"/>
  <c r="C275" i="8"/>
  <c r="D274" i="8"/>
  <c r="C274" i="8"/>
  <c r="D273" i="8"/>
  <c r="C273" i="8"/>
  <c r="D272" i="8"/>
  <c r="C272" i="8"/>
  <c r="D271" i="8"/>
  <c r="C271" i="8"/>
  <c r="D270" i="8"/>
  <c r="C270" i="8"/>
  <c r="D269" i="8"/>
  <c r="C269" i="8"/>
  <c r="D268" i="8"/>
  <c r="C268" i="8"/>
  <c r="D267" i="8"/>
  <c r="C267" i="8"/>
  <c r="D266" i="8"/>
  <c r="C266" i="8"/>
  <c r="D265" i="8"/>
  <c r="C265" i="8"/>
  <c r="D264" i="8"/>
  <c r="C264" i="8"/>
  <c r="D263" i="8"/>
  <c r="C263" i="8"/>
  <c r="D262" i="8"/>
  <c r="C262" i="8"/>
  <c r="D261" i="8"/>
  <c r="C261" i="8"/>
  <c r="D260" i="8"/>
  <c r="C260" i="8"/>
  <c r="D259" i="8"/>
  <c r="C259" i="8"/>
  <c r="D258" i="8"/>
  <c r="C258" i="8"/>
  <c r="D257" i="8"/>
  <c r="C257" i="8"/>
  <c r="D256" i="8"/>
  <c r="C256" i="8"/>
  <c r="D255" i="8"/>
  <c r="C255" i="8"/>
  <c r="D254" i="8"/>
  <c r="C254" i="8"/>
  <c r="D253" i="8"/>
  <c r="C253" i="8"/>
  <c r="D252" i="8"/>
  <c r="C252" i="8"/>
  <c r="D251" i="8"/>
  <c r="C251" i="8"/>
  <c r="D250" i="8"/>
  <c r="C250" i="8"/>
  <c r="D249" i="8"/>
  <c r="C249" i="8"/>
  <c r="D248" i="8"/>
  <c r="C248" i="8"/>
  <c r="D247" i="8"/>
  <c r="C247" i="8"/>
  <c r="D246" i="8"/>
  <c r="C246" i="8"/>
  <c r="D245" i="8"/>
  <c r="C245" i="8"/>
  <c r="D244" i="8"/>
  <c r="C244" i="8"/>
  <c r="D243" i="8"/>
  <c r="C243" i="8"/>
  <c r="D242" i="8"/>
  <c r="C242" i="8"/>
  <c r="D241" i="8"/>
  <c r="C241" i="8"/>
  <c r="D240" i="8"/>
  <c r="C240" i="8"/>
  <c r="D239" i="8"/>
  <c r="C239" i="8"/>
  <c r="D238" i="8"/>
  <c r="C238" i="8"/>
  <c r="D237" i="8"/>
  <c r="C237" i="8"/>
  <c r="D236" i="8"/>
  <c r="C236" i="8"/>
  <c r="D235" i="8"/>
  <c r="C235" i="8"/>
  <c r="D234" i="8"/>
  <c r="C234" i="8"/>
  <c r="D233" i="8"/>
  <c r="C233" i="8"/>
  <c r="D232" i="8"/>
  <c r="C232" i="8"/>
  <c r="D231" i="8"/>
  <c r="C231" i="8"/>
  <c r="D230" i="8"/>
  <c r="C230" i="8"/>
  <c r="D229" i="8"/>
  <c r="C229" i="8"/>
  <c r="D228" i="8"/>
  <c r="C228" i="8"/>
  <c r="D227" i="8"/>
  <c r="C227" i="8"/>
  <c r="D226" i="8"/>
  <c r="C226" i="8"/>
  <c r="D225" i="8"/>
  <c r="C225" i="8"/>
  <c r="D224" i="8"/>
  <c r="C224" i="8"/>
  <c r="D223" i="8"/>
  <c r="C223" i="8"/>
  <c r="D222" i="8"/>
  <c r="C222" i="8"/>
  <c r="D221" i="8"/>
  <c r="C221" i="8"/>
  <c r="D220" i="8"/>
  <c r="C220" i="8"/>
  <c r="D219" i="8"/>
  <c r="C219" i="8"/>
  <c r="D218" i="8"/>
  <c r="C218" i="8"/>
  <c r="D217" i="8"/>
  <c r="C217" i="8"/>
  <c r="D216" i="8"/>
  <c r="C216" i="8"/>
  <c r="D215" i="8"/>
  <c r="C215" i="8"/>
  <c r="D214" i="8"/>
  <c r="C214" i="8"/>
  <c r="D213" i="8"/>
  <c r="C213" i="8"/>
  <c r="D212" i="8"/>
  <c r="C212" i="8"/>
  <c r="D211" i="8"/>
  <c r="C211" i="8"/>
  <c r="D210" i="8"/>
  <c r="C210" i="8"/>
  <c r="D209" i="8"/>
  <c r="C209" i="8"/>
  <c r="D208" i="8"/>
  <c r="C208" i="8"/>
  <c r="D207" i="8"/>
  <c r="C207" i="8"/>
  <c r="D206" i="8"/>
  <c r="C206" i="8"/>
  <c r="D205" i="8"/>
  <c r="C205" i="8"/>
  <c r="D204" i="8"/>
  <c r="C204" i="8"/>
  <c r="D203" i="8"/>
  <c r="C203" i="8"/>
  <c r="D202" i="8"/>
  <c r="C202" i="8"/>
  <c r="D201" i="8"/>
  <c r="C201" i="8"/>
  <c r="D200" i="8"/>
  <c r="C200" i="8"/>
  <c r="D199" i="8"/>
  <c r="C199" i="8"/>
  <c r="D198" i="8"/>
  <c r="C198" i="8"/>
  <c r="D197" i="8"/>
  <c r="C197" i="8"/>
  <c r="D196" i="8"/>
  <c r="C196" i="8"/>
  <c r="D195" i="8"/>
  <c r="C195" i="8"/>
  <c r="D194" i="8"/>
  <c r="C194" i="8"/>
  <c r="D193" i="8"/>
  <c r="C193" i="8"/>
  <c r="D192" i="8"/>
  <c r="C192" i="8"/>
  <c r="D191" i="8"/>
  <c r="C191" i="8"/>
  <c r="D190" i="8"/>
  <c r="C190" i="8"/>
  <c r="D189" i="8"/>
  <c r="C189" i="8"/>
  <c r="D188" i="8"/>
  <c r="C188" i="8"/>
  <c r="D187" i="8"/>
  <c r="C187" i="8"/>
  <c r="D186" i="8"/>
  <c r="C186" i="8"/>
  <c r="D185" i="8"/>
  <c r="C185" i="8"/>
  <c r="D184" i="8"/>
  <c r="C184" i="8"/>
  <c r="D183" i="8"/>
  <c r="C183" i="8"/>
  <c r="D182" i="8"/>
  <c r="C182" i="8"/>
  <c r="D181" i="8"/>
  <c r="C181" i="8"/>
  <c r="D180" i="8"/>
  <c r="C180" i="8"/>
  <c r="D179" i="8"/>
  <c r="C179" i="8"/>
  <c r="D178" i="8"/>
  <c r="C178" i="8"/>
  <c r="D177" i="8"/>
  <c r="C177" i="8"/>
  <c r="D176" i="8"/>
  <c r="C176" i="8"/>
  <c r="D175" i="8"/>
  <c r="C175" i="8"/>
  <c r="D174" i="8"/>
  <c r="C174" i="8"/>
  <c r="D173" i="8"/>
  <c r="C173" i="8"/>
  <c r="D172" i="8"/>
  <c r="C172" i="8"/>
  <c r="D171" i="8"/>
  <c r="C171" i="8"/>
  <c r="D170" i="8"/>
  <c r="C170" i="8"/>
  <c r="D169" i="8"/>
  <c r="C169" i="8"/>
  <c r="D168" i="8"/>
  <c r="C168" i="8"/>
  <c r="D167" i="8"/>
  <c r="C167" i="8"/>
  <c r="D166" i="8"/>
  <c r="C166" i="8"/>
  <c r="D165" i="8"/>
  <c r="C165" i="8"/>
  <c r="D164" i="8"/>
  <c r="C164" i="8"/>
  <c r="D163" i="8"/>
  <c r="C163" i="8"/>
  <c r="D162" i="8"/>
  <c r="C162" i="8"/>
  <c r="D161" i="8"/>
  <c r="C161" i="8"/>
  <c r="D160" i="8"/>
  <c r="C160" i="8"/>
  <c r="D159" i="8"/>
  <c r="C159" i="8"/>
  <c r="D158" i="8"/>
  <c r="C158" i="8"/>
  <c r="D157" i="8"/>
  <c r="C157" i="8"/>
  <c r="D156" i="8"/>
  <c r="C156" i="8"/>
  <c r="D155" i="8"/>
  <c r="C155" i="8"/>
  <c r="D154" i="8"/>
  <c r="C154" i="8"/>
  <c r="D153" i="8"/>
  <c r="C153" i="8"/>
  <c r="D152" i="8"/>
  <c r="C152" i="8"/>
  <c r="D151" i="8"/>
  <c r="C151" i="8"/>
  <c r="D150" i="8"/>
  <c r="C150" i="8"/>
  <c r="D149" i="8"/>
  <c r="C149" i="8"/>
  <c r="D148" i="8"/>
  <c r="C148" i="8"/>
  <c r="D147" i="8"/>
  <c r="C147" i="8"/>
  <c r="D146" i="8"/>
  <c r="C146" i="8"/>
  <c r="D145" i="8"/>
  <c r="C145" i="8"/>
  <c r="D144" i="8"/>
  <c r="C144" i="8"/>
  <c r="D143" i="8"/>
  <c r="C143" i="8"/>
  <c r="D142" i="8"/>
  <c r="C142" i="8"/>
  <c r="D141" i="8"/>
  <c r="C141" i="8"/>
  <c r="D140" i="8"/>
  <c r="C140" i="8"/>
  <c r="D139" i="8"/>
  <c r="C139" i="8"/>
  <c r="D138" i="8"/>
  <c r="C138" i="8"/>
  <c r="D137" i="8"/>
  <c r="C137" i="8"/>
  <c r="D136" i="8"/>
  <c r="C136" i="8"/>
  <c r="D135" i="8"/>
  <c r="C135" i="8"/>
  <c r="D134" i="8"/>
  <c r="C134" i="8"/>
  <c r="D133" i="8"/>
  <c r="C133" i="8"/>
  <c r="D132" i="8"/>
  <c r="C132" i="8"/>
  <c r="D131" i="8"/>
  <c r="C131" i="8"/>
  <c r="D130" i="8"/>
  <c r="C130" i="8"/>
  <c r="D129" i="8"/>
  <c r="C129" i="8"/>
  <c r="D128" i="8"/>
  <c r="C128" i="8"/>
  <c r="D127" i="8"/>
  <c r="C127" i="8"/>
  <c r="D126" i="8"/>
  <c r="C126" i="8"/>
  <c r="D125" i="8"/>
  <c r="C125" i="8"/>
  <c r="D124" i="8"/>
  <c r="C124" i="8"/>
  <c r="D123" i="8"/>
  <c r="C123" i="8"/>
  <c r="D122" i="8"/>
  <c r="C122" i="8"/>
  <c r="D121" i="8"/>
  <c r="C121" i="8"/>
  <c r="D120" i="8"/>
  <c r="C120" i="8"/>
  <c r="D119" i="8"/>
  <c r="C119" i="8"/>
  <c r="D118" i="8"/>
  <c r="C118" i="8"/>
  <c r="D117" i="8"/>
  <c r="C117" i="8"/>
  <c r="D116" i="8"/>
  <c r="C116" i="8"/>
  <c r="D115" i="8"/>
  <c r="C115" i="8"/>
  <c r="D114" i="8"/>
  <c r="C114" i="8"/>
  <c r="D113" i="8"/>
  <c r="C113" i="8"/>
  <c r="D112" i="8"/>
  <c r="C112" i="8"/>
  <c r="D111" i="8"/>
  <c r="C111" i="8"/>
  <c r="D110" i="8"/>
  <c r="C110" i="8"/>
  <c r="D109" i="8"/>
  <c r="C109" i="8"/>
  <c r="D108" i="8"/>
  <c r="C108" i="8"/>
  <c r="D107" i="8"/>
  <c r="C107" i="8"/>
  <c r="D106" i="8"/>
  <c r="C106" i="8"/>
  <c r="D105" i="8"/>
  <c r="C105" i="8"/>
  <c r="D104" i="8"/>
  <c r="C104" i="8"/>
  <c r="D103" i="8"/>
  <c r="C103" i="8"/>
  <c r="D102" i="8"/>
  <c r="C102" i="8"/>
  <c r="D101" i="8"/>
  <c r="C101" i="8"/>
  <c r="D100" i="8"/>
  <c r="C100" i="8"/>
  <c r="D99" i="8"/>
  <c r="C99" i="8"/>
  <c r="D98" i="8"/>
  <c r="C98" i="8"/>
  <c r="D97" i="8"/>
  <c r="C97" i="8"/>
  <c r="D96" i="8"/>
  <c r="C96" i="8"/>
  <c r="D95" i="8"/>
  <c r="C95" i="8"/>
  <c r="D94" i="8"/>
  <c r="C94" i="8"/>
  <c r="D93" i="8"/>
  <c r="C93" i="8"/>
  <c r="D92" i="8"/>
  <c r="C92" i="8"/>
  <c r="D91" i="8"/>
  <c r="C91" i="8"/>
  <c r="D90" i="8"/>
  <c r="C90" i="8"/>
  <c r="D89" i="8"/>
  <c r="C89" i="8"/>
  <c r="D88" i="8"/>
  <c r="C88" i="8"/>
  <c r="D87" i="8"/>
  <c r="C87" i="8"/>
  <c r="D86" i="8"/>
  <c r="C86" i="8"/>
  <c r="D85" i="8"/>
  <c r="C85" i="8"/>
  <c r="D84" i="8"/>
  <c r="C84" i="8"/>
  <c r="D83" i="8"/>
  <c r="C83" i="8"/>
  <c r="D82" i="8"/>
  <c r="C82" i="8"/>
  <c r="D81" i="8"/>
  <c r="C81" i="8"/>
  <c r="D80" i="8"/>
  <c r="C80" i="8"/>
  <c r="D79" i="8"/>
  <c r="C79" i="8"/>
  <c r="D78" i="8"/>
  <c r="C78" i="8"/>
  <c r="D77" i="8"/>
  <c r="C77" i="8"/>
  <c r="D76" i="8"/>
  <c r="C76" i="8"/>
  <c r="D75" i="8"/>
  <c r="C75" i="8"/>
  <c r="D74" i="8"/>
  <c r="C74" i="8"/>
  <c r="D73" i="8"/>
  <c r="C73" i="8"/>
  <c r="D72" i="8"/>
  <c r="C72" i="8"/>
  <c r="D71" i="8"/>
  <c r="C71" i="8"/>
  <c r="D70" i="8"/>
  <c r="C70" i="8"/>
  <c r="D69" i="8"/>
  <c r="C69" i="8"/>
  <c r="D68" i="8"/>
  <c r="C68" i="8"/>
  <c r="D67" i="8"/>
  <c r="C67" i="8"/>
  <c r="D66" i="8"/>
  <c r="C66" i="8"/>
  <c r="D65" i="8"/>
  <c r="C65" i="8"/>
  <c r="D64" i="8"/>
  <c r="C64" i="8"/>
  <c r="D63" i="8"/>
  <c r="C63" i="8"/>
  <c r="D62" i="8"/>
  <c r="C62" i="8"/>
  <c r="D61" i="8"/>
  <c r="C61" i="8"/>
  <c r="D60" i="8"/>
  <c r="C60" i="8"/>
  <c r="D59" i="8"/>
  <c r="C59" i="8"/>
  <c r="D58" i="8"/>
  <c r="C58" i="8"/>
  <c r="D57" i="8"/>
  <c r="C57" i="8"/>
  <c r="D56" i="8"/>
  <c r="C56" i="8"/>
  <c r="D55" i="8"/>
  <c r="C55" i="8"/>
  <c r="D54" i="8"/>
  <c r="C54" i="8"/>
  <c r="D53" i="8"/>
  <c r="C53" i="8"/>
  <c r="D52" i="8"/>
  <c r="C52" i="8"/>
  <c r="D51" i="8"/>
  <c r="C51" i="8"/>
  <c r="D50" i="8"/>
  <c r="C50" i="8"/>
  <c r="D49" i="8"/>
  <c r="C49" i="8"/>
  <c r="D48" i="8"/>
  <c r="C48" i="8"/>
  <c r="D47" i="8"/>
  <c r="C47" i="8"/>
  <c r="D46" i="8"/>
  <c r="C46" i="8"/>
  <c r="D45" i="8"/>
  <c r="C45" i="8"/>
  <c r="D44" i="8"/>
  <c r="C44" i="8"/>
  <c r="D43" i="8"/>
  <c r="C43" i="8"/>
  <c r="D42" i="8"/>
  <c r="C42" i="8"/>
  <c r="D41" i="8"/>
  <c r="C41" i="8"/>
  <c r="D40" i="8"/>
  <c r="C40" i="8"/>
  <c r="D39" i="8"/>
  <c r="C39" i="8"/>
  <c r="D38" i="8"/>
  <c r="C38" i="8"/>
  <c r="D37" i="8"/>
  <c r="C37" i="8"/>
  <c r="D36" i="8"/>
  <c r="C36" i="8"/>
  <c r="D35" i="8"/>
  <c r="C35" i="8"/>
  <c r="D34" i="8"/>
  <c r="C34" i="8"/>
  <c r="D33" i="8"/>
  <c r="C33" i="8"/>
  <c r="D32" i="8"/>
  <c r="C32" i="8"/>
  <c r="D31" i="8"/>
  <c r="C31" i="8"/>
  <c r="D30" i="8"/>
  <c r="C30" i="8"/>
  <c r="D29" i="8"/>
  <c r="C29" i="8"/>
  <c r="D28" i="8"/>
  <c r="C28" i="8"/>
  <c r="D27" i="8"/>
  <c r="C27" i="8"/>
  <c r="D26" i="8"/>
  <c r="C26" i="8"/>
  <c r="D25" i="8"/>
  <c r="C25" i="8"/>
  <c r="D24" i="8"/>
  <c r="C24" i="8"/>
  <c r="D23" i="8"/>
  <c r="C23" i="8"/>
  <c r="D22" i="8"/>
  <c r="C22" i="8"/>
  <c r="D21" i="8"/>
  <c r="C21" i="8"/>
  <c r="D20" i="8"/>
  <c r="C20" i="8"/>
  <c r="D19" i="8"/>
  <c r="C19" i="8"/>
  <c r="D18" i="8"/>
  <c r="C18" i="8"/>
  <c r="D17" i="8"/>
  <c r="C17" i="8"/>
  <c r="D16" i="8"/>
  <c r="C16" i="8"/>
  <c r="D15" i="8"/>
  <c r="C15" i="8"/>
  <c r="D14" i="8"/>
  <c r="C14" i="8"/>
  <c r="P6" i="8"/>
  <c r="O5" i="8"/>
  <c r="O8" i="8" s="1"/>
  <c r="S27" i="9" l="1"/>
  <c r="K21" i="10"/>
  <c r="I25" i="10"/>
  <c r="B71" i="10"/>
  <c r="G30" i="10"/>
  <c r="K15" i="10"/>
  <c r="I15" i="10"/>
  <c r="I18" i="10"/>
  <c r="K18" i="10"/>
  <c r="I22" i="10"/>
  <c r="K22" i="10"/>
  <c r="H30" i="10"/>
  <c r="N7" i="10" s="1"/>
  <c r="J30" i="10"/>
  <c r="N8" i="10" s="1"/>
  <c r="N9" i="10" s="1"/>
  <c r="I24" i="10"/>
  <c r="K24" i="10"/>
  <c r="I26" i="10"/>
  <c r="K26" i="10"/>
  <c r="K27" i="10"/>
  <c r="I27" i="10"/>
  <c r="I23" i="10"/>
  <c r="K23" i="10"/>
  <c r="C66" i="9"/>
  <c r="I43" i="9"/>
  <c r="E7" i="9"/>
  <c r="F7" i="9" s="1"/>
  <c r="E5" i="9"/>
  <c r="F5" i="9" s="1"/>
  <c r="E10" i="9"/>
  <c r="F10" i="9" s="1"/>
  <c r="E6" i="9"/>
  <c r="F6" i="9" s="1"/>
  <c r="E9" i="9"/>
  <c r="F9" i="9" s="1"/>
  <c r="E15" i="9"/>
  <c r="F15" i="9" s="1"/>
  <c r="E12" i="9"/>
  <c r="F12" i="9" s="1"/>
  <c r="E8" i="9"/>
  <c r="F8" i="9" s="1"/>
  <c r="E13" i="9"/>
  <c r="F13" i="9" s="1"/>
  <c r="E4" i="9"/>
  <c r="F4" i="9" s="1"/>
  <c r="E16" i="9"/>
  <c r="F16" i="9" s="1"/>
  <c r="E14" i="9"/>
  <c r="F14" i="9" s="1"/>
  <c r="E11" i="9"/>
  <c r="F11" i="9" s="1"/>
  <c r="B68" i="9"/>
  <c r="C67" i="9"/>
  <c r="D67" i="9"/>
  <c r="P12" i="8"/>
  <c r="P11" i="8"/>
  <c r="Q6" i="8"/>
  <c r="O7" i="8"/>
  <c r="O13" i="8"/>
  <c r="P5" i="8"/>
  <c r="P7" i="8" s="1"/>
  <c r="D504" i="7"/>
  <c r="C504" i="7"/>
  <c r="D503" i="7"/>
  <c r="C503" i="7"/>
  <c r="D502" i="7"/>
  <c r="C502" i="7"/>
  <c r="D501" i="7"/>
  <c r="C501" i="7"/>
  <c r="D500" i="7"/>
  <c r="C500" i="7"/>
  <c r="D499" i="7"/>
  <c r="C499" i="7"/>
  <c r="D498" i="7"/>
  <c r="C498" i="7"/>
  <c r="D497" i="7"/>
  <c r="C497" i="7"/>
  <c r="D496" i="7"/>
  <c r="C496" i="7"/>
  <c r="D495" i="7"/>
  <c r="C495" i="7"/>
  <c r="D494" i="7"/>
  <c r="C494" i="7"/>
  <c r="D493" i="7"/>
  <c r="C493" i="7"/>
  <c r="D492" i="7"/>
  <c r="C492" i="7"/>
  <c r="D491" i="7"/>
  <c r="C491" i="7"/>
  <c r="D490" i="7"/>
  <c r="C490" i="7"/>
  <c r="D489" i="7"/>
  <c r="C489" i="7"/>
  <c r="D488" i="7"/>
  <c r="C488" i="7"/>
  <c r="D487" i="7"/>
  <c r="C487" i="7"/>
  <c r="D486" i="7"/>
  <c r="C486" i="7"/>
  <c r="D485" i="7"/>
  <c r="C485" i="7"/>
  <c r="D484" i="7"/>
  <c r="C484" i="7"/>
  <c r="D483" i="7"/>
  <c r="C483" i="7"/>
  <c r="D482" i="7"/>
  <c r="C482" i="7"/>
  <c r="D481" i="7"/>
  <c r="C481" i="7"/>
  <c r="D480" i="7"/>
  <c r="C480" i="7"/>
  <c r="D479" i="7"/>
  <c r="C479" i="7"/>
  <c r="D478" i="7"/>
  <c r="C478" i="7"/>
  <c r="D477" i="7"/>
  <c r="C477" i="7"/>
  <c r="D476" i="7"/>
  <c r="C476" i="7"/>
  <c r="D475" i="7"/>
  <c r="C475" i="7"/>
  <c r="D474" i="7"/>
  <c r="C474" i="7"/>
  <c r="D473" i="7"/>
  <c r="C473" i="7"/>
  <c r="D472" i="7"/>
  <c r="C472" i="7"/>
  <c r="D471" i="7"/>
  <c r="C471" i="7"/>
  <c r="D470" i="7"/>
  <c r="C470" i="7"/>
  <c r="D469" i="7"/>
  <c r="C469" i="7"/>
  <c r="D468" i="7"/>
  <c r="C468" i="7"/>
  <c r="D467" i="7"/>
  <c r="C467" i="7"/>
  <c r="D466" i="7"/>
  <c r="C466" i="7"/>
  <c r="D465" i="7"/>
  <c r="C465" i="7"/>
  <c r="D464" i="7"/>
  <c r="C464" i="7"/>
  <c r="D463" i="7"/>
  <c r="C463" i="7"/>
  <c r="D462" i="7"/>
  <c r="C462" i="7"/>
  <c r="D461" i="7"/>
  <c r="C461" i="7"/>
  <c r="D460" i="7"/>
  <c r="C460" i="7"/>
  <c r="D459" i="7"/>
  <c r="C459" i="7"/>
  <c r="D458" i="7"/>
  <c r="C458" i="7"/>
  <c r="D457" i="7"/>
  <c r="C457" i="7"/>
  <c r="D456" i="7"/>
  <c r="C456" i="7"/>
  <c r="D455" i="7"/>
  <c r="C455" i="7"/>
  <c r="D454" i="7"/>
  <c r="C454" i="7"/>
  <c r="D453" i="7"/>
  <c r="C453" i="7"/>
  <c r="D452" i="7"/>
  <c r="C452" i="7"/>
  <c r="D451" i="7"/>
  <c r="C451" i="7"/>
  <c r="D450" i="7"/>
  <c r="C450" i="7"/>
  <c r="D449" i="7"/>
  <c r="C449" i="7"/>
  <c r="D448" i="7"/>
  <c r="C448" i="7"/>
  <c r="D447" i="7"/>
  <c r="C447" i="7"/>
  <c r="D446" i="7"/>
  <c r="C446" i="7"/>
  <c r="D445" i="7"/>
  <c r="C445" i="7"/>
  <c r="D444" i="7"/>
  <c r="C444" i="7"/>
  <c r="D443" i="7"/>
  <c r="C443" i="7"/>
  <c r="D442" i="7"/>
  <c r="C442" i="7"/>
  <c r="D441" i="7"/>
  <c r="C441" i="7"/>
  <c r="D440" i="7"/>
  <c r="C440" i="7"/>
  <c r="D439" i="7"/>
  <c r="C439" i="7"/>
  <c r="D438" i="7"/>
  <c r="C438" i="7"/>
  <c r="D437" i="7"/>
  <c r="C437" i="7"/>
  <c r="D436" i="7"/>
  <c r="C436" i="7"/>
  <c r="D435" i="7"/>
  <c r="C435" i="7"/>
  <c r="D434" i="7"/>
  <c r="C434" i="7"/>
  <c r="D433" i="7"/>
  <c r="C433" i="7"/>
  <c r="D432" i="7"/>
  <c r="C432" i="7"/>
  <c r="D431" i="7"/>
  <c r="C431" i="7"/>
  <c r="D430" i="7"/>
  <c r="C430" i="7"/>
  <c r="D429" i="7"/>
  <c r="C429" i="7"/>
  <c r="D428" i="7"/>
  <c r="C428" i="7"/>
  <c r="D427" i="7"/>
  <c r="C427" i="7"/>
  <c r="D426" i="7"/>
  <c r="C426" i="7"/>
  <c r="D425" i="7"/>
  <c r="C425" i="7"/>
  <c r="D424" i="7"/>
  <c r="C424" i="7"/>
  <c r="D423" i="7"/>
  <c r="C423" i="7"/>
  <c r="D422" i="7"/>
  <c r="C422" i="7"/>
  <c r="D421" i="7"/>
  <c r="C421" i="7"/>
  <c r="D420" i="7"/>
  <c r="C420" i="7"/>
  <c r="D419" i="7"/>
  <c r="C419" i="7"/>
  <c r="D418" i="7"/>
  <c r="C418" i="7"/>
  <c r="D417" i="7"/>
  <c r="C417" i="7"/>
  <c r="D416" i="7"/>
  <c r="C416" i="7"/>
  <c r="D415" i="7"/>
  <c r="C415" i="7"/>
  <c r="D414" i="7"/>
  <c r="C414" i="7"/>
  <c r="D413" i="7"/>
  <c r="C413" i="7"/>
  <c r="D412" i="7"/>
  <c r="C412" i="7"/>
  <c r="D411" i="7"/>
  <c r="C411" i="7"/>
  <c r="D410" i="7"/>
  <c r="C410" i="7"/>
  <c r="D409" i="7"/>
  <c r="C409" i="7"/>
  <c r="D408" i="7"/>
  <c r="C408" i="7"/>
  <c r="D407" i="7"/>
  <c r="C407" i="7"/>
  <c r="D406" i="7"/>
  <c r="C406" i="7"/>
  <c r="D405" i="7"/>
  <c r="C405" i="7"/>
  <c r="D404" i="7"/>
  <c r="C404" i="7"/>
  <c r="D403" i="7"/>
  <c r="C403" i="7"/>
  <c r="D402" i="7"/>
  <c r="C402" i="7"/>
  <c r="D401" i="7"/>
  <c r="C401" i="7"/>
  <c r="D400" i="7"/>
  <c r="C400" i="7"/>
  <c r="D399" i="7"/>
  <c r="C399" i="7"/>
  <c r="D398" i="7"/>
  <c r="C398" i="7"/>
  <c r="D397" i="7"/>
  <c r="C397" i="7"/>
  <c r="D396" i="7"/>
  <c r="C396" i="7"/>
  <c r="D395" i="7"/>
  <c r="C395" i="7"/>
  <c r="D394" i="7"/>
  <c r="C394" i="7"/>
  <c r="D393" i="7"/>
  <c r="C393" i="7"/>
  <c r="D392" i="7"/>
  <c r="C392" i="7"/>
  <c r="D391" i="7"/>
  <c r="C391" i="7"/>
  <c r="D390" i="7"/>
  <c r="C390" i="7"/>
  <c r="D389" i="7"/>
  <c r="C389" i="7"/>
  <c r="D388" i="7"/>
  <c r="C388" i="7"/>
  <c r="D387" i="7"/>
  <c r="C387" i="7"/>
  <c r="D386" i="7"/>
  <c r="C386" i="7"/>
  <c r="D385" i="7"/>
  <c r="C385" i="7"/>
  <c r="D384" i="7"/>
  <c r="C384" i="7"/>
  <c r="D383" i="7"/>
  <c r="C383" i="7"/>
  <c r="D382" i="7"/>
  <c r="C382" i="7"/>
  <c r="D381" i="7"/>
  <c r="C381" i="7"/>
  <c r="D380" i="7"/>
  <c r="C380" i="7"/>
  <c r="D379" i="7"/>
  <c r="C379" i="7"/>
  <c r="D378" i="7"/>
  <c r="C378" i="7"/>
  <c r="D377" i="7"/>
  <c r="C377" i="7"/>
  <c r="D376" i="7"/>
  <c r="C376" i="7"/>
  <c r="D375" i="7"/>
  <c r="C375" i="7"/>
  <c r="D374" i="7"/>
  <c r="C374" i="7"/>
  <c r="D373" i="7"/>
  <c r="C373" i="7"/>
  <c r="D372" i="7"/>
  <c r="C372" i="7"/>
  <c r="D371" i="7"/>
  <c r="C371" i="7"/>
  <c r="D370" i="7"/>
  <c r="C370" i="7"/>
  <c r="D369" i="7"/>
  <c r="C369" i="7"/>
  <c r="D368" i="7"/>
  <c r="C368" i="7"/>
  <c r="D367" i="7"/>
  <c r="C367" i="7"/>
  <c r="D366" i="7"/>
  <c r="C366" i="7"/>
  <c r="D365" i="7"/>
  <c r="C365" i="7"/>
  <c r="D364" i="7"/>
  <c r="C364" i="7"/>
  <c r="D363" i="7"/>
  <c r="C363" i="7"/>
  <c r="D362" i="7"/>
  <c r="C362" i="7"/>
  <c r="D361" i="7"/>
  <c r="C361" i="7"/>
  <c r="D360" i="7"/>
  <c r="C360" i="7"/>
  <c r="D359" i="7"/>
  <c r="C359" i="7"/>
  <c r="D358" i="7"/>
  <c r="C358" i="7"/>
  <c r="D357" i="7"/>
  <c r="C357" i="7"/>
  <c r="D356" i="7"/>
  <c r="C356" i="7"/>
  <c r="D355" i="7"/>
  <c r="C355" i="7"/>
  <c r="D354" i="7"/>
  <c r="C354" i="7"/>
  <c r="D353" i="7"/>
  <c r="C353" i="7"/>
  <c r="D352" i="7"/>
  <c r="C352" i="7"/>
  <c r="D351" i="7"/>
  <c r="C351" i="7"/>
  <c r="D350" i="7"/>
  <c r="C350" i="7"/>
  <c r="D349" i="7"/>
  <c r="C349" i="7"/>
  <c r="D348" i="7"/>
  <c r="C348" i="7"/>
  <c r="D347" i="7"/>
  <c r="C347" i="7"/>
  <c r="D346" i="7"/>
  <c r="C346" i="7"/>
  <c r="D345" i="7"/>
  <c r="C345" i="7"/>
  <c r="D344" i="7"/>
  <c r="C344" i="7"/>
  <c r="D343" i="7"/>
  <c r="C343" i="7"/>
  <c r="D342" i="7"/>
  <c r="C342" i="7"/>
  <c r="D341" i="7"/>
  <c r="C341" i="7"/>
  <c r="D340" i="7"/>
  <c r="C340" i="7"/>
  <c r="D339" i="7"/>
  <c r="C339" i="7"/>
  <c r="D338" i="7"/>
  <c r="C338" i="7"/>
  <c r="D337" i="7"/>
  <c r="C337" i="7"/>
  <c r="D336" i="7"/>
  <c r="C336" i="7"/>
  <c r="D335" i="7"/>
  <c r="C335" i="7"/>
  <c r="D334" i="7"/>
  <c r="C334" i="7"/>
  <c r="D333" i="7"/>
  <c r="C333" i="7"/>
  <c r="D332" i="7"/>
  <c r="C332" i="7"/>
  <c r="D331" i="7"/>
  <c r="C331" i="7"/>
  <c r="D330" i="7"/>
  <c r="C330" i="7"/>
  <c r="D329" i="7"/>
  <c r="C329" i="7"/>
  <c r="D328" i="7"/>
  <c r="C328" i="7"/>
  <c r="D327" i="7"/>
  <c r="C327" i="7"/>
  <c r="D326" i="7"/>
  <c r="C326" i="7"/>
  <c r="D325" i="7"/>
  <c r="C325" i="7"/>
  <c r="D324" i="7"/>
  <c r="C324" i="7"/>
  <c r="D323" i="7"/>
  <c r="C323" i="7"/>
  <c r="D322" i="7"/>
  <c r="C322" i="7"/>
  <c r="D321" i="7"/>
  <c r="C321" i="7"/>
  <c r="D320" i="7"/>
  <c r="C320" i="7"/>
  <c r="D319" i="7"/>
  <c r="C319" i="7"/>
  <c r="D318" i="7"/>
  <c r="C318" i="7"/>
  <c r="D317" i="7"/>
  <c r="C317" i="7"/>
  <c r="D316" i="7"/>
  <c r="C316" i="7"/>
  <c r="D315" i="7"/>
  <c r="C315" i="7"/>
  <c r="D314" i="7"/>
  <c r="C314" i="7"/>
  <c r="D313" i="7"/>
  <c r="C313" i="7"/>
  <c r="D312" i="7"/>
  <c r="C312" i="7"/>
  <c r="D311" i="7"/>
  <c r="C311" i="7"/>
  <c r="D310" i="7"/>
  <c r="C310" i="7"/>
  <c r="D309" i="7"/>
  <c r="C309" i="7"/>
  <c r="D308" i="7"/>
  <c r="C308" i="7"/>
  <c r="D307" i="7"/>
  <c r="C307" i="7"/>
  <c r="D306" i="7"/>
  <c r="C306" i="7"/>
  <c r="D305" i="7"/>
  <c r="C305" i="7"/>
  <c r="D304" i="7"/>
  <c r="C304" i="7"/>
  <c r="D303" i="7"/>
  <c r="C303" i="7"/>
  <c r="D302" i="7"/>
  <c r="C302" i="7"/>
  <c r="D301" i="7"/>
  <c r="C301" i="7"/>
  <c r="D300" i="7"/>
  <c r="C300" i="7"/>
  <c r="D299" i="7"/>
  <c r="C299" i="7"/>
  <c r="D298" i="7"/>
  <c r="C298" i="7"/>
  <c r="D297" i="7"/>
  <c r="C297" i="7"/>
  <c r="D296" i="7"/>
  <c r="C296" i="7"/>
  <c r="D295" i="7"/>
  <c r="C295" i="7"/>
  <c r="D294" i="7"/>
  <c r="C294" i="7"/>
  <c r="D293" i="7"/>
  <c r="C293" i="7"/>
  <c r="D292" i="7"/>
  <c r="C292" i="7"/>
  <c r="D291" i="7"/>
  <c r="C291" i="7"/>
  <c r="D290" i="7"/>
  <c r="C290" i="7"/>
  <c r="D289" i="7"/>
  <c r="C289" i="7"/>
  <c r="D288" i="7"/>
  <c r="C288" i="7"/>
  <c r="D287" i="7"/>
  <c r="C287" i="7"/>
  <c r="D286" i="7"/>
  <c r="C286" i="7"/>
  <c r="D285" i="7"/>
  <c r="C285" i="7"/>
  <c r="D284" i="7"/>
  <c r="C284" i="7"/>
  <c r="D283" i="7"/>
  <c r="C283" i="7"/>
  <c r="D282" i="7"/>
  <c r="C282" i="7"/>
  <c r="D281" i="7"/>
  <c r="C281" i="7"/>
  <c r="D280" i="7"/>
  <c r="C280" i="7"/>
  <c r="D279" i="7"/>
  <c r="C279" i="7"/>
  <c r="D278" i="7"/>
  <c r="C278" i="7"/>
  <c r="D277" i="7"/>
  <c r="C277" i="7"/>
  <c r="D276" i="7"/>
  <c r="C276" i="7"/>
  <c r="D275" i="7"/>
  <c r="C275" i="7"/>
  <c r="D274" i="7"/>
  <c r="C274" i="7"/>
  <c r="D273" i="7"/>
  <c r="C273" i="7"/>
  <c r="D272" i="7"/>
  <c r="C272" i="7"/>
  <c r="D271" i="7"/>
  <c r="C271" i="7"/>
  <c r="D270" i="7"/>
  <c r="C270" i="7"/>
  <c r="D269" i="7"/>
  <c r="C269" i="7"/>
  <c r="D268" i="7"/>
  <c r="C268" i="7"/>
  <c r="D267" i="7"/>
  <c r="C267" i="7"/>
  <c r="D266" i="7"/>
  <c r="C266" i="7"/>
  <c r="D265" i="7"/>
  <c r="C265" i="7"/>
  <c r="D264" i="7"/>
  <c r="C264" i="7"/>
  <c r="D263" i="7"/>
  <c r="C263" i="7"/>
  <c r="D262" i="7"/>
  <c r="C262" i="7"/>
  <c r="D261" i="7"/>
  <c r="C261" i="7"/>
  <c r="D260" i="7"/>
  <c r="C260" i="7"/>
  <c r="D259" i="7"/>
  <c r="C259" i="7"/>
  <c r="D258" i="7"/>
  <c r="C258" i="7"/>
  <c r="D257" i="7"/>
  <c r="C257" i="7"/>
  <c r="D256" i="7"/>
  <c r="C256" i="7"/>
  <c r="D255" i="7"/>
  <c r="C255" i="7"/>
  <c r="D254" i="7"/>
  <c r="C254" i="7"/>
  <c r="D253" i="7"/>
  <c r="C253" i="7"/>
  <c r="D252" i="7"/>
  <c r="C252" i="7"/>
  <c r="D251" i="7"/>
  <c r="C251" i="7"/>
  <c r="D250" i="7"/>
  <c r="C250" i="7"/>
  <c r="D249" i="7"/>
  <c r="C249" i="7"/>
  <c r="D248" i="7"/>
  <c r="C248" i="7"/>
  <c r="D247" i="7"/>
  <c r="C247" i="7"/>
  <c r="D246" i="7"/>
  <c r="C246" i="7"/>
  <c r="D245" i="7"/>
  <c r="C245" i="7"/>
  <c r="D244" i="7"/>
  <c r="C244" i="7"/>
  <c r="D243" i="7"/>
  <c r="C243" i="7"/>
  <c r="D242" i="7"/>
  <c r="C242" i="7"/>
  <c r="D241" i="7"/>
  <c r="C241" i="7"/>
  <c r="D240" i="7"/>
  <c r="C240" i="7"/>
  <c r="D239" i="7"/>
  <c r="C239" i="7"/>
  <c r="D238" i="7"/>
  <c r="C238" i="7"/>
  <c r="D237" i="7"/>
  <c r="C237" i="7"/>
  <c r="D236" i="7"/>
  <c r="C236" i="7"/>
  <c r="D235" i="7"/>
  <c r="C235" i="7"/>
  <c r="D234" i="7"/>
  <c r="C234" i="7"/>
  <c r="D233" i="7"/>
  <c r="C233" i="7"/>
  <c r="D232" i="7"/>
  <c r="C232" i="7"/>
  <c r="D231" i="7"/>
  <c r="C231" i="7"/>
  <c r="D230" i="7"/>
  <c r="C230" i="7"/>
  <c r="D229" i="7"/>
  <c r="C229" i="7"/>
  <c r="D228" i="7"/>
  <c r="C228" i="7"/>
  <c r="D227" i="7"/>
  <c r="C227" i="7"/>
  <c r="D226" i="7"/>
  <c r="C226" i="7"/>
  <c r="D225" i="7"/>
  <c r="C225" i="7"/>
  <c r="D224" i="7"/>
  <c r="C224" i="7"/>
  <c r="D223" i="7"/>
  <c r="C223" i="7"/>
  <c r="D222" i="7"/>
  <c r="C222" i="7"/>
  <c r="D221" i="7"/>
  <c r="C221" i="7"/>
  <c r="D220" i="7"/>
  <c r="C220" i="7"/>
  <c r="D219" i="7"/>
  <c r="C219" i="7"/>
  <c r="D218" i="7"/>
  <c r="C218" i="7"/>
  <c r="D217" i="7"/>
  <c r="C217" i="7"/>
  <c r="D216" i="7"/>
  <c r="C216" i="7"/>
  <c r="D215" i="7"/>
  <c r="C215" i="7"/>
  <c r="D214" i="7"/>
  <c r="C214" i="7"/>
  <c r="D213" i="7"/>
  <c r="C213" i="7"/>
  <c r="D212" i="7"/>
  <c r="C212" i="7"/>
  <c r="D211" i="7"/>
  <c r="C211" i="7"/>
  <c r="D210" i="7"/>
  <c r="C210" i="7"/>
  <c r="D209" i="7"/>
  <c r="C209" i="7"/>
  <c r="D208" i="7"/>
  <c r="C208" i="7"/>
  <c r="D207" i="7"/>
  <c r="C207" i="7"/>
  <c r="D206" i="7"/>
  <c r="C206" i="7"/>
  <c r="D205" i="7"/>
  <c r="C205" i="7"/>
  <c r="D204" i="7"/>
  <c r="C204" i="7"/>
  <c r="D203" i="7"/>
  <c r="C203" i="7"/>
  <c r="D202" i="7"/>
  <c r="C202" i="7"/>
  <c r="D201" i="7"/>
  <c r="C201" i="7"/>
  <c r="D200" i="7"/>
  <c r="C200" i="7"/>
  <c r="D199" i="7"/>
  <c r="C199" i="7"/>
  <c r="D198" i="7"/>
  <c r="C198" i="7"/>
  <c r="D197" i="7"/>
  <c r="C197" i="7"/>
  <c r="D196" i="7"/>
  <c r="C196" i="7"/>
  <c r="D195" i="7"/>
  <c r="C195" i="7"/>
  <c r="D194" i="7"/>
  <c r="C194" i="7"/>
  <c r="D193" i="7"/>
  <c r="C193" i="7"/>
  <c r="D192" i="7"/>
  <c r="C192" i="7"/>
  <c r="D191" i="7"/>
  <c r="C191" i="7"/>
  <c r="D190" i="7"/>
  <c r="C190" i="7"/>
  <c r="D189" i="7"/>
  <c r="C189" i="7"/>
  <c r="D188" i="7"/>
  <c r="C188" i="7"/>
  <c r="D187" i="7"/>
  <c r="C187" i="7"/>
  <c r="D186" i="7"/>
  <c r="C186" i="7"/>
  <c r="D185" i="7"/>
  <c r="C185" i="7"/>
  <c r="D184" i="7"/>
  <c r="C184" i="7"/>
  <c r="D183" i="7"/>
  <c r="C183" i="7"/>
  <c r="D182" i="7"/>
  <c r="C182" i="7"/>
  <c r="D181" i="7"/>
  <c r="C181" i="7"/>
  <c r="D180" i="7"/>
  <c r="C180" i="7"/>
  <c r="D179" i="7"/>
  <c r="C179" i="7"/>
  <c r="D178" i="7"/>
  <c r="C178" i="7"/>
  <c r="D177" i="7"/>
  <c r="C177" i="7"/>
  <c r="D176" i="7"/>
  <c r="C176" i="7"/>
  <c r="D175" i="7"/>
  <c r="C175" i="7"/>
  <c r="D174" i="7"/>
  <c r="C174" i="7"/>
  <c r="D173" i="7"/>
  <c r="C173" i="7"/>
  <c r="D172" i="7"/>
  <c r="C172" i="7"/>
  <c r="D171" i="7"/>
  <c r="C171" i="7"/>
  <c r="D170" i="7"/>
  <c r="C170" i="7"/>
  <c r="D169" i="7"/>
  <c r="C169" i="7"/>
  <c r="D168" i="7"/>
  <c r="C168" i="7"/>
  <c r="D167" i="7"/>
  <c r="C167" i="7"/>
  <c r="D166" i="7"/>
  <c r="C166" i="7"/>
  <c r="D165" i="7"/>
  <c r="C165" i="7"/>
  <c r="D164" i="7"/>
  <c r="C164" i="7"/>
  <c r="D163" i="7"/>
  <c r="C163" i="7"/>
  <c r="D162" i="7"/>
  <c r="C162" i="7"/>
  <c r="D161" i="7"/>
  <c r="C161" i="7"/>
  <c r="D160" i="7"/>
  <c r="C160" i="7"/>
  <c r="D159" i="7"/>
  <c r="C159" i="7"/>
  <c r="D158" i="7"/>
  <c r="C158" i="7"/>
  <c r="D157" i="7"/>
  <c r="C157" i="7"/>
  <c r="D156" i="7"/>
  <c r="C156" i="7"/>
  <c r="D155" i="7"/>
  <c r="C155" i="7"/>
  <c r="D154" i="7"/>
  <c r="C154" i="7"/>
  <c r="D153" i="7"/>
  <c r="C153" i="7"/>
  <c r="D152" i="7"/>
  <c r="C152" i="7"/>
  <c r="D151" i="7"/>
  <c r="C151" i="7"/>
  <c r="D150" i="7"/>
  <c r="C150" i="7"/>
  <c r="D149" i="7"/>
  <c r="C149" i="7"/>
  <c r="D148" i="7"/>
  <c r="C148" i="7"/>
  <c r="D147" i="7"/>
  <c r="C147" i="7"/>
  <c r="D146" i="7"/>
  <c r="C146" i="7"/>
  <c r="D145" i="7"/>
  <c r="C145" i="7"/>
  <c r="D144" i="7"/>
  <c r="C144" i="7"/>
  <c r="D143" i="7"/>
  <c r="C143" i="7"/>
  <c r="D142" i="7"/>
  <c r="C142" i="7"/>
  <c r="D141" i="7"/>
  <c r="C141" i="7"/>
  <c r="D140" i="7"/>
  <c r="C140" i="7"/>
  <c r="D139" i="7"/>
  <c r="C139" i="7"/>
  <c r="D138" i="7"/>
  <c r="C138" i="7"/>
  <c r="D137" i="7"/>
  <c r="C137" i="7"/>
  <c r="D136" i="7"/>
  <c r="C136" i="7"/>
  <c r="D135" i="7"/>
  <c r="C135" i="7"/>
  <c r="D134" i="7"/>
  <c r="C134" i="7"/>
  <c r="D133" i="7"/>
  <c r="C133" i="7"/>
  <c r="D132" i="7"/>
  <c r="C132" i="7"/>
  <c r="D131" i="7"/>
  <c r="C131" i="7"/>
  <c r="D130" i="7"/>
  <c r="C130" i="7"/>
  <c r="D129" i="7"/>
  <c r="C129" i="7"/>
  <c r="D128" i="7"/>
  <c r="C128" i="7"/>
  <c r="D127" i="7"/>
  <c r="C127" i="7"/>
  <c r="D126" i="7"/>
  <c r="C126" i="7"/>
  <c r="D125" i="7"/>
  <c r="C125" i="7"/>
  <c r="D124" i="7"/>
  <c r="C124" i="7"/>
  <c r="D123" i="7"/>
  <c r="C123" i="7"/>
  <c r="D122" i="7"/>
  <c r="C122" i="7"/>
  <c r="D121" i="7"/>
  <c r="C121" i="7"/>
  <c r="D120" i="7"/>
  <c r="C120" i="7"/>
  <c r="D119" i="7"/>
  <c r="C119" i="7"/>
  <c r="D118" i="7"/>
  <c r="C118" i="7"/>
  <c r="D117" i="7"/>
  <c r="C117" i="7"/>
  <c r="D116" i="7"/>
  <c r="C116" i="7"/>
  <c r="D115" i="7"/>
  <c r="C115" i="7"/>
  <c r="D114" i="7"/>
  <c r="C114" i="7"/>
  <c r="D113" i="7"/>
  <c r="C113" i="7"/>
  <c r="D112" i="7"/>
  <c r="C112" i="7"/>
  <c r="D111" i="7"/>
  <c r="C111" i="7"/>
  <c r="D110" i="7"/>
  <c r="C110" i="7"/>
  <c r="D109" i="7"/>
  <c r="C109" i="7"/>
  <c r="D108" i="7"/>
  <c r="C108" i="7"/>
  <c r="D107" i="7"/>
  <c r="C107" i="7"/>
  <c r="D106" i="7"/>
  <c r="C106" i="7"/>
  <c r="D105" i="7"/>
  <c r="C105" i="7"/>
  <c r="D104" i="7"/>
  <c r="C104" i="7"/>
  <c r="D103" i="7"/>
  <c r="C103" i="7"/>
  <c r="D102" i="7"/>
  <c r="C102" i="7"/>
  <c r="D101" i="7"/>
  <c r="C101" i="7"/>
  <c r="D100" i="7"/>
  <c r="C100" i="7"/>
  <c r="D99" i="7"/>
  <c r="C99" i="7"/>
  <c r="D98" i="7"/>
  <c r="C98" i="7"/>
  <c r="D97" i="7"/>
  <c r="C97" i="7"/>
  <c r="D96" i="7"/>
  <c r="C96" i="7"/>
  <c r="D95" i="7"/>
  <c r="C95" i="7"/>
  <c r="D94" i="7"/>
  <c r="C94" i="7"/>
  <c r="D93" i="7"/>
  <c r="C93" i="7"/>
  <c r="D92" i="7"/>
  <c r="C92" i="7"/>
  <c r="D91" i="7"/>
  <c r="C91" i="7"/>
  <c r="D90" i="7"/>
  <c r="C90" i="7"/>
  <c r="D89" i="7"/>
  <c r="C89" i="7"/>
  <c r="D88" i="7"/>
  <c r="C88" i="7"/>
  <c r="D87" i="7"/>
  <c r="C87" i="7"/>
  <c r="D86" i="7"/>
  <c r="C86" i="7"/>
  <c r="D85" i="7"/>
  <c r="C85" i="7"/>
  <c r="D84" i="7"/>
  <c r="C84" i="7"/>
  <c r="D83" i="7"/>
  <c r="C83" i="7"/>
  <c r="D82" i="7"/>
  <c r="C82" i="7"/>
  <c r="D81" i="7"/>
  <c r="C81" i="7"/>
  <c r="D80" i="7"/>
  <c r="C80" i="7"/>
  <c r="D79" i="7"/>
  <c r="C79" i="7"/>
  <c r="D78" i="7"/>
  <c r="C78" i="7"/>
  <c r="D77" i="7"/>
  <c r="C77" i="7"/>
  <c r="D76" i="7"/>
  <c r="C76" i="7"/>
  <c r="D75" i="7"/>
  <c r="C75" i="7"/>
  <c r="D74" i="7"/>
  <c r="C74" i="7"/>
  <c r="D73" i="7"/>
  <c r="C73" i="7"/>
  <c r="D72" i="7"/>
  <c r="C72" i="7"/>
  <c r="D71" i="7"/>
  <c r="C71" i="7"/>
  <c r="D70" i="7"/>
  <c r="C70" i="7"/>
  <c r="D69" i="7"/>
  <c r="C69" i="7"/>
  <c r="D68" i="7"/>
  <c r="C68" i="7"/>
  <c r="D67" i="7"/>
  <c r="C67" i="7"/>
  <c r="D66" i="7"/>
  <c r="C66" i="7"/>
  <c r="D65" i="7"/>
  <c r="C65" i="7"/>
  <c r="D64" i="7"/>
  <c r="C64" i="7"/>
  <c r="D63" i="7"/>
  <c r="C63" i="7"/>
  <c r="D62" i="7"/>
  <c r="C62" i="7"/>
  <c r="D61" i="7"/>
  <c r="C61" i="7"/>
  <c r="D60" i="7"/>
  <c r="C60" i="7"/>
  <c r="D59" i="7"/>
  <c r="C59" i="7"/>
  <c r="D58" i="7"/>
  <c r="C58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C51" i="7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D14" i="7"/>
  <c r="C14" i="7"/>
  <c r="N6" i="7"/>
  <c r="M5" i="7"/>
  <c r="M8" i="7" s="1"/>
  <c r="I30" i="10" l="1"/>
  <c r="O7" i="10" s="1"/>
  <c r="K30" i="10"/>
  <c r="O8" i="10" s="1"/>
  <c r="O9" i="10" s="1"/>
  <c r="B72" i="10"/>
  <c r="C68" i="9"/>
  <c r="D68" i="9"/>
  <c r="B69" i="9"/>
  <c r="R6" i="8"/>
  <c r="S6" i="8" s="1"/>
  <c r="Q12" i="8"/>
  <c r="Q11" i="8"/>
  <c r="Q5" i="8"/>
  <c r="Q8" i="8" s="1"/>
  <c r="O4" i="8"/>
  <c r="P8" i="8"/>
  <c r="P13" i="8"/>
  <c r="R5" i="8"/>
  <c r="R8" i="8" s="1"/>
  <c r="N12" i="7"/>
  <c r="M12" i="7"/>
  <c r="N11" i="7"/>
  <c r="M11" i="7"/>
  <c r="N5" i="7"/>
  <c r="O6" i="7"/>
  <c r="O12" i="7" s="1"/>
  <c r="M7" i="7"/>
  <c r="M4" i="7" s="1"/>
  <c r="H6" i="5"/>
  <c r="H5" i="5" s="1"/>
  <c r="I6" i="5"/>
  <c r="I5" i="5" s="1"/>
  <c r="J6" i="5"/>
  <c r="J5" i="5" s="1"/>
  <c r="K6" i="5"/>
  <c r="K5" i="5" s="1"/>
  <c r="L6" i="5"/>
  <c r="L5" i="5" s="1"/>
  <c r="M6" i="5"/>
  <c r="M5" i="5" s="1"/>
  <c r="N6" i="5"/>
  <c r="N5" i="5" s="1"/>
  <c r="O6" i="5"/>
  <c r="O5" i="5" s="1"/>
  <c r="P6" i="5"/>
  <c r="P5" i="5" s="1"/>
  <c r="Q6" i="5"/>
  <c r="Q5" i="5" s="1"/>
  <c r="R6" i="5"/>
  <c r="R5" i="5" s="1"/>
  <c r="S6" i="5"/>
  <c r="S5" i="5" s="1"/>
  <c r="T6" i="5"/>
  <c r="T5" i="5" s="1"/>
  <c r="U6" i="5"/>
  <c r="U5" i="5" s="1"/>
  <c r="V6" i="5"/>
  <c r="V5" i="5" s="1"/>
  <c r="W6" i="5"/>
  <c r="W5" i="5" s="1"/>
  <c r="X6" i="5"/>
  <c r="X5" i="5" s="1"/>
  <c r="Y6" i="5"/>
  <c r="Y5" i="5" s="1"/>
  <c r="Z6" i="5"/>
  <c r="Z5" i="5" s="1"/>
  <c r="AA6" i="5"/>
  <c r="AA5" i="5" s="1"/>
  <c r="AB6" i="5"/>
  <c r="AB5" i="5" s="1"/>
  <c r="AC6" i="5"/>
  <c r="AC5" i="5" s="1"/>
  <c r="AD6" i="5"/>
  <c r="AD5" i="5" s="1"/>
  <c r="AE6" i="5"/>
  <c r="AE5" i="5" s="1"/>
  <c r="AF6" i="5"/>
  <c r="AF5" i="5" s="1"/>
  <c r="AG6" i="5"/>
  <c r="AG5" i="5" s="1"/>
  <c r="AH6" i="5"/>
  <c r="AH5" i="5" s="1"/>
  <c r="AI6" i="5"/>
  <c r="AI5" i="5" s="1"/>
  <c r="AJ6" i="5"/>
  <c r="AJ5" i="5" s="1"/>
  <c r="AK6" i="5"/>
  <c r="AK5" i="5" s="1"/>
  <c r="AL6" i="5"/>
  <c r="AL5" i="5" s="1"/>
  <c r="G6" i="5"/>
  <c r="G5" i="5" s="1"/>
  <c r="B73" i="10" l="1"/>
  <c r="C69" i="9"/>
  <c r="D69" i="9"/>
  <c r="B70" i="9"/>
  <c r="Q13" i="8"/>
  <c r="Q7" i="8"/>
  <c r="Q4" i="8" s="1"/>
  <c r="S12" i="8"/>
  <c r="S11" i="8"/>
  <c r="R12" i="8"/>
  <c r="R11" i="8"/>
  <c r="R7" i="8"/>
  <c r="R4" i="8" s="1"/>
  <c r="P4" i="8"/>
  <c r="T6" i="8"/>
  <c r="S5" i="8"/>
  <c r="S8" i="8" s="1"/>
  <c r="O11" i="7"/>
  <c r="O13" i="7" s="1"/>
  <c r="M13" i="7"/>
  <c r="N13" i="7"/>
  <c r="N8" i="7"/>
  <c r="P6" i="7"/>
  <c r="O5" i="7"/>
  <c r="O7" i="7" s="1"/>
  <c r="N7" i="7"/>
  <c r="W6" i="10" l="1"/>
  <c r="X6" i="10" s="1"/>
  <c r="B74" i="10"/>
  <c r="D70" i="9"/>
  <c r="B71" i="9"/>
  <c r="C70" i="9"/>
  <c r="R13" i="8"/>
  <c r="T12" i="8"/>
  <c r="T11" i="8"/>
  <c r="S7" i="8"/>
  <c r="S4" i="8" s="1"/>
  <c r="U6" i="8"/>
  <c r="T5" i="8"/>
  <c r="T8" i="8" s="1"/>
  <c r="S13" i="8"/>
  <c r="P12" i="7"/>
  <c r="P11" i="7"/>
  <c r="O8" i="7"/>
  <c r="O4" i="7" s="1"/>
  <c r="Q6" i="7"/>
  <c r="P5" i="7"/>
  <c r="P7" i="7" s="1"/>
  <c r="N4" i="7"/>
  <c r="B75" i="10" l="1"/>
  <c r="W8" i="10"/>
  <c r="W9" i="10" s="1"/>
  <c r="W7" i="10"/>
  <c r="C71" i="9"/>
  <c r="D71" i="9"/>
  <c r="B72" i="9"/>
  <c r="U12" i="8"/>
  <c r="U11" i="8"/>
  <c r="T7" i="8"/>
  <c r="T4" i="8" s="1"/>
  <c r="T13" i="8"/>
  <c r="P8" i="7"/>
  <c r="P4" i="7" s="1"/>
  <c r="V6" i="8"/>
  <c r="U5" i="8"/>
  <c r="U8" i="8" s="1"/>
  <c r="P13" i="7"/>
  <c r="Q11" i="7"/>
  <c r="Q12" i="7"/>
  <c r="R6" i="7"/>
  <c r="Q5" i="7"/>
  <c r="C209" i="3"/>
  <c r="D209" i="3"/>
  <c r="C210" i="3"/>
  <c r="D210" i="3"/>
  <c r="C211" i="3"/>
  <c r="D211" i="3"/>
  <c r="C212" i="3"/>
  <c r="D212" i="3"/>
  <c r="C213" i="3"/>
  <c r="D213" i="3"/>
  <c r="C214" i="3"/>
  <c r="D214" i="3"/>
  <c r="C215" i="3"/>
  <c r="D215" i="3"/>
  <c r="C216" i="3"/>
  <c r="D216" i="3"/>
  <c r="C217" i="3"/>
  <c r="D217" i="3"/>
  <c r="C218" i="3"/>
  <c r="D218" i="3"/>
  <c r="C219" i="3"/>
  <c r="D219" i="3"/>
  <c r="C220" i="3"/>
  <c r="D220" i="3"/>
  <c r="C221" i="3"/>
  <c r="D221" i="3"/>
  <c r="C222" i="3"/>
  <c r="D222" i="3"/>
  <c r="C223" i="3"/>
  <c r="D223" i="3"/>
  <c r="C224" i="3"/>
  <c r="D224" i="3"/>
  <c r="C225" i="3"/>
  <c r="D225" i="3"/>
  <c r="C226" i="3"/>
  <c r="D226" i="3"/>
  <c r="C227" i="3"/>
  <c r="D227" i="3"/>
  <c r="C228" i="3"/>
  <c r="D228" i="3"/>
  <c r="C229" i="3"/>
  <c r="D229" i="3"/>
  <c r="C230" i="3"/>
  <c r="D230" i="3"/>
  <c r="C231" i="3"/>
  <c r="D231" i="3"/>
  <c r="C232" i="3"/>
  <c r="D232" i="3"/>
  <c r="C233" i="3"/>
  <c r="D233" i="3"/>
  <c r="C234" i="3"/>
  <c r="D234" i="3"/>
  <c r="C235" i="3"/>
  <c r="D235" i="3"/>
  <c r="C236" i="3"/>
  <c r="D236" i="3"/>
  <c r="C237" i="3"/>
  <c r="D237" i="3"/>
  <c r="C238" i="3"/>
  <c r="D238" i="3"/>
  <c r="C239" i="3"/>
  <c r="D239" i="3"/>
  <c r="C240" i="3"/>
  <c r="D240" i="3"/>
  <c r="C241" i="3"/>
  <c r="D241" i="3"/>
  <c r="C242" i="3"/>
  <c r="D242" i="3"/>
  <c r="C243" i="3"/>
  <c r="D243" i="3"/>
  <c r="C244" i="3"/>
  <c r="D244" i="3"/>
  <c r="C245" i="3"/>
  <c r="D245" i="3"/>
  <c r="C246" i="3"/>
  <c r="D246" i="3"/>
  <c r="C247" i="3"/>
  <c r="D247" i="3"/>
  <c r="C248" i="3"/>
  <c r="D248" i="3"/>
  <c r="C249" i="3"/>
  <c r="D249" i="3"/>
  <c r="C250" i="3"/>
  <c r="D250" i="3"/>
  <c r="C251" i="3"/>
  <c r="D251" i="3"/>
  <c r="C252" i="3"/>
  <c r="D252" i="3"/>
  <c r="C253" i="3"/>
  <c r="D253" i="3"/>
  <c r="C254" i="3"/>
  <c r="D254" i="3"/>
  <c r="C255" i="3"/>
  <c r="D255" i="3"/>
  <c r="C256" i="3"/>
  <c r="D256" i="3"/>
  <c r="C257" i="3"/>
  <c r="D257" i="3"/>
  <c r="C258" i="3"/>
  <c r="D258" i="3"/>
  <c r="C259" i="3"/>
  <c r="D259" i="3"/>
  <c r="C260" i="3"/>
  <c r="D260" i="3"/>
  <c r="C261" i="3"/>
  <c r="D261" i="3"/>
  <c r="C262" i="3"/>
  <c r="D262" i="3"/>
  <c r="C263" i="3"/>
  <c r="D263" i="3"/>
  <c r="C264" i="3"/>
  <c r="D264" i="3"/>
  <c r="C265" i="3"/>
  <c r="D265" i="3"/>
  <c r="C266" i="3"/>
  <c r="D266" i="3"/>
  <c r="C267" i="3"/>
  <c r="D267" i="3"/>
  <c r="C268" i="3"/>
  <c r="D268" i="3"/>
  <c r="C269" i="3"/>
  <c r="D269" i="3"/>
  <c r="C270" i="3"/>
  <c r="D270" i="3"/>
  <c r="C271" i="3"/>
  <c r="D271" i="3"/>
  <c r="C272" i="3"/>
  <c r="D272" i="3"/>
  <c r="C273" i="3"/>
  <c r="D273" i="3"/>
  <c r="C274" i="3"/>
  <c r="D274" i="3"/>
  <c r="C275" i="3"/>
  <c r="D275" i="3"/>
  <c r="C276" i="3"/>
  <c r="D276" i="3"/>
  <c r="C277" i="3"/>
  <c r="D277" i="3"/>
  <c r="C278" i="3"/>
  <c r="D278" i="3"/>
  <c r="C279" i="3"/>
  <c r="D279" i="3"/>
  <c r="C280" i="3"/>
  <c r="D280" i="3"/>
  <c r="C281" i="3"/>
  <c r="D281" i="3"/>
  <c r="C282" i="3"/>
  <c r="D282" i="3"/>
  <c r="C283" i="3"/>
  <c r="D283" i="3"/>
  <c r="C284" i="3"/>
  <c r="D284" i="3"/>
  <c r="C285" i="3"/>
  <c r="D285" i="3"/>
  <c r="C286" i="3"/>
  <c r="D286" i="3"/>
  <c r="C287" i="3"/>
  <c r="D287" i="3"/>
  <c r="C288" i="3"/>
  <c r="D288" i="3"/>
  <c r="C289" i="3"/>
  <c r="D289" i="3"/>
  <c r="C290" i="3"/>
  <c r="D290" i="3"/>
  <c r="C291" i="3"/>
  <c r="D291" i="3"/>
  <c r="C292" i="3"/>
  <c r="D292" i="3"/>
  <c r="C293" i="3"/>
  <c r="D293" i="3"/>
  <c r="C294" i="3"/>
  <c r="D294" i="3"/>
  <c r="C295" i="3"/>
  <c r="D295" i="3"/>
  <c r="C296" i="3"/>
  <c r="D296" i="3"/>
  <c r="C297" i="3"/>
  <c r="D297" i="3"/>
  <c r="C298" i="3"/>
  <c r="D298" i="3"/>
  <c r="C299" i="3"/>
  <c r="D299" i="3"/>
  <c r="C300" i="3"/>
  <c r="D300" i="3"/>
  <c r="C301" i="3"/>
  <c r="D301" i="3"/>
  <c r="C302" i="3"/>
  <c r="D302" i="3"/>
  <c r="C303" i="3"/>
  <c r="D303" i="3"/>
  <c r="C304" i="3"/>
  <c r="D304" i="3"/>
  <c r="C305" i="3"/>
  <c r="D305" i="3"/>
  <c r="C306" i="3"/>
  <c r="D306" i="3"/>
  <c r="C307" i="3"/>
  <c r="D307" i="3"/>
  <c r="C308" i="3"/>
  <c r="D308" i="3"/>
  <c r="C309" i="3"/>
  <c r="D309" i="3"/>
  <c r="C310" i="3"/>
  <c r="D310" i="3"/>
  <c r="C311" i="3"/>
  <c r="D311" i="3"/>
  <c r="C312" i="3"/>
  <c r="D312" i="3"/>
  <c r="C313" i="3"/>
  <c r="D313" i="3"/>
  <c r="C314" i="3"/>
  <c r="D314" i="3"/>
  <c r="C315" i="3"/>
  <c r="D315" i="3"/>
  <c r="C316" i="3"/>
  <c r="D316" i="3"/>
  <c r="C317" i="3"/>
  <c r="D317" i="3"/>
  <c r="C318" i="3"/>
  <c r="D318" i="3"/>
  <c r="C319" i="3"/>
  <c r="D319" i="3"/>
  <c r="C320" i="3"/>
  <c r="D320" i="3"/>
  <c r="C321" i="3"/>
  <c r="D321" i="3"/>
  <c r="C322" i="3"/>
  <c r="D322" i="3"/>
  <c r="C323" i="3"/>
  <c r="D323" i="3"/>
  <c r="C324" i="3"/>
  <c r="D324" i="3"/>
  <c r="C325" i="3"/>
  <c r="D325" i="3"/>
  <c r="C326" i="3"/>
  <c r="D326" i="3"/>
  <c r="C327" i="3"/>
  <c r="D327" i="3"/>
  <c r="C328" i="3"/>
  <c r="D328" i="3"/>
  <c r="C329" i="3"/>
  <c r="D329" i="3"/>
  <c r="C330" i="3"/>
  <c r="D330" i="3"/>
  <c r="C331" i="3"/>
  <c r="D331" i="3"/>
  <c r="C332" i="3"/>
  <c r="D332" i="3"/>
  <c r="C333" i="3"/>
  <c r="D333" i="3"/>
  <c r="C334" i="3"/>
  <c r="D334" i="3"/>
  <c r="C335" i="3"/>
  <c r="D335" i="3"/>
  <c r="C336" i="3"/>
  <c r="D336" i="3"/>
  <c r="C337" i="3"/>
  <c r="D337" i="3"/>
  <c r="C338" i="3"/>
  <c r="D338" i="3"/>
  <c r="C339" i="3"/>
  <c r="D339" i="3"/>
  <c r="C340" i="3"/>
  <c r="D340" i="3"/>
  <c r="C341" i="3"/>
  <c r="D341" i="3"/>
  <c r="C342" i="3"/>
  <c r="D342" i="3"/>
  <c r="C343" i="3"/>
  <c r="D343" i="3"/>
  <c r="C344" i="3"/>
  <c r="D344" i="3"/>
  <c r="C345" i="3"/>
  <c r="D345" i="3"/>
  <c r="C346" i="3"/>
  <c r="D346" i="3"/>
  <c r="C347" i="3"/>
  <c r="D347" i="3"/>
  <c r="C348" i="3"/>
  <c r="D348" i="3"/>
  <c r="C349" i="3"/>
  <c r="D349" i="3"/>
  <c r="C350" i="3"/>
  <c r="D350" i="3"/>
  <c r="C351" i="3"/>
  <c r="D351" i="3"/>
  <c r="C352" i="3"/>
  <c r="D352" i="3"/>
  <c r="C353" i="3"/>
  <c r="D353" i="3"/>
  <c r="C354" i="3"/>
  <c r="D354" i="3"/>
  <c r="C355" i="3"/>
  <c r="D355" i="3"/>
  <c r="C356" i="3"/>
  <c r="D356" i="3"/>
  <c r="C357" i="3"/>
  <c r="D357" i="3"/>
  <c r="C358" i="3"/>
  <c r="D358" i="3"/>
  <c r="C359" i="3"/>
  <c r="D359" i="3"/>
  <c r="C360" i="3"/>
  <c r="D360" i="3"/>
  <c r="C361" i="3"/>
  <c r="D361" i="3"/>
  <c r="C362" i="3"/>
  <c r="D362" i="3"/>
  <c r="C363" i="3"/>
  <c r="D363" i="3"/>
  <c r="C364" i="3"/>
  <c r="D364" i="3"/>
  <c r="C365" i="3"/>
  <c r="D365" i="3"/>
  <c r="C366" i="3"/>
  <c r="D366" i="3"/>
  <c r="C367" i="3"/>
  <c r="D367" i="3"/>
  <c r="C368" i="3"/>
  <c r="D368" i="3"/>
  <c r="C369" i="3"/>
  <c r="D369" i="3"/>
  <c r="C370" i="3"/>
  <c r="D370" i="3"/>
  <c r="C371" i="3"/>
  <c r="D371" i="3"/>
  <c r="C372" i="3"/>
  <c r="D372" i="3"/>
  <c r="C373" i="3"/>
  <c r="D373" i="3"/>
  <c r="C374" i="3"/>
  <c r="D374" i="3"/>
  <c r="C375" i="3"/>
  <c r="D375" i="3"/>
  <c r="C376" i="3"/>
  <c r="D376" i="3"/>
  <c r="C377" i="3"/>
  <c r="D377" i="3"/>
  <c r="C378" i="3"/>
  <c r="D378" i="3"/>
  <c r="C379" i="3"/>
  <c r="D379" i="3"/>
  <c r="C380" i="3"/>
  <c r="D380" i="3"/>
  <c r="C381" i="3"/>
  <c r="D381" i="3"/>
  <c r="C382" i="3"/>
  <c r="D382" i="3"/>
  <c r="C383" i="3"/>
  <c r="D383" i="3"/>
  <c r="C384" i="3"/>
  <c r="D384" i="3"/>
  <c r="C385" i="3"/>
  <c r="D385" i="3"/>
  <c r="C386" i="3"/>
  <c r="D386" i="3"/>
  <c r="C387" i="3"/>
  <c r="D387" i="3"/>
  <c r="C388" i="3"/>
  <c r="D388" i="3"/>
  <c r="C389" i="3"/>
  <c r="D389" i="3"/>
  <c r="C390" i="3"/>
  <c r="D390" i="3"/>
  <c r="C391" i="3"/>
  <c r="D391" i="3"/>
  <c r="C392" i="3"/>
  <c r="D392" i="3"/>
  <c r="C393" i="3"/>
  <c r="D393" i="3"/>
  <c r="C394" i="3"/>
  <c r="D394" i="3"/>
  <c r="C395" i="3"/>
  <c r="D395" i="3"/>
  <c r="C396" i="3"/>
  <c r="D396" i="3"/>
  <c r="C397" i="3"/>
  <c r="D397" i="3"/>
  <c r="C398" i="3"/>
  <c r="D398" i="3"/>
  <c r="C399" i="3"/>
  <c r="D399" i="3"/>
  <c r="C400" i="3"/>
  <c r="D400" i="3"/>
  <c r="C401" i="3"/>
  <c r="D401" i="3"/>
  <c r="C402" i="3"/>
  <c r="D402" i="3"/>
  <c r="C403" i="3"/>
  <c r="D403" i="3"/>
  <c r="C404" i="3"/>
  <c r="D404" i="3"/>
  <c r="C405" i="3"/>
  <c r="D405" i="3"/>
  <c r="C406" i="3"/>
  <c r="D406" i="3"/>
  <c r="C407" i="3"/>
  <c r="D407" i="3"/>
  <c r="C408" i="3"/>
  <c r="D408" i="3"/>
  <c r="C409" i="3"/>
  <c r="D409" i="3"/>
  <c r="C410" i="3"/>
  <c r="D410" i="3"/>
  <c r="C411" i="3"/>
  <c r="D411" i="3"/>
  <c r="C412" i="3"/>
  <c r="D412" i="3"/>
  <c r="C413" i="3"/>
  <c r="D413" i="3"/>
  <c r="C414" i="3"/>
  <c r="D414" i="3"/>
  <c r="C415" i="3"/>
  <c r="D415" i="3"/>
  <c r="C416" i="3"/>
  <c r="D416" i="3"/>
  <c r="C417" i="3"/>
  <c r="D417" i="3"/>
  <c r="C418" i="3"/>
  <c r="D418" i="3"/>
  <c r="C419" i="3"/>
  <c r="D419" i="3"/>
  <c r="C420" i="3"/>
  <c r="D420" i="3"/>
  <c r="C421" i="3"/>
  <c r="D421" i="3"/>
  <c r="C422" i="3"/>
  <c r="D422" i="3"/>
  <c r="C423" i="3"/>
  <c r="D423" i="3"/>
  <c r="C424" i="3"/>
  <c r="D424" i="3"/>
  <c r="C425" i="3"/>
  <c r="D425" i="3"/>
  <c r="C426" i="3"/>
  <c r="D426" i="3"/>
  <c r="C427" i="3"/>
  <c r="D427" i="3"/>
  <c r="C428" i="3"/>
  <c r="D428" i="3"/>
  <c r="C429" i="3"/>
  <c r="D429" i="3"/>
  <c r="C430" i="3"/>
  <c r="D430" i="3"/>
  <c r="C431" i="3"/>
  <c r="D431" i="3"/>
  <c r="C432" i="3"/>
  <c r="D432" i="3"/>
  <c r="C433" i="3"/>
  <c r="D433" i="3"/>
  <c r="C434" i="3"/>
  <c r="D434" i="3"/>
  <c r="C435" i="3"/>
  <c r="D435" i="3"/>
  <c r="C436" i="3"/>
  <c r="D436" i="3"/>
  <c r="C437" i="3"/>
  <c r="D437" i="3"/>
  <c r="C438" i="3"/>
  <c r="D438" i="3"/>
  <c r="C439" i="3"/>
  <c r="D439" i="3"/>
  <c r="C440" i="3"/>
  <c r="D440" i="3"/>
  <c r="C441" i="3"/>
  <c r="D441" i="3"/>
  <c r="C442" i="3"/>
  <c r="D442" i="3"/>
  <c r="C443" i="3"/>
  <c r="D443" i="3"/>
  <c r="C444" i="3"/>
  <c r="D444" i="3"/>
  <c r="C445" i="3"/>
  <c r="D445" i="3"/>
  <c r="C446" i="3"/>
  <c r="D446" i="3"/>
  <c r="C447" i="3"/>
  <c r="D447" i="3"/>
  <c r="C448" i="3"/>
  <c r="D448" i="3"/>
  <c r="C449" i="3"/>
  <c r="D449" i="3"/>
  <c r="C450" i="3"/>
  <c r="D450" i="3"/>
  <c r="C451" i="3"/>
  <c r="D451" i="3"/>
  <c r="C452" i="3"/>
  <c r="D452" i="3"/>
  <c r="C453" i="3"/>
  <c r="D453" i="3"/>
  <c r="C454" i="3"/>
  <c r="D454" i="3"/>
  <c r="C455" i="3"/>
  <c r="D455" i="3"/>
  <c r="C456" i="3"/>
  <c r="D456" i="3"/>
  <c r="C457" i="3"/>
  <c r="D457" i="3"/>
  <c r="C458" i="3"/>
  <c r="D458" i="3"/>
  <c r="C459" i="3"/>
  <c r="D459" i="3"/>
  <c r="C460" i="3"/>
  <c r="D460" i="3"/>
  <c r="C461" i="3"/>
  <c r="D461" i="3"/>
  <c r="C462" i="3"/>
  <c r="D462" i="3"/>
  <c r="C463" i="3"/>
  <c r="D463" i="3"/>
  <c r="C464" i="3"/>
  <c r="D464" i="3"/>
  <c r="C465" i="3"/>
  <c r="D465" i="3"/>
  <c r="C466" i="3"/>
  <c r="D466" i="3"/>
  <c r="C467" i="3"/>
  <c r="D467" i="3"/>
  <c r="C468" i="3"/>
  <c r="D468" i="3"/>
  <c r="C469" i="3"/>
  <c r="D469" i="3"/>
  <c r="C470" i="3"/>
  <c r="D470" i="3"/>
  <c r="C471" i="3"/>
  <c r="D471" i="3"/>
  <c r="C472" i="3"/>
  <c r="D472" i="3"/>
  <c r="C473" i="3"/>
  <c r="D473" i="3"/>
  <c r="C474" i="3"/>
  <c r="D474" i="3"/>
  <c r="C475" i="3"/>
  <c r="D475" i="3"/>
  <c r="C476" i="3"/>
  <c r="D476" i="3"/>
  <c r="C477" i="3"/>
  <c r="D477" i="3"/>
  <c r="C478" i="3"/>
  <c r="D478" i="3"/>
  <c r="C479" i="3"/>
  <c r="D479" i="3"/>
  <c r="C480" i="3"/>
  <c r="D480" i="3"/>
  <c r="C481" i="3"/>
  <c r="D481" i="3"/>
  <c r="C482" i="3"/>
  <c r="D482" i="3"/>
  <c r="C483" i="3"/>
  <c r="D483" i="3"/>
  <c r="C484" i="3"/>
  <c r="D484" i="3"/>
  <c r="C485" i="3"/>
  <c r="D485" i="3"/>
  <c r="C486" i="3"/>
  <c r="D486" i="3"/>
  <c r="C487" i="3"/>
  <c r="D487" i="3"/>
  <c r="C488" i="3"/>
  <c r="D488" i="3"/>
  <c r="C489" i="3"/>
  <c r="D489" i="3"/>
  <c r="C490" i="3"/>
  <c r="D490" i="3"/>
  <c r="C491" i="3"/>
  <c r="D491" i="3"/>
  <c r="C492" i="3"/>
  <c r="D492" i="3"/>
  <c r="C493" i="3"/>
  <c r="D493" i="3"/>
  <c r="C494" i="3"/>
  <c r="D494" i="3"/>
  <c r="C495" i="3"/>
  <c r="D495" i="3"/>
  <c r="C496" i="3"/>
  <c r="D496" i="3"/>
  <c r="C497" i="3"/>
  <c r="D497" i="3"/>
  <c r="C498" i="3"/>
  <c r="D498" i="3"/>
  <c r="C499" i="3"/>
  <c r="D499" i="3"/>
  <c r="C500" i="3"/>
  <c r="D500" i="3"/>
  <c r="C501" i="3"/>
  <c r="D501" i="3"/>
  <c r="C502" i="3"/>
  <c r="D502" i="3"/>
  <c r="C503" i="3"/>
  <c r="D503" i="3"/>
  <c r="C504" i="3"/>
  <c r="D504" i="3"/>
  <c r="J5" i="3"/>
  <c r="J7" i="3" s="1"/>
  <c r="K6" i="3"/>
  <c r="L6" i="3" s="1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C69" i="3"/>
  <c r="D69" i="3"/>
  <c r="C70" i="3"/>
  <c r="D70" i="3"/>
  <c r="C71" i="3"/>
  <c r="D71" i="3"/>
  <c r="C72" i="3"/>
  <c r="D72" i="3"/>
  <c r="C73" i="3"/>
  <c r="D73" i="3"/>
  <c r="C74" i="3"/>
  <c r="D74" i="3"/>
  <c r="C75" i="3"/>
  <c r="D75" i="3"/>
  <c r="C76" i="3"/>
  <c r="D76" i="3"/>
  <c r="C77" i="3"/>
  <c r="D77" i="3"/>
  <c r="C78" i="3"/>
  <c r="D78" i="3"/>
  <c r="C79" i="3"/>
  <c r="D79" i="3"/>
  <c r="C80" i="3"/>
  <c r="D80" i="3"/>
  <c r="C81" i="3"/>
  <c r="D81" i="3"/>
  <c r="C82" i="3"/>
  <c r="D82" i="3"/>
  <c r="C83" i="3"/>
  <c r="D83" i="3"/>
  <c r="C84" i="3"/>
  <c r="D84" i="3"/>
  <c r="C85" i="3"/>
  <c r="D85" i="3"/>
  <c r="C86" i="3"/>
  <c r="D86" i="3"/>
  <c r="C87" i="3"/>
  <c r="D87" i="3"/>
  <c r="C88" i="3"/>
  <c r="D88" i="3"/>
  <c r="C89" i="3"/>
  <c r="D89" i="3"/>
  <c r="C90" i="3"/>
  <c r="D90" i="3"/>
  <c r="C91" i="3"/>
  <c r="D91" i="3"/>
  <c r="C92" i="3"/>
  <c r="D92" i="3"/>
  <c r="C93" i="3"/>
  <c r="D93" i="3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C118" i="3"/>
  <c r="D118" i="3"/>
  <c r="C119" i="3"/>
  <c r="D119" i="3"/>
  <c r="C120" i="3"/>
  <c r="D120" i="3"/>
  <c r="C121" i="3"/>
  <c r="D121" i="3"/>
  <c r="C122" i="3"/>
  <c r="D122" i="3"/>
  <c r="C123" i="3"/>
  <c r="D123" i="3"/>
  <c r="C124" i="3"/>
  <c r="D124" i="3"/>
  <c r="C125" i="3"/>
  <c r="D125" i="3"/>
  <c r="C126" i="3"/>
  <c r="D126" i="3"/>
  <c r="C127" i="3"/>
  <c r="D127" i="3"/>
  <c r="C128" i="3"/>
  <c r="D128" i="3"/>
  <c r="C129" i="3"/>
  <c r="D129" i="3"/>
  <c r="C130" i="3"/>
  <c r="D130" i="3"/>
  <c r="C131" i="3"/>
  <c r="D131" i="3"/>
  <c r="C132" i="3"/>
  <c r="D132" i="3"/>
  <c r="C133" i="3"/>
  <c r="D133" i="3"/>
  <c r="C134" i="3"/>
  <c r="D134" i="3"/>
  <c r="C135" i="3"/>
  <c r="D135" i="3"/>
  <c r="C136" i="3"/>
  <c r="D136" i="3"/>
  <c r="C137" i="3"/>
  <c r="D137" i="3"/>
  <c r="C138" i="3"/>
  <c r="D138" i="3"/>
  <c r="C139" i="3"/>
  <c r="D139" i="3"/>
  <c r="C140" i="3"/>
  <c r="D140" i="3"/>
  <c r="C141" i="3"/>
  <c r="D141" i="3"/>
  <c r="C142" i="3"/>
  <c r="D142" i="3"/>
  <c r="C143" i="3"/>
  <c r="D143" i="3"/>
  <c r="C144" i="3"/>
  <c r="D144" i="3"/>
  <c r="C145" i="3"/>
  <c r="D145" i="3"/>
  <c r="C146" i="3"/>
  <c r="D146" i="3"/>
  <c r="C147" i="3"/>
  <c r="D147" i="3"/>
  <c r="C148" i="3"/>
  <c r="D148" i="3"/>
  <c r="C149" i="3"/>
  <c r="D149" i="3"/>
  <c r="C150" i="3"/>
  <c r="D150" i="3"/>
  <c r="C151" i="3"/>
  <c r="D151" i="3"/>
  <c r="C152" i="3"/>
  <c r="D152" i="3"/>
  <c r="C153" i="3"/>
  <c r="D153" i="3"/>
  <c r="C154" i="3"/>
  <c r="D154" i="3"/>
  <c r="C155" i="3"/>
  <c r="D155" i="3"/>
  <c r="C156" i="3"/>
  <c r="D156" i="3"/>
  <c r="C157" i="3"/>
  <c r="D157" i="3"/>
  <c r="C158" i="3"/>
  <c r="D158" i="3"/>
  <c r="C159" i="3"/>
  <c r="D159" i="3"/>
  <c r="C160" i="3"/>
  <c r="D160" i="3"/>
  <c r="C161" i="3"/>
  <c r="D161" i="3"/>
  <c r="C162" i="3"/>
  <c r="D162" i="3"/>
  <c r="C163" i="3"/>
  <c r="D163" i="3"/>
  <c r="C164" i="3"/>
  <c r="D164" i="3"/>
  <c r="C165" i="3"/>
  <c r="D165" i="3"/>
  <c r="C166" i="3"/>
  <c r="D166" i="3"/>
  <c r="C167" i="3"/>
  <c r="D167" i="3"/>
  <c r="C168" i="3"/>
  <c r="D168" i="3"/>
  <c r="C169" i="3"/>
  <c r="D169" i="3"/>
  <c r="C170" i="3"/>
  <c r="D170" i="3"/>
  <c r="C171" i="3"/>
  <c r="D171" i="3"/>
  <c r="C172" i="3"/>
  <c r="D172" i="3"/>
  <c r="C173" i="3"/>
  <c r="D173" i="3"/>
  <c r="C174" i="3"/>
  <c r="D174" i="3"/>
  <c r="C175" i="3"/>
  <c r="D175" i="3"/>
  <c r="C176" i="3"/>
  <c r="D176" i="3"/>
  <c r="C177" i="3"/>
  <c r="D177" i="3"/>
  <c r="C178" i="3"/>
  <c r="D178" i="3"/>
  <c r="C179" i="3"/>
  <c r="D179" i="3"/>
  <c r="C180" i="3"/>
  <c r="D180" i="3"/>
  <c r="C181" i="3"/>
  <c r="D181" i="3"/>
  <c r="C182" i="3"/>
  <c r="D182" i="3"/>
  <c r="C183" i="3"/>
  <c r="D183" i="3"/>
  <c r="C184" i="3"/>
  <c r="D184" i="3"/>
  <c r="C185" i="3"/>
  <c r="D185" i="3"/>
  <c r="C186" i="3"/>
  <c r="D186" i="3"/>
  <c r="C187" i="3"/>
  <c r="D187" i="3"/>
  <c r="C188" i="3"/>
  <c r="D188" i="3"/>
  <c r="C189" i="3"/>
  <c r="D189" i="3"/>
  <c r="C190" i="3"/>
  <c r="D190" i="3"/>
  <c r="C191" i="3"/>
  <c r="D191" i="3"/>
  <c r="C192" i="3"/>
  <c r="D192" i="3"/>
  <c r="C193" i="3"/>
  <c r="D193" i="3"/>
  <c r="C194" i="3"/>
  <c r="D194" i="3"/>
  <c r="C195" i="3"/>
  <c r="D195" i="3"/>
  <c r="C196" i="3"/>
  <c r="D196" i="3"/>
  <c r="C197" i="3"/>
  <c r="D197" i="3"/>
  <c r="C198" i="3"/>
  <c r="D198" i="3"/>
  <c r="C199" i="3"/>
  <c r="D199" i="3"/>
  <c r="C200" i="3"/>
  <c r="D200" i="3"/>
  <c r="C201" i="3"/>
  <c r="D201" i="3"/>
  <c r="C202" i="3"/>
  <c r="D202" i="3"/>
  <c r="C203" i="3"/>
  <c r="D203" i="3"/>
  <c r="C204" i="3"/>
  <c r="D204" i="3"/>
  <c r="C205" i="3"/>
  <c r="D205" i="3"/>
  <c r="C206" i="3"/>
  <c r="D206" i="3"/>
  <c r="C207" i="3"/>
  <c r="D207" i="3"/>
  <c r="C208" i="3"/>
  <c r="D208" i="3"/>
  <c r="D14" i="3"/>
  <c r="C14" i="3"/>
  <c r="B76" i="10" l="1"/>
  <c r="X7" i="10"/>
  <c r="X8" i="10"/>
  <c r="X9" i="10" s="1"/>
  <c r="C72" i="9"/>
  <c r="D72" i="9"/>
  <c r="B73" i="9"/>
  <c r="V12" i="8"/>
  <c r="V11" i="8"/>
  <c r="U7" i="8"/>
  <c r="U4" i="8" s="1"/>
  <c r="W6" i="8"/>
  <c r="V5" i="8"/>
  <c r="V7" i="8" s="1"/>
  <c r="U13" i="8"/>
  <c r="R12" i="7"/>
  <c r="R11" i="7"/>
  <c r="Q13" i="7"/>
  <c r="Q8" i="7"/>
  <c r="Q7" i="7"/>
  <c r="Q4" i="7" s="1"/>
  <c r="R5" i="7"/>
  <c r="S6" i="7"/>
  <c r="J8" i="3"/>
  <c r="M6" i="3"/>
  <c r="L5" i="3"/>
  <c r="L8" i="3" s="1"/>
  <c r="K5" i="3"/>
  <c r="K7" i="3" s="1"/>
  <c r="B77" i="10" l="1"/>
  <c r="C73" i="9"/>
  <c r="D73" i="9"/>
  <c r="B74" i="9"/>
  <c r="W11" i="8"/>
  <c r="W12" i="8"/>
  <c r="V8" i="8"/>
  <c r="V4" i="8" s="1"/>
  <c r="V13" i="8"/>
  <c r="X6" i="8"/>
  <c r="W5" i="8"/>
  <c r="W7" i="8" s="1"/>
  <c r="R13" i="7"/>
  <c r="S12" i="7"/>
  <c r="S11" i="7"/>
  <c r="R7" i="7"/>
  <c r="R8" i="7"/>
  <c r="S5" i="7"/>
  <c r="S8" i="7" s="1"/>
  <c r="T6" i="7"/>
  <c r="K8" i="3"/>
  <c r="K4" i="3" s="1"/>
  <c r="L7" i="3"/>
  <c r="L4" i="3" s="1"/>
  <c r="J4" i="3"/>
  <c r="N6" i="3"/>
  <c r="M5" i="3"/>
  <c r="M8" i="3" s="1"/>
  <c r="AF6" i="10" l="1"/>
  <c r="AG6" i="10" s="1"/>
  <c r="B78" i="10"/>
  <c r="C74" i="9"/>
  <c r="D74" i="9"/>
  <c r="B75" i="9"/>
  <c r="X12" i="8"/>
  <c r="X11" i="8"/>
  <c r="W8" i="8"/>
  <c r="W4" i="8" s="1"/>
  <c r="W13" i="8"/>
  <c r="Y6" i="8"/>
  <c r="X5" i="8"/>
  <c r="X8" i="8" s="1"/>
  <c r="S13" i="7"/>
  <c r="S7" i="7"/>
  <c r="S4" i="7" s="1"/>
  <c r="T12" i="7"/>
  <c r="T11" i="7"/>
  <c r="U6" i="7"/>
  <c r="T5" i="7"/>
  <c r="T7" i="7" s="1"/>
  <c r="R4" i="7"/>
  <c r="M7" i="3"/>
  <c r="O6" i="3"/>
  <c r="N5" i="3"/>
  <c r="N8" i="3" s="1"/>
  <c r="AF7" i="10" l="1"/>
  <c r="AF8" i="10"/>
  <c r="AF9" i="10" s="1"/>
  <c r="B79" i="10"/>
  <c r="B76" i="9"/>
  <c r="C75" i="9"/>
  <c r="D75" i="9"/>
  <c r="X7" i="8"/>
  <c r="X4" i="8" s="1"/>
  <c r="Y12" i="8"/>
  <c r="Y11" i="8"/>
  <c r="X13" i="8"/>
  <c r="Y5" i="8"/>
  <c r="Y7" i="8" s="1"/>
  <c r="Z6" i="8"/>
  <c r="T8" i="7"/>
  <c r="T4" i="7" s="1"/>
  <c r="T13" i="7"/>
  <c r="U12" i="7"/>
  <c r="U11" i="7"/>
  <c r="U5" i="7"/>
  <c r="V6" i="7"/>
  <c r="N7" i="3"/>
  <c r="N4" i="3" s="1"/>
  <c r="M4" i="3"/>
  <c r="P6" i="3"/>
  <c r="O5" i="3"/>
  <c r="O8" i="3" s="1"/>
  <c r="AG7" i="10" l="1"/>
  <c r="B80" i="10"/>
  <c r="AG8" i="10"/>
  <c r="AG9" i="10" s="1"/>
  <c r="C76" i="9"/>
  <c r="D76" i="9"/>
  <c r="B77" i="9"/>
  <c r="Y8" i="8"/>
  <c r="Y4" i="8" s="1"/>
  <c r="Z12" i="8"/>
  <c r="Z11" i="8"/>
  <c r="Y13" i="8"/>
  <c r="AA6" i="8"/>
  <c r="Z5" i="8"/>
  <c r="Z7" i="8" s="1"/>
  <c r="U13" i="7"/>
  <c r="V11" i="7"/>
  <c r="V12" i="7"/>
  <c r="U7" i="7"/>
  <c r="U8" i="7"/>
  <c r="W6" i="7"/>
  <c r="V5" i="7"/>
  <c r="V8" i="7" s="1"/>
  <c r="O7" i="3"/>
  <c r="O4" i="3" s="1"/>
  <c r="Q6" i="3"/>
  <c r="P5" i="3"/>
  <c r="P8" i="3" s="1"/>
  <c r="B81" i="10" l="1"/>
  <c r="C77" i="9"/>
  <c r="D77" i="9"/>
  <c r="B78" i="9"/>
  <c r="AA12" i="8"/>
  <c r="AA11" i="8"/>
  <c r="Z8" i="8"/>
  <c r="Z4" i="8" s="1"/>
  <c r="Z13" i="8"/>
  <c r="AA5" i="8"/>
  <c r="AA7" i="8" s="1"/>
  <c r="AB6" i="8"/>
  <c r="V13" i="7"/>
  <c r="W12" i="7"/>
  <c r="W11" i="7"/>
  <c r="U4" i="7"/>
  <c r="W5" i="7"/>
  <c r="X6" i="7"/>
  <c r="V7" i="7"/>
  <c r="V4" i="7" s="1"/>
  <c r="P7" i="3"/>
  <c r="P4" i="3" s="1"/>
  <c r="Q5" i="3"/>
  <c r="Q8" i="3" s="1"/>
  <c r="R6" i="3"/>
  <c r="AO6" i="10" l="1"/>
  <c r="AP6" i="10" s="1"/>
  <c r="B82" i="10"/>
  <c r="D78" i="9"/>
  <c r="B79" i="9"/>
  <c r="C78" i="9"/>
  <c r="AB12" i="8"/>
  <c r="AB11" i="8"/>
  <c r="AA8" i="8"/>
  <c r="AA4" i="8" s="1"/>
  <c r="AA13" i="8"/>
  <c r="AB5" i="8"/>
  <c r="AB7" i="8" s="1"/>
  <c r="AC6" i="8"/>
  <c r="W13" i="7"/>
  <c r="X11" i="7"/>
  <c r="X12" i="7"/>
  <c r="W7" i="7"/>
  <c r="W8" i="7"/>
  <c r="W4" i="7" s="1"/>
  <c r="Y6" i="7"/>
  <c r="X5" i="7"/>
  <c r="X7" i="7" s="1"/>
  <c r="Q7" i="3"/>
  <c r="Q4" i="3" s="1"/>
  <c r="S6" i="3"/>
  <c r="R5" i="3"/>
  <c r="R7" i="3" s="1"/>
  <c r="B83" i="10" l="1"/>
  <c r="AO7" i="10"/>
  <c r="AO8" i="10"/>
  <c r="AO9" i="10" s="1"/>
  <c r="C79" i="9"/>
  <c r="D79" i="9"/>
  <c r="B80" i="9"/>
  <c r="AC12" i="8"/>
  <c r="AC11" i="8"/>
  <c r="AB8" i="8"/>
  <c r="AB4" i="8" s="1"/>
  <c r="AB13" i="8"/>
  <c r="AC5" i="8"/>
  <c r="AC7" i="8" s="1"/>
  <c r="AD6" i="8"/>
  <c r="X13" i="7"/>
  <c r="Y12" i="7"/>
  <c r="Y11" i="7"/>
  <c r="X8" i="7"/>
  <c r="X4" i="7" s="1"/>
  <c r="Z6" i="7"/>
  <c r="Y5" i="7"/>
  <c r="R8" i="3"/>
  <c r="R4" i="3" s="1"/>
  <c r="T6" i="3"/>
  <c r="S5" i="3"/>
  <c r="S8" i="3" s="1"/>
  <c r="AP7" i="10" l="1"/>
  <c r="AP8" i="10"/>
  <c r="AP9" i="10" s="1"/>
  <c r="B84" i="10"/>
  <c r="C80" i="9"/>
  <c r="D80" i="9"/>
  <c r="B81" i="9"/>
  <c r="AD12" i="8"/>
  <c r="AD11" i="8"/>
  <c r="AC8" i="8"/>
  <c r="AC4" i="8" s="1"/>
  <c r="AE6" i="8"/>
  <c r="AD5" i="8"/>
  <c r="AD7" i="8" s="1"/>
  <c r="AC13" i="8"/>
  <c r="Y13" i="7"/>
  <c r="Z11" i="7"/>
  <c r="Z12" i="7"/>
  <c r="Y7" i="7"/>
  <c r="Y8" i="7"/>
  <c r="AA6" i="7"/>
  <c r="Z5" i="7"/>
  <c r="Z7" i="7" s="1"/>
  <c r="S7" i="3"/>
  <c r="S4" i="3" s="1"/>
  <c r="U6" i="3"/>
  <c r="T5" i="3"/>
  <c r="T8" i="3" s="1"/>
  <c r="B85" i="10" l="1"/>
  <c r="C81" i="9"/>
  <c r="D81" i="9"/>
  <c r="B82" i="9"/>
  <c r="AE11" i="8"/>
  <c r="AE12" i="8"/>
  <c r="AD8" i="8"/>
  <c r="AD4" i="8" s="1"/>
  <c r="AD13" i="8"/>
  <c r="AF6" i="8"/>
  <c r="AE5" i="8"/>
  <c r="AE7" i="8" s="1"/>
  <c r="Y4" i="7"/>
  <c r="Z13" i="7"/>
  <c r="AA12" i="7"/>
  <c r="AA11" i="7"/>
  <c r="Z8" i="7"/>
  <c r="Z4" i="7" s="1"/>
  <c r="AB6" i="7"/>
  <c r="AA5" i="7"/>
  <c r="AA7" i="7" s="1"/>
  <c r="T7" i="3"/>
  <c r="T4" i="3" s="1"/>
  <c r="V6" i="3"/>
  <c r="U5" i="3"/>
  <c r="U8" i="3" s="1"/>
  <c r="AX6" i="10" l="1"/>
  <c r="AY6" i="10" s="1"/>
  <c r="B86" i="10"/>
  <c r="C82" i="9"/>
  <c r="D82" i="9"/>
  <c r="B83" i="9"/>
  <c r="AE8" i="8"/>
  <c r="AE4" i="8" s="1"/>
  <c r="AF12" i="8"/>
  <c r="AF11" i="8"/>
  <c r="AE13" i="8"/>
  <c r="AG6" i="8"/>
  <c r="AF5" i="8"/>
  <c r="AF8" i="8" s="1"/>
  <c r="AA13" i="7"/>
  <c r="AB12" i="7"/>
  <c r="AB11" i="7"/>
  <c r="AA8" i="7"/>
  <c r="AA4" i="7" s="1"/>
  <c r="AC6" i="7"/>
  <c r="AB5" i="7"/>
  <c r="U7" i="3"/>
  <c r="U4" i="3" s="1"/>
  <c r="W6" i="3"/>
  <c r="V5" i="3"/>
  <c r="V8" i="3" s="1"/>
  <c r="B87" i="10" l="1"/>
  <c r="AX8" i="10"/>
  <c r="AX9" i="10" s="1"/>
  <c r="AX7" i="10"/>
  <c r="B84" i="9"/>
  <c r="C83" i="9"/>
  <c r="D83" i="9"/>
  <c r="AF7" i="8"/>
  <c r="AF4" i="8" s="1"/>
  <c r="AG12" i="8"/>
  <c r="AG11" i="8"/>
  <c r="AH6" i="8"/>
  <c r="AG5" i="8"/>
  <c r="AG7" i="8" s="1"/>
  <c r="AF13" i="8"/>
  <c r="AB13" i="7"/>
  <c r="AC12" i="7"/>
  <c r="AC11" i="7"/>
  <c r="AB7" i="7"/>
  <c r="AB8" i="7"/>
  <c r="AC5" i="7"/>
  <c r="AC8" i="7" s="1"/>
  <c r="AD6" i="7"/>
  <c r="V7" i="3"/>
  <c r="V4" i="3" s="1"/>
  <c r="X6" i="3"/>
  <c r="W5" i="3"/>
  <c r="W8" i="3" s="1"/>
  <c r="AY8" i="10" l="1"/>
  <c r="AY9" i="10" s="1"/>
  <c r="AY7" i="10"/>
  <c r="B88" i="10"/>
  <c r="C84" i="9"/>
  <c r="D84" i="9"/>
  <c r="B85" i="9"/>
  <c r="AG8" i="8"/>
  <c r="AG4" i="8" s="1"/>
  <c r="AH12" i="8"/>
  <c r="AH11" i="8"/>
  <c r="AG13" i="8"/>
  <c r="AI6" i="8"/>
  <c r="AH5" i="8"/>
  <c r="AH7" i="8" s="1"/>
  <c r="AC13" i="7"/>
  <c r="AB4" i="7"/>
  <c r="AD11" i="7"/>
  <c r="AD12" i="7"/>
  <c r="AC7" i="7"/>
  <c r="AC4" i="7" s="1"/>
  <c r="AE6" i="7"/>
  <c r="AD5" i="7"/>
  <c r="AD8" i="7" s="1"/>
  <c r="W7" i="3"/>
  <c r="W4" i="3" s="1"/>
  <c r="Y6" i="3"/>
  <c r="X5" i="3"/>
  <c r="X8" i="3" s="1"/>
  <c r="B89" i="10" l="1"/>
  <c r="C85" i="9"/>
  <c r="D85" i="9"/>
  <c r="B86" i="9"/>
  <c r="AH8" i="8"/>
  <c r="AH4" i="8" s="1"/>
  <c r="AI12" i="8"/>
  <c r="AI11" i="8"/>
  <c r="AH13" i="8"/>
  <c r="AJ6" i="8"/>
  <c r="AI5" i="8"/>
  <c r="AI7" i="8" s="1"/>
  <c r="AD13" i="7"/>
  <c r="AE12" i="7"/>
  <c r="AE11" i="7"/>
  <c r="AD7" i="7"/>
  <c r="AD4" i="7" s="1"/>
  <c r="AF6" i="7"/>
  <c r="AE5" i="7"/>
  <c r="X7" i="3"/>
  <c r="X4" i="3" s="1"/>
  <c r="Y5" i="3"/>
  <c r="Y8" i="3" s="1"/>
  <c r="Z6" i="3"/>
  <c r="BG6" i="10" l="1"/>
  <c r="BH6" i="10" s="1"/>
  <c r="B90" i="10"/>
  <c r="D86" i="9"/>
  <c r="B87" i="9"/>
  <c r="C86" i="9"/>
  <c r="AI8" i="8"/>
  <c r="AI4" i="8" s="1"/>
  <c r="AJ12" i="8"/>
  <c r="AJ11" i="8"/>
  <c r="AI13" i="8"/>
  <c r="AK6" i="8"/>
  <c r="AJ5" i="8"/>
  <c r="AJ8" i="8" s="1"/>
  <c r="AE13" i="7"/>
  <c r="AF11" i="7"/>
  <c r="AF12" i="7"/>
  <c r="AG6" i="7"/>
  <c r="AF5" i="7"/>
  <c r="AE8" i="7"/>
  <c r="AE4" i="7" s="1"/>
  <c r="AE7" i="7"/>
  <c r="Y7" i="3"/>
  <c r="Y4" i="3" s="1"/>
  <c r="AA6" i="3"/>
  <c r="Z5" i="3"/>
  <c r="Z7" i="3" s="1"/>
  <c r="BG8" i="10" l="1"/>
  <c r="BG9" i="10" s="1"/>
  <c r="B91" i="10"/>
  <c r="BG7" i="10"/>
  <c r="C87" i="9"/>
  <c r="D87" i="9"/>
  <c r="B88" i="9"/>
  <c r="AK12" i="8"/>
  <c r="AK11" i="8"/>
  <c r="AJ7" i="8"/>
  <c r="AJ4" i="8" s="1"/>
  <c r="AJ13" i="8"/>
  <c r="AL6" i="8"/>
  <c r="AK5" i="8"/>
  <c r="AK7" i="8" s="1"/>
  <c r="AG11" i="7"/>
  <c r="AG12" i="7"/>
  <c r="AF13" i="7"/>
  <c r="AF7" i="7"/>
  <c r="AG5" i="7"/>
  <c r="AH6" i="7"/>
  <c r="AF8" i="7"/>
  <c r="AF4" i="7" s="1"/>
  <c r="Z8" i="3"/>
  <c r="Z4" i="3" s="1"/>
  <c r="AB6" i="3"/>
  <c r="AA5" i="3"/>
  <c r="AA8" i="3" s="1"/>
  <c r="BH8" i="10" l="1"/>
  <c r="BH9" i="10" s="1"/>
  <c r="BH7" i="10"/>
  <c r="B92" i="10"/>
  <c r="C88" i="9"/>
  <c r="D88" i="9"/>
  <c r="B89" i="9"/>
  <c r="AL12" i="8"/>
  <c r="AL11" i="8"/>
  <c r="AK8" i="8"/>
  <c r="AK4" i="8" s="1"/>
  <c r="AM6" i="8"/>
  <c r="AL5" i="8"/>
  <c r="AL7" i="8" s="1"/>
  <c r="AK13" i="8"/>
  <c r="AG13" i="7"/>
  <c r="AH12" i="7"/>
  <c r="AH11" i="7"/>
  <c r="AG7" i="7"/>
  <c r="AG8" i="7"/>
  <c r="AG4" i="7" s="1"/>
  <c r="AI6" i="7"/>
  <c r="AH5" i="7"/>
  <c r="AA7" i="3"/>
  <c r="AA4" i="3" s="1"/>
  <c r="AC6" i="3"/>
  <c r="AB5" i="3"/>
  <c r="AB8" i="3" s="1"/>
  <c r="B93" i="10" l="1"/>
  <c r="C89" i="9"/>
  <c r="D89" i="9"/>
  <c r="B90" i="9"/>
  <c r="AM11" i="8"/>
  <c r="AM12" i="8"/>
  <c r="AL8" i="8"/>
  <c r="AL4" i="8" s="1"/>
  <c r="AN6" i="8"/>
  <c r="AM5" i="8"/>
  <c r="AM8" i="8" s="1"/>
  <c r="AL13" i="8"/>
  <c r="AH13" i="7"/>
  <c r="AI12" i="7"/>
  <c r="AI11" i="7"/>
  <c r="AH7" i="7"/>
  <c r="AH8" i="7"/>
  <c r="AJ6" i="7"/>
  <c r="AI5" i="7"/>
  <c r="AI7" i="7" s="1"/>
  <c r="AB7" i="3"/>
  <c r="AB4" i="3" s="1"/>
  <c r="AD6" i="3"/>
  <c r="AC5" i="3"/>
  <c r="AC8" i="3" s="1"/>
  <c r="BP6" i="10" l="1"/>
  <c r="BQ6" i="10" s="1"/>
  <c r="B94" i="10"/>
  <c r="C90" i="9"/>
  <c r="D90" i="9"/>
  <c r="B91" i="9"/>
  <c r="AN12" i="8"/>
  <c r="AN11" i="8"/>
  <c r="AM7" i="8"/>
  <c r="AM4" i="8" s="1"/>
  <c r="AM13" i="8"/>
  <c r="AO6" i="8"/>
  <c r="AN5" i="8"/>
  <c r="AN8" i="8" s="1"/>
  <c r="AI13" i="7"/>
  <c r="AJ11" i="7"/>
  <c r="AJ12" i="7"/>
  <c r="AI8" i="7"/>
  <c r="AI4" i="7" s="1"/>
  <c r="AK6" i="7"/>
  <c r="AJ5" i="7"/>
  <c r="AH4" i="7"/>
  <c r="AC7" i="3"/>
  <c r="AC4" i="3" s="1"/>
  <c r="AE6" i="3"/>
  <c r="AD5" i="3"/>
  <c r="AD8" i="3" s="1"/>
  <c r="AN7" i="8" l="1"/>
  <c r="AN4" i="8" s="1"/>
  <c r="B95" i="10"/>
  <c r="BP7" i="10"/>
  <c r="BP8" i="10"/>
  <c r="BP9" i="10" s="1"/>
  <c r="B92" i="9"/>
  <c r="C91" i="9"/>
  <c r="D91" i="9"/>
  <c r="AO12" i="8"/>
  <c r="AO11" i="8"/>
  <c r="AO8" i="8"/>
  <c r="AN13" i="8"/>
  <c r="AO5" i="8"/>
  <c r="AO7" i="8" s="1"/>
  <c r="AP6" i="8"/>
  <c r="AJ13" i="7"/>
  <c r="AK12" i="7"/>
  <c r="AK11" i="7"/>
  <c r="AJ8" i="7"/>
  <c r="AJ7" i="7"/>
  <c r="AL6" i="7"/>
  <c r="AK5" i="7"/>
  <c r="AK8" i="7" s="1"/>
  <c r="AD7" i="3"/>
  <c r="AD4" i="3" s="1"/>
  <c r="AF6" i="3"/>
  <c r="AE5" i="3"/>
  <c r="AE8" i="3" s="1"/>
  <c r="BQ7" i="10" l="1"/>
  <c r="BQ8" i="10"/>
  <c r="BQ9" i="10" s="1"/>
  <c r="B96" i="10"/>
  <c r="C92" i="9"/>
  <c r="D92" i="9"/>
  <c r="B93" i="9"/>
  <c r="AP11" i="8"/>
  <c r="AP12" i="8"/>
  <c r="AO4" i="8"/>
  <c r="AO13" i="8"/>
  <c r="AQ6" i="8"/>
  <c r="AP5" i="8"/>
  <c r="AP8" i="8" s="1"/>
  <c r="AK13" i="7"/>
  <c r="AL11" i="7"/>
  <c r="AL12" i="7"/>
  <c r="AJ4" i="7"/>
  <c r="AM6" i="7"/>
  <c r="AL5" i="7"/>
  <c r="AL8" i="7" s="1"/>
  <c r="AK7" i="7"/>
  <c r="AK4" i="7" s="1"/>
  <c r="AE7" i="3"/>
  <c r="AE4" i="3" s="1"/>
  <c r="AG6" i="3"/>
  <c r="AF5" i="3"/>
  <c r="AF8" i="3" s="1"/>
  <c r="B97" i="10" l="1"/>
  <c r="C93" i="9"/>
  <c r="D93" i="9"/>
  <c r="B94" i="9"/>
  <c r="AQ12" i="8"/>
  <c r="AQ11" i="8"/>
  <c r="AP7" i="8"/>
  <c r="AP4" i="8" s="1"/>
  <c r="AP13" i="8"/>
  <c r="AR6" i="8"/>
  <c r="AQ5" i="8"/>
  <c r="AQ7" i="8" s="1"/>
  <c r="AL13" i="7"/>
  <c r="AM12" i="7"/>
  <c r="AM11" i="7"/>
  <c r="AL7" i="7"/>
  <c r="AL4" i="7" s="1"/>
  <c r="AN6" i="7"/>
  <c r="AM5" i="7"/>
  <c r="AF7" i="3"/>
  <c r="AF4" i="3" s="1"/>
  <c r="AG5" i="3"/>
  <c r="AG8" i="3" s="1"/>
  <c r="AH6" i="3"/>
  <c r="BY6" i="10" l="1"/>
  <c r="BZ6" i="10" s="1"/>
  <c r="B98" i="10"/>
  <c r="D94" i="9"/>
  <c r="B95" i="9"/>
  <c r="C94" i="9"/>
  <c r="AR12" i="8"/>
  <c r="AR11" i="8"/>
  <c r="AQ8" i="8"/>
  <c r="AQ4" i="8" s="1"/>
  <c r="AQ13" i="8"/>
  <c r="AS6" i="8"/>
  <c r="AR5" i="8"/>
  <c r="AR8" i="8" s="1"/>
  <c r="AM13" i="7"/>
  <c r="AN11" i="7"/>
  <c r="AN12" i="7"/>
  <c r="AM7" i="7"/>
  <c r="AM8" i="7"/>
  <c r="AM4" i="7" s="1"/>
  <c r="AO6" i="7"/>
  <c r="AN5" i="7"/>
  <c r="AN7" i="7" s="1"/>
  <c r="AG7" i="3"/>
  <c r="AG4" i="3" s="1"/>
  <c r="AI6" i="3"/>
  <c r="AH5" i="3"/>
  <c r="AH7" i="3" s="1"/>
  <c r="BY7" i="10" l="1"/>
  <c r="BY8" i="10"/>
  <c r="BY9" i="10" s="1"/>
  <c r="B99" i="10"/>
  <c r="C95" i="9"/>
  <c r="D95" i="9"/>
  <c r="B96" i="9"/>
  <c r="AS12" i="8"/>
  <c r="AS11" i="8"/>
  <c r="AR7" i="8"/>
  <c r="AR4" i="8" s="1"/>
  <c r="AR13" i="8"/>
  <c r="AT6" i="8"/>
  <c r="AS5" i="8"/>
  <c r="AS8" i="8" s="1"/>
  <c r="AN13" i="7"/>
  <c r="AO11" i="7"/>
  <c r="AO12" i="7"/>
  <c r="AN8" i="7"/>
  <c r="AN4" i="7" s="1"/>
  <c r="AP6" i="7"/>
  <c r="AO5" i="7"/>
  <c r="AO8" i="7" s="1"/>
  <c r="AH8" i="3"/>
  <c r="AH4" i="3" s="1"/>
  <c r="AJ6" i="3"/>
  <c r="AI5" i="3"/>
  <c r="AI8" i="3" s="1"/>
  <c r="BZ7" i="10" l="1"/>
  <c r="BZ8" i="10"/>
  <c r="BZ9" i="10" s="1"/>
  <c r="B100" i="10"/>
  <c r="C96" i="9"/>
  <c r="D96" i="9"/>
  <c r="B97" i="9"/>
  <c r="AS7" i="8"/>
  <c r="AS4" i="8" s="1"/>
  <c r="AT12" i="8"/>
  <c r="AT11" i="8"/>
  <c r="AS13" i="8"/>
  <c r="AT5" i="8"/>
  <c r="AT7" i="8" s="1"/>
  <c r="AO13" i="7"/>
  <c r="AP12" i="7"/>
  <c r="AP11" i="7"/>
  <c r="AO7" i="7"/>
  <c r="AO4" i="7" s="1"/>
  <c r="AP5" i="7"/>
  <c r="AQ6" i="7"/>
  <c r="AI7" i="3"/>
  <c r="AI4" i="3" s="1"/>
  <c r="AK6" i="3"/>
  <c r="AJ5" i="3"/>
  <c r="AJ8" i="3" s="1"/>
  <c r="B101" i="10" l="1"/>
  <c r="C97" i="9"/>
  <c r="D97" i="9"/>
  <c r="B98" i="9"/>
  <c r="AT8" i="8"/>
  <c r="AT13" i="8"/>
  <c r="AP13" i="7"/>
  <c r="AQ12" i="7"/>
  <c r="AQ11" i="7"/>
  <c r="AP7" i="7"/>
  <c r="AR6" i="7"/>
  <c r="AQ5" i="7"/>
  <c r="AP8" i="7"/>
  <c r="AP4" i="7" s="1"/>
  <c r="AJ7" i="3"/>
  <c r="AJ4" i="3" s="1"/>
  <c r="AL6" i="3"/>
  <c r="AK5" i="3"/>
  <c r="AK8" i="3" s="1"/>
  <c r="CH6" i="10" l="1"/>
  <c r="CI6" i="10" s="1"/>
  <c r="B102" i="10"/>
  <c r="C98" i="9"/>
  <c r="D98" i="9"/>
  <c r="B99" i="9"/>
  <c r="AT4" i="8"/>
  <c r="AQ13" i="7"/>
  <c r="AR11" i="7"/>
  <c r="AR12" i="7"/>
  <c r="AQ7" i="7"/>
  <c r="AQ8" i="7"/>
  <c r="AR5" i="7"/>
  <c r="AK7" i="3"/>
  <c r="AK4" i="3" s="1"/>
  <c r="AM6" i="3"/>
  <c r="AL5" i="3"/>
  <c r="AL8" i="3" s="1"/>
  <c r="CH7" i="10" l="1"/>
  <c r="CH8" i="10"/>
  <c r="CH9" i="10" s="1"/>
  <c r="B103" i="10"/>
  <c r="B100" i="9"/>
  <c r="C99" i="9"/>
  <c r="D99" i="9"/>
  <c r="AR13" i="7"/>
  <c r="AR7" i="7"/>
  <c r="AR8" i="7"/>
  <c r="AQ4" i="7"/>
  <c r="AL7" i="3"/>
  <c r="AL4" i="3" s="1"/>
  <c r="AN6" i="3"/>
  <c r="AM5" i="3"/>
  <c r="AM8" i="3" s="1"/>
  <c r="CI7" i="10" l="1"/>
  <c r="B104" i="10"/>
  <c r="CI8" i="10"/>
  <c r="CI9" i="10" s="1"/>
  <c r="C100" i="9"/>
  <c r="D100" i="9"/>
  <c r="B101" i="9"/>
  <c r="AR4" i="7"/>
  <c r="AM7" i="3"/>
  <c r="AM4" i="3" s="1"/>
  <c r="AO6" i="3"/>
  <c r="AN5" i="3"/>
  <c r="AN8" i="3" s="1"/>
  <c r="B105" i="10" l="1"/>
  <c r="C101" i="9"/>
  <c r="D101" i="9"/>
  <c r="B102" i="9"/>
  <c r="AN7" i="3"/>
  <c r="AN4" i="3" s="1"/>
  <c r="AO5" i="3"/>
  <c r="AO8" i="3" s="1"/>
  <c r="CQ6" i="10" l="1"/>
  <c r="CR6" i="10" s="1"/>
  <c r="B106" i="10"/>
  <c r="D102" i="9"/>
  <c r="B103" i="9"/>
  <c r="C102" i="9"/>
  <c r="AO7" i="3"/>
  <c r="AO4" i="3" s="1"/>
  <c r="CQ7" i="10" l="1"/>
  <c r="B107" i="10"/>
  <c r="CQ8" i="10"/>
  <c r="CQ9" i="10" s="1"/>
  <c r="C103" i="9"/>
  <c r="D103" i="9"/>
  <c r="B104" i="9"/>
  <c r="CR8" i="10" l="1"/>
  <c r="CR9" i="10" s="1"/>
  <c r="B108" i="10"/>
  <c r="CR7" i="10"/>
  <c r="C104" i="9"/>
  <c r="D104" i="9"/>
  <c r="B105" i="9"/>
  <c r="B109" i="10" l="1"/>
  <c r="C105" i="9"/>
  <c r="D105" i="9"/>
  <c r="B106" i="9"/>
  <c r="CZ6" i="10" l="1"/>
  <c r="DA6" i="10" s="1"/>
  <c r="B110" i="10"/>
  <c r="C106" i="9"/>
  <c r="D106" i="9"/>
  <c r="B107" i="9"/>
  <c r="CZ7" i="10" l="1"/>
  <c r="B111" i="10"/>
  <c r="CZ8" i="10"/>
  <c r="CZ9" i="10" s="1"/>
  <c r="B108" i="9"/>
  <c r="C107" i="9"/>
  <c r="D107" i="9"/>
  <c r="B112" i="10" l="1"/>
  <c r="DA7" i="10"/>
  <c r="DA8" i="10"/>
  <c r="DA9" i="10" s="1"/>
  <c r="C108" i="9"/>
  <c r="D108" i="9"/>
  <c r="B109" i="9"/>
  <c r="B113" i="10" l="1"/>
  <c r="C109" i="9"/>
  <c r="D109" i="9"/>
  <c r="B110" i="9"/>
  <c r="DI6" i="10" l="1"/>
  <c r="DJ6" i="10" s="1"/>
  <c r="B114" i="10"/>
  <c r="D110" i="9"/>
  <c r="B111" i="9"/>
  <c r="C110" i="9"/>
  <c r="DI7" i="10" l="1"/>
  <c r="DI8" i="10"/>
  <c r="DI9" i="10" s="1"/>
  <c r="B115" i="10"/>
  <c r="C111" i="9"/>
  <c r="D111" i="9"/>
  <c r="B112" i="9"/>
  <c r="DJ8" i="10" l="1"/>
  <c r="DJ9" i="10" s="1"/>
  <c r="B116" i="10"/>
  <c r="DJ7" i="10"/>
  <c r="C112" i="9"/>
  <c r="D112" i="9"/>
  <c r="B113" i="9"/>
  <c r="B117" i="10" l="1"/>
  <c r="C113" i="9"/>
  <c r="D113" i="9"/>
  <c r="B114" i="9"/>
  <c r="B118" i="10" l="1"/>
  <c r="DR6" i="10"/>
  <c r="C114" i="9"/>
  <c r="D114" i="9"/>
  <c r="B115" i="9"/>
  <c r="B119" i="10" l="1"/>
  <c r="DR8" i="10"/>
  <c r="DS6" i="10"/>
  <c r="DR7" i="10"/>
  <c r="B116" i="9"/>
  <c r="C115" i="9"/>
  <c r="D115" i="9"/>
  <c r="DS7" i="10" l="1"/>
  <c r="DR10" i="10"/>
  <c r="C118" i="10" s="1"/>
  <c r="DR9" i="10"/>
  <c r="C65" i="10"/>
  <c r="C66" i="10"/>
  <c r="C67" i="10"/>
  <c r="C68" i="10"/>
  <c r="C69" i="10"/>
  <c r="C71" i="10"/>
  <c r="C72" i="10"/>
  <c r="C73" i="10"/>
  <c r="C74" i="10"/>
  <c r="C75" i="10"/>
  <c r="C76" i="10"/>
  <c r="C77" i="10"/>
  <c r="C79" i="10"/>
  <c r="C80" i="10"/>
  <c r="C81" i="10"/>
  <c r="C82" i="10"/>
  <c r="C83" i="10"/>
  <c r="C84" i="10"/>
  <c r="C85" i="10"/>
  <c r="C87" i="10"/>
  <c r="C88" i="10"/>
  <c r="C89" i="10"/>
  <c r="C90" i="10"/>
  <c r="C91" i="10"/>
  <c r="C92" i="10"/>
  <c r="C93" i="10"/>
  <c r="C95" i="10"/>
  <c r="C96" i="10"/>
  <c r="C97" i="10"/>
  <c r="C98" i="10"/>
  <c r="C99" i="10"/>
  <c r="C100" i="10"/>
  <c r="C101" i="10"/>
  <c r="C103" i="10"/>
  <c r="C104" i="10"/>
  <c r="C105" i="10"/>
  <c r="C106" i="10"/>
  <c r="C107" i="10"/>
  <c r="C108" i="10"/>
  <c r="C109" i="10"/>
  <c r="C111" i="10"/>
  <c r="C112" i="10"/>
  <c r="C113" i="10"/>
  <c r="C114" i="10"/>
  <c r="C115" i="10"/>
  <c r="C116" i="10"/>
  <c r="C117" i="10"/>
  <c r="B120" i="10"/>
  <c r="C119" i="10"/>
  <c r="DS8" i="10"/>
  <c r="C116" i="9"/>
  <c r="D116" i="9"/>
  <c r="B117" i="9"/>
  <c r="DS10" i="10" l="1"/>
  <c r="DS9" i="10"/>
  <c r="B121" i="10"/>
  <c r="C120" i="10"/>
  <c r="C110" i="10"/>
  <c r="C102" i="10"/>
  <c r="C94" i="10"/>
  <c r="C86" i="10"/>
  <c r="C78" i="10"/>
  <c r="C70" i="10"/>
  <c r="C117" i="9"/>
  <c r="D117" i="9"/>
  <c r="B118" i="9"/>
  <c r="C121" i="10" l="1"/>
  <c r="B122" i="10"/>
  <c r="D121" i="10"/>
  <c r="D70" i="10"/>
  <c r="D78" i="10"/>
  <c r="D86" i="10"/>
  <c r="D94" i="10"/>
  <c r="D102" i="10"/>
  <c r="D110" i="10"/>
  <c r="D87" i="10"/>
  <c r="D111" i="10"/>
  <c r="D118" i="10"/>
  <c r="D119" i="10"/>
  <c r="D80" i="10"/>
  <c r="D88" i="10"/>
  <c r="D104" i="10"/>
  <c r="D112" i="10"/>
  <c r="D81" i="10"/>
  <c r="D89" i="10"/>
  <c r="D113" i="10"/>
  <c r="D67" i="10"/>
  <c r="D90" i="10"/>
  <c r="D114" i="10"/>
  <c r="D66" i="10"/>
  <c r="D99" i="10"/>
  <c r="D71" i="10"/>
  <c r="D79" i="10"/>
  <c r="D95" i="10"/>
  <c r="D103" i="10"/>
  <c r="D65" i="10"/>
  <c r="D105" i="10"/>
  <c r="D82" i="10"/>
  <c r="D106" i="10"/>
  <c r="D107" i="10"/>
  <c r="D76" i="10"/>
  <c r="D92" i="10"/>
  <c r="D72" i="10"/>
  <c r="D96" i="10"/>
  <c r="D116" i="10"/>
  <c r="D73" i="10"/>
  <c r="D97" i="10"/>
  <c r="D83" i="10"/>
  <c r="D74" i="10"/>
  <c r="D98" i="10"/>
  <c r="D68" i="10"/>
  <c r="D100" i="10"/>
  <c r="D75" i="10"/>
  <c r="D91" i="10"/>
  <c r="D115" i="10"/>
  <c r="D84" i="10"/>
  <c r="D69" i="10"/>
  <c r="D77" i="10"/>
  <c r="D85" i="10"/>
  <c r="D93" i="10"/>
  <c r="D101" i="10"/>
  <c r="D109" i="10"/>
  <c r="D117" i="10"/>
  <c r="D108" i="10"/>
  <c r="D120" i="10"/>
  <c r="D118" i="9"/>
  <c r="B119" i="9"/>
  <c r="C118" i="9"/>
  <c r="D122" i="10" l="1"/>
  <c r="B123" i="10"/>
  <c r="C122" i="10"/>
  <c r="C119" i="9"/>
  <c r="D119" i="9"/>
  <c r="B120" i="9"/>
  <c r="B124" i="10" l="1"/>
  <c r="D123" i="10"/>
  <c r="C123" i="10"/>
  <c r="C120" i="9"/>
  <c r="D120" i="9"/>
  <c r="B121" i="9"/>
  <c r="D124" i="10" l="1"/>
  <c r="B125" i="10"/>
  <c r="C124" i="10"/>
  <c r="C121" i="9"/>
  <c r="D121" i="9"/>
  <c r="B122" i="9"/>
  <c r="C125" i="10" l="1"/>
  <c r="B126" i="10"/>
  <c r="D125" i="10"/>
  <c r="C122" i="9"/>
  <c r="D122" i="9"/>
  <c r="B123" i="9"/>
  <c r="D126" i="10" l="1"/>
  <c r="C126" i="10"/>
  <c r="B127" i="10"/>
  <c r="B124" i="9"/>
  <c r="C123" i="9"/>
  <c r="D123" i="9"/>
  <c r="B128" i="10" l="1"/>
  <c r="D127" i="10"/>
  <c r="C127" i="10"/>
  <c r="C124" i="9"/>
  <c r="D124" i="9"/>
  <c r="B125" i="9"/>
  <c r="C128" i="10" l="1"/>
  <c r="D128" i="10"/>
  <c r="B129" i="10"/>
  <c r="C125" i="9"/>
  <c r="D125" i="9"/>
  <c r="B126" i="9"/>
  <c r="C129" i="10" l="1"/>
  <c r="B130" i="10"/>
  <c r="D129" i="10"/>
  <c r="D126" i="9"/>
  <c r="B127" i="9"/>
  <c r="C126" i="9"/>
  <c r="D130" i="10" l="1"/>
  <c r="B131" i="10"/>
  <c r="C130" i="10"/>
  <c r="C127" i="9"/>
  <c r="D127" i="9"/>
  <c r="B128" i="9"/>
  <c r="B132" i="10" l="1"/>
  <c r="D131" i="10"/>
  <c r="C131" i="10"/>
  <c r="C128" i="9"/>
  <c r="D128" i="9"/>
  <c r="B129" i="9"/>
  <c r="B133" i="10" l="1"/>
  <c r="D132" i="10"/>
  <c r="C132" i="10"/>
  <c r="C129" i="9"/>
  <c r="D129" i="9"/>
  <c r="B130" i="9"/>
  <c r="C133" i="10" l="1"/>
  <c r="D133" i="10"/>
  <c r="B134" i="10"/>
  <c r="C130" i="9"/>
  <c r="D130" i="9"/>
  <c r="B131" i="9"/>
  <c r="D134" i="10" l="1"/>
  <c r="B135" i="10"/>
  <c r="C134" i="10"/>
  <c r="B132" i="9"/>
  <c r="C131" i="9"/>
  <c r="D131" i="9"/>
  <c r="B136" i="10" l="1"/>
  <c r="C135" i="10"/>
  <c r="D135" i="10"/>
  <c r="C132" i="9"/>
  <c r="D132" i="9"/>
  <c r="B133" i="9"/>
  <c r="B137" i="10" l="1"/>
  <c r="D136" i="10"/>
  <c r="C136" i="10"/>
  <c r="C133" i="9"/>
  <c r="D133" i="9"/>
  <c r="B134" i="9"/>
  <c r="C137" i="10" l="1"/>
  <c r="B138" i="10"/>
  <c r="D137" i="10"/>
  <c r="D134" i="9"/>
  <c r="B135" i="9"/>
  <c r="C134" i="9"/>
  <c r="D138" i="10" l="1"/>
  <c r="B139" i="10"/>
  <c r="C138" i="10"/>
  <c r="C135" i="9"/>
  <c r="D135" i="9"/>
  <c r="B136" i="9"/>
  <c r="B140" i="10" l="1"/>
  <c r="D139" i="10"/>
  <c r="C139" i="10"/>
  <c r="C136" i="9"/>
  <c r="D136" i="9"/>
  <c r="B137" i="9"/>
  <c r="D140" i="10" l="1"/>
  <c r="B141" i="10"/>
  <c r="C140" i="10"/>
  <c r="C137" i="9"/>
  <c r="D137" i="9"/>
  <c r="B138" i="9"/>
  <c r="C141" i="10" l="1"/>
  <c r="B142" i="10"/>
  <c r="D141" i="10"/>
  <c r="C138" i="9"/>
  <c r="D138" i="9"/>
  <c r="B139" i="9"/>
  <c r="D142" i="10" l="1"/>
  <c r="C142" i="10"/>
  <c r="B143" i="10"/>
  <c r="B140" i="9"/>
  <c r="C139" i="9"/>
  <c r="D139" i="9"/>
  <c r="B144" i="10" l="1"/>
  <c r="D143" i="10"/>
  <c r="C143" i="10"/>
  <c r="C140" i="9"/>
  <c r="B141" i="9"/>
  <c r="D140" i="9"/>
  <c r="C144" i="10" l="1"/>
  <c r="B145" i="10"/>
  <c r="D144" i="10"/>
  <c r="C141" i="9"/>
  <c r="D141" i="9"/>
  <c r="B142" i="9"/>
  <c r="C145" i="10" l="1"/>
  <c r="B146" i="10"/>
  <c r="D145" i="10"/>
  <c r="D142" i="9"/>
  <c r="B143" i="9"/>
  <c r="C142" i="9"/>
  <c r="D146" i="10" l="1"/>
  <c r="B147" i="10"/>
  <c r="C146" i="10"/>
  <c r="D143" i="9"/>
  <c r="B144" i="9"/>
  <c r="C143" i="9"/>
  <c r="B148" i="10" l="1"/>
  <c r="D147" i="10"/>
  <c r="C147" i="10"/>
  <c r="C144" i="9"/>
  <c r="B145" i="9"/>
  <c r="D144" i="9"/>
  <c r="B149" i="10" l="1"/>
  <c r="D148" i="10"/>
  <c r="C148" i="10"/>
  <c r="C145" i="9"/>
  <c r="D145" i="9"/>
  <c r="B146" i="9"/>
  <c r="C149" i="10" l="1"/>
  <c r="D149" i="10"/>
  <c r="B150" i="10"/>
  <c r="C146" i="9"/>
  <c r="D146" i="9"/>
  <c r="B147" i="9"/>
  <c r="D150" i="10" l="1"/>
  <c r="B151" i="10"/>
  <c r="C150" i="10"/>
  <c r="B148" i="9"/>
  <c r="D147" i="9"/>
  <c r="C147" i="9"/>
  <c r="B152" i="10" l="1"/>
  <c r="C151" i="10"/>
  <c r="D151" i="10"/>
  <c r="C148" i="9"/>
  <c r="B149" i="9"/>
  <c r="D148" i="9"/>
  <c r="B153" i="10" l="1"/>
  <c r="C152" i="10"/>
  <c r="D152" i="10"/>
  <c r="C149" i="9"/>
  <c r="D149" i="9"/>
  <c r="B150" i="9"/>
  <c r="C153" i="10" l="1"/>
  <c r="B154" i="10"/>
  <c r="D153" i="10"/>
  <c r="D150" i="9"/>
  <c r="B151" i="9"/>
  <c r="C150" i="9"/>
  <c r="D154" i="10" l="1"/>
  <c r="B155" i="10"/>
  <c r="C154" i="10"/>
  <c r="D151" i="9"/>
  <c r="B152" i="9"/>
  <c r="C151" i="9"/>
  <c r="B156" i="10" l="1"/>
  <c r="D155" i="10"/>
  <c r="C155" i="10"/>
  <c r="C152" i="9"/>
  <c r="B153" i="9"/>
  <c r="D152" i="9"/>
  <c r="D156" i="10" l="1"/>
  <c r="B157" i="10"/>
  <c r="C156" i="10"/>
  <c r="C153" i="9"/>
  <c r="D153" i="9"/>
  <c r="B154" i="9"/>
  <c r="C157" i="10" l="1"/>
  <c r="B158" i="10"/>
  <c r="D157" i="10"/>
  <c r="C154" i="9"/>
  <c r="D154" i="9"/>
  <c r="B155" i="9"/>
  <c r="D158" i="10" l="1"/>
  <c r="C158" i="10"/>
  <c r="B159" i="10"/>
  <c r="B156" i="9"/>
  <c r="D155" i="9"/>
  <c r="C155" i="9"/>
  <c r="B160" i="10" l="1"/>
  <c r="D159" i="10"/>
  <c r="C159" i="10"/>
  <c r="C156" i="9"/>
  <c r="B157" i="9"/>
  <c r="D156" i="9"/>
  <c r="C160" i="10" l="1"/>
  <c r="B161" i="10"/>
  <c r="D160" i="10"/>
  <c r="C157" i="9"/>
  <c r="D157" i="9"/>
  <c r="B158" i="9"/>
  <c r="C161" i="10" l="1"/>
  <c r="B162" i="10"/>
  <c r="D161" i="10"/>
  <c r="D158" i="9"/>
  <c r="B159" i="9"/>
  <c r="C158" i="9"/>
  <c r="D162" i="10" l="1"/>
  <c r="B163" i="10"/>
  <c r="C162" i="10"/>
  <c r="D159" i="9"/>
  <c r="B160" i="9"/>
  <c r="C159" i="9"/>
  <c r="B164" i="10" l="1"/>
  <c r="C163" i="10"/>
  <c r="D163" i="10"/>
  <c r="C160" i="9"/>
  <c r="B161" i="9"/>
  <c r="D160" i="9"/>
  <c r="C164" i="10" l="1"/>
  <c r="B165" i="10"/>
  <c r="D164" i="10"/>
  <c r="C161" i="9"/>
  <c r="D161" i="9"/>
  <c r="B162" i="9"/>
  <c r="D165" i="10" l="1"/>
  <c r="B166" i="10"/>
  <c r="C165" i="10"/>
  <c r="C162" i="9"/>
  <c r="D162" i="9"/>
  <c r="B163" i="9"/>
  <c r="B167" i="10" l="1"/>
  <c r="D166" i="10"/>
  <c r="C166" i="10"/>
  <c r="B164" i="9"/>
  <c r="D163" i="9"/>
  <c r="C163" i="9"/>
  <c r="C167" i="10" l="1"/>
  <c r="D167" i="10"/>
  <c r="B168" i="10"/>
  <c r="C164" i="9"/>
  <c r="B165" i="9"/>
  <c r="D164" i="9"/>
  <c r="B169" i="10" l="1"/>
  <c r="C168" i="10"/>
  <c r="D168" i="10"/>
  <c r="C165" i="9"/>
  <c r="D165" i="9"/>
  <c r="B166" i="9"/>
  <c r="D169" i="10" l="1"/>
  <c r="C169" i="10"/>
  <c r="B170" i="10"/>
  <c r="D166" i="9"/>
  <c r="B167" i="9"/>
  <c r="C166" i="9"/>
  <c r="B171" i="10" l="1"/>
  <c r="D170" i="10"/>
  <c r="C170" i="10"/>
  <c r="D167" i="9"/>
  <c r="B168" i="9"/>
  <c r="C167" i="9"/>
  <c r="D171" i="10" l="1"/>
  <c r="C171" i="10"/>
  <c r="B172" i="10"/>
  <c r="C168" i="9"/>
  <c r="B169" i="9"/>
  <c r="D168" i="9"/>
  <c r="C172" i="10" l="1"/>
  <c r="B173" i="10"/>
  <c r="D172" i="10"/>
  <c r="C169" i="9"/>
  <c r="D169" i="9"/>
  <c r="B170" i="9"/>
  <c r="D173" i="10" l="1"/>
  <c r="C173" i="10"/>
  <c r="B174" i="10"/>
  <c r="C170" i="9"/>
  <c r="D170" i="9"/>
  <c r="B171" i="9"/>
  <c r="C174" i="10" l="1"/>
  <c r="B175" i="10"/>
  <c r="D174" i="10"/>
  <c r="B172" i="9"/>
  <c r="D171" i="9"/>
  <c r="C171" i="9"/>
  <c r="D175" i="10" l="1"/>
  <c r="B176" i="10"/>
  <c r="C175" i="10"/>
  <c r="C172" i="9"/>
  <c r="B173" i="9"/>
  <c r="D172" i="9"/>
  <c r="B177" i="10" l="1"/>
  <c r="C176" i="10"/>
  <c r="D176" i="10"/>
  <c r="C173" i="9"/>
  <c r="D173" i="9"/>
  <c r="B174" i="9"/>
  <c r="D177" i="10" l="1"/>
  <c r="B178" i="10"/>
  <c r="C177" i="10"/>
  <c r="D174" i="9"/>
  <c r="B175" i="9"/>
  <c r="C174" i="9"/>
  <c r="B179" i="10" l="1"/>
  <c r="D178" i="10"/>
  <c r="C178" i="10"/>
  <c r="D175" i="9"/>
  <c r="B176" i="9"/>
  <c r="C175" i="9"/>
  <c r="D179" i="10" l="1"/>
  <c r="B180" i="10"/>
  <c r="C179" i="10"/>
  <c r="C176" i="9"/>
  <c r="B177" i="9"/>
  <c r="D176" i="9"/>
  <c r="C180" i="10" l="1"/>
  <c r="B181" i="10"/>
  <c r="D180" i="10"/>
  <c r="C177" i="9"/>
  <c r="D177" i="9"/>
  <c r="B178" i="9"/>
  <c r="D181" i="10" l="1"/>
  <c r="B182" i="10"/>
  <c r="C181" i="10"/>
  <c r="C178" i="9"/>
  <c r="D178" i="9"/>
  <c r="B179" i="9"/>
  <c r="C182" i="10" l="1"/>
  <c r="B183" i="10"/>
  <c r="D182" i="10"/>
  <c r="B180" i="9"/>
  <c r="D179" i="9"/>
  <c r="C179" i="9"/>
  <c r="B184" i="10" l="1"/>
  <c r="D183" i="10"/>
  <c r="C183" i="10"/>
  <c r="C180" i="9"/>
  <c r="B181" i="9"/>
  <c r="D180" i="9"/>
  <c r="B185" i="10" l="1"/>
  <c r="C184" i="10"/>
  <c r="D184" i="10"/>
  <c r="C181" i="9"/>
  <c r="D181" i="9"/>
  <c r="B182" i="9"/>
  <c r="D185" i="10" l="1"/>
  <c r="C185" i="10"/>
  <c r="B186" i="10"/>
  <c r="D182" i="9"/>
  <c r="B183" i="9"/>
  <c r="C182" i="9"/>
  <c r="B187" i="10" l="1"/>
  <c r="C186" i="10"/>
  <c r="D186" i="10"/>
  <c r="D183" i="9"/>
  <c r="B184" i="9"/>
  <c r="C183" i="9"/>
  <c r="D187" i="10" l="1"/>
  <c r="B188" i="10"/>
  <c r="C187" i="10"/>
  <c r="C184" i="9"/>
  <c r="B185" i="9"/>
  <c r="D184" i="9"/>
  <c r="C188" i="10" l="1"/>
  <c r="D188" i="10"/>
  <c r="B189" i="10"/>
  <c r="C185" i="9"/>
  <c r="D185" i="9"/>
  <c r="B186" i="9"/>
  <c r="D189" i="10" l="1"/>
  <c r="B190" i="10"/>
  <c r="C189" i="10"/>
  <c r="C186" i="9"/>
  <c r="D186" i="9"/>
  <c r="B187" i="9"/>
  <c r="C190" i="10" l="1"/>
  <c r="B191" i="10"/>
  <c r="D190" i="10"/>
  <c r="B188" i="9"/>
  <c r="D187" i="9"/>
  <c r="C187" i="9"/>
  <c r="C191" i="10" l="1"/>
  <c r="B192" i="10"/>
  <c r="D191" i="10"/>
  <c r="C188" i="9"/>
  <c r="B189" i="9"/>
  <c r="D188" i="9"/>
  <c r="B193" i="10" l="1"/>
  <c r="C192" i="10"/>
  <c r="D192" i="10"/>
  <c r="C189" i="9"/>
  <c r="D189" i="9"/>
  <c r="B190" i="9"/>
  <c r="D193" i="10" l="1"/>
  <c r="B194" i="10"/>
  <c r="C193" i="10"/>
  <c r="D190" i="9"/>
  <c r="B191" i="9"/>
  <c r="C190" i="9"/>
  <c r="B195" i="10" l="1"/>
  <c r="D194" i="10"/>
  <c r="C194" i="10"/>
  <c r="D191" i="9"/>
  <c r="B192" i="9"/>
  <c r="C191" i="9"/>
  <c r="D195" i="10" l="1"/>
  <c r="C195" i="10"/>
  <c r="B196" i="10"/>
  <c r="C192" i="9"/>
  <c r="B193" i="9"/>
  <c r="D192" i="9"/>
  <c r="C196" i="10" l="1"/>
  <c r="D196" i="10"/>
  <c r="B197" i="10"/>
  <c r="C193" i="9"/>
  <c r="D193" i="9"/>
  <c r="B194" i="9"/>
  <c r="D197" i="10" l="1"/>
  <c r="C197" i="10"/>
  <c r="B198" i="10"/>
  <c r="C194" i="9"/>
  <c r="D194" i="9"/>
  <c r="B195" i="9"/>
  <c r="C198" i="10" l="1"/>
  <c r="B199" i="10"/>
  <c r="D198" i="10"/>
  <c r="B196" i="9"/>
  <c r="D195" i="9"/>
  <c r="C195" i="9"/>
  <c r="B200" i="10" l="1"/>
  <c r="D199" i="10"/>
  <c r="C199" i="10"/>
  <c r="C196" i="9"/>
  <c r="B197" i="9"/>
  <c r="D196" i="9"/>
  <c r="B201" i="10" l="1"/>
  <c r="C200" i="10"/>
  <c r="D200" i="10"/>
  <c r="C197" i="9"/>
  <c r="D197" i="9"/>
  <c r="B198" i="9"/>
  <c r="D201" i="10" l="1"/>
  <c r="C201" i="10"/>
  <c r="B202" i="10"/>
  <c r="D198" i="9"/>
  <c r="B199" i="9"/>
  <c r="C198" i="9"/>
  <c r="B203" i="10" l="1"/>
  <c r="D202" i="10"/>
  <c r="C202" i="10"/>
  <c r="D199" i="9"/>
  <c r="B200" i="9"/>
  <c r="C199" i="9"/>
  <c r="D203" i="10" l="1"/>
  <c r="C203" i="10"/>
  <c r="B204" i="10"/>
  <c r="C200" i="9"/>
  <c r="B201" i="9"/>
  <c r="D200" i="9"/>
  <c r="C204" i="10" l="1"/>
  <c r="D204" i="10"/>
  <c r="B205" i="10"/>
  <c r="C201" i="9"/>
  <c r="D201" i="9"/>
  <c r="B202" i="9"/>
  <c r="D205" i="10" l="1"/>
  <c r="C205" i="10"/>
  <c r="B206" i="10"/>
  <c r="C202" i="9"/>
  <c r="D202" i="9"/>
  <c r="B203" i="9"/>
  <c r="C206" i="10" l="1"/>
  <c r="B207" i="10"/>
  <c r="D206" i="10"/>
  <c r="B204" i="9"/>
  <c r="D203" i="9"/>
  <c r="C203" i="9"/>
  <c r="B208" i="10" l="1"/>
  <c r="D207" i="10"/>
  <c r="C207" i="10"/>
  <c r="C204" i="9"/>
  <c r="B205" i="9"/>
  <c r="D204" i="9"/>
  <c r="B209" i="10" l="1"/>
  <c r="C208" i="10"/>
  <c r="D208" i="10"/>
  <c r="C205" i="9"/>
  <c r="D205" i="9"/>
  <c r="B206" i="9"/>
  <c r="D209" i="10" l="1"/>
  <c r="B210" i="10"/>
  <c r="C209" i="10"/>
  <c r="D206" i="9"/>
  <c r="B207" i="9"/>
  <c r="C206" i="9"/>
  <c r="B211" i="10" l="1"/>
  <c r="D210" i="10"/>
  <c r="C210" i="10"/>
  <c r="D207" i="9"/>
  <c r="B208" i="9"/>
  <c r="C207" i="9"/>
  <c r="D211" i="10" l="1"/>
  <c r="C211" i="10"/>
  <c r="B212" i="10"/>
  <c r="C208" i="9"/>
  <c r="B209" i="9"/>
  <c r="D208" i="9"/>
  <c r="C212" i="10" l="1"/>
  <c r="B213" i="10"/>
  <c r="D212" i="10"/>
  <c r="C209" i="9"/>
  <c r="D209" i="9"/>
  <c r="B210" i="9"/>
  <c r="B214" i="10" l="1"/>
  <c r="D213" i="10"/>
  <c r="C213" i="10"/>
  <c r="C210" i="9"/>
  <c r="D210" i="9"/>
  <c r="B211" i="9"/>
  <c r="D214" i="10" l="1"/>
  <c r="C214" i="10"/>
  <c r="B215" i="10"/>
  <c r="B212" i="9"/>
  <c r="D211" i="9"/>
  <c r="C211" i="9"/>
  <c r="B216" i="10" l="1"/>
  <c r="C215" i="10"/>
  <c r="D215" i="10"/>
  <c r="C212" i="9"/>
  <c r="B213" i="9"/>
  <c r="D212" i="9"/>
  <c r="B217" i="10" l="1"/>
  <c r="D216" i="10"/>
  <c r="C216" i="10"/>
  <c r="C213" i="9"/>
  <c r="D213" i="9"/>
  <c r="B214" i="9"/>
  <c r="C217" i="10" l="1"/>
  <c r="D217" i="10"/>
  <c r="B218" i="10"/>
  <c r="D214" i="9"/>
  <c r="B215" i="9"/>
  <c r="C214" i="9"/>
  <c r="B219" i="10" l="1"/>
  <c r="D218" i="10"/>
  <c r="C218" i="10"/>
  <c r="D215" i="9"/>
  <c r="B216" i="9"/>
  <c r="C215" i="9"/>
  <c r="B220" i="10" l="1"/>
  <c r="D219" i="10"/>
  <c r="C219" i="10"/>
  <c r="B217" i="9"/>
  <c r="C216" i="9"/>
  <c r="D216" i="9"/>
  <c r="C220" i="10" l="1"/>
  <c r="D220" i="10"/>
  <c r="B221" i="10"/>
  <c r="C217" i="9"/>
  <c r="D217" i="9"/>
  <c r="B218" i="9"/>
  <c r="B222" i="10" l="1"/>
  <c r="D221" i="10"/>
  <c r="C221" i="10"/>
  <c r="C218" i="9"/>
  <c r="D218" i="9"/>
  <c r="B219" i="9"/>
  <c r="D222" i="10" l="1"/>
  <c r="C222" i="10"/>
  <c r="B223" i="10"/>
  <c r="B220" i="9"/>
  <c r="D219" i="9"/>
  <c r="C219" i="9"/>
  <c r="B224" i="10" l="1"/>
  <c r="C223" i="10"/>
  <c r="D223" i="10"/>
  <c r="C220" i="9"/>
  <c r="B221" i="9"/>
  <c r="D220" i="9"/>
  <c r="B225" i="10" l="1"/>
  <c r="D224" i="10"/>
  <c r="C224" i="10"/>
  <c r="C221" i="9"/>
  <c r="D221" i="9"/>
  <c r="B222" i="9"/>
  <c r="C225" i="10" l="1"/>
  <c r="D225" i="10"/>
  <c r="B226" i="10"/>
  <c r="D222" i="9"/>
  <c r="B223" i="9"/>
  <c r="C222" i="9"/>
  <c r="B227" i="10" l="1"/>
  <c r="D226" i="10"/>
  <c r="C226" i="10"/>
  <c r="D223" i="9"/>
  <c r="B224" i="9"/>
  <c r="C223" i="9"/>
  <c r="B228" i="10" l="1"/>
  <c r="D227" i="10"/>
  <c r="C227" i="10"/>
  <c r="B225" i="9"/>
  <c r="D224" i="9"/>
  <c r="C224" i="9"/>
  <c r="C228" i="10" l="1"/>
  <c r="B229" i="10"/>
  <c r="D228" i="10"/>
  <c r="C225" i="9"/>
  <c r="D225" i="9"/>
  <c r="B226" i="9"/>
  <c r="B230" i="10" l="1"/>
  <c r="D229" i="10"/>
  <c r="C229" i="10"/>
  <c r="C226" i="9"/>
  <c r="D226" i="9"/>
  <c r="B227" i="9"/>
  <c r="D230" i="10" l="1"/>
  <c r="C230" i="10"/>
  <c r="B231" i="10"/>
  <c r="B228" i="9"/>
  <c r="D227" i="9"/>
  <c r="C227" i="9"/>
  <c r="B232" i="10" l="1"/>
  <c r="C231" i="10"/>
  <c r="D231" i="10"/>
  <c r="B229" i="9"/>
  <c r="C228" i="9"/>
  <c r="D228" i="9"/>
  <c r="B233" i="10" l="1"/>
  <c r="D232" i="10"/>
  <c r="C232" i="10"/>
  <c r="C229" i="9"/>
  <c r="D229" i="9"/>
  <c r="B230" i="9"/>
  <c r="C233" i="10" l="1"/>
  <c r="D233" i="10"/>
  <c r="B234" i="10"/>
  <c r="D230" i="9"/>
  <c r="C230" i="9"/>
  <c r="B231" i="9"/>
  <c r="B235" i="10" l="1"/>
  <c r="D234" i="10"/>
  <c r="C234" i="10"/>
  <c r="D231" i="9"/>
  <c r="B232" i="9"/>
  <c r="C231" i="9"/>
  <c r="B236" i="10" l="1"/>
  <c r="D235" i="10"/>
  <c r="C235" i="10"/>
  <c r="B233" i="9"/>
  <c r="C232" i="9"/>
  <c r="D232" i="9"/>
  <c r="C236" i="10" l="1"/>
  <c r="D236" i="10"/>
  <c r="B237" i="10"/>
  <c r="C233" i="9"/>
  <c r="D233" i="9"/>
  <c r="B234" i="9"/>
  <c r="B238" i="10" l="1"/>
  <c r="D237" i="10"/>
  <c r="C237" i="10"/>
  <c r="C234" i="9"/>
  <c r="D234" i="9"/>
  <c r="B235" i="9"/>
  <c r="D238" i="10" l="1"/>
  <c r="C238" i="10"/>
  <c r="B239" i="10"/>
  <c r="B236" i="9"/>
  <c r="D235" i="9"/>
  <c r="C235" i="9"/>
  <c r="B240" i="10" l="1"/>
  <c r="C239" i="10"/>
  <c r="D239" i="10"/>
  <c r="B237" i="9"/>
  <c r="C236" i="9"/>
  <c r="D236" i="9"/>
  <c r="B241" i="10" l="1"/>
  <c r="D240" i="10"/>
  <c r="C240" i="10"/>
  <c r="C237" i="9"/>
  <c r="D237" i="9"/>
  <c r="B238" i="9"/>
  <c r="C241" i="10" l="1"/>
  <c r="D241" i="10"/>
  <c r="B242" i="10"/>
  <c r="D238" i="9"/>
  <c r="C238" i="9"/>
  <c r="B239" i="9"/>
  <c r="B243" i="10" l="1"/>
  <c r="D242" i="10"/>
  <c r="C242" i="10"/>
  <c r="D239" i="9"/>
  <c r="B240" i="9"/>
  <c r="C239" i="9"/>
  <c r="B244" i="10" l="1"/>
  <c r="D243" i="10"/>
  <c r="C243" i="10"/>
  <c r="B241" i="9"/>
  <c r="C240" i="9"/>
  <c r="D240" i="9"/>
  <c r="C244" i="10" l="1"/>
  <c r="B245" i="10"/>
  <c r="D244" i="10"/>
  <c r="C241" i="9"/>
  <c r="D241" i="9"/>
  <c r="B242" i="9"/>
  <c r="B246" i="10" l="1"/>
  <c r="D245" i="10"/>
  <c r="C245" i="10"/>
  <c r="C242" i="9"/>
  <c r="D242" i="9"/>
  <c r="B243" i="9"/>
  <c r="D246" i="10" l="1"/>
  <c r="C246" i="10"/>
  <c r="B247" i="10"/>
  <c r="B244" i="9"/>
  <c r="D243" i="9"/>
  <c r="C243" i="9"/>
  <c r="B248" i="10" l="1"/>
  <c r="C247" i="10"/>
  <c r="D247" i="10"/>
  <c r="B245" i="9"/>
  <c r="C244" i="9"/>
  <c r="D244" i="9"/>
  <c r="B249" i="10" l="1"/>
  <c r="D248" i="10"/>
  <c r="C248" i="10"/>
  <c r="C245" i="9"/>
  <c r="D245" i="9"/>
  <c r="B246" i="9"/>
  <c r="C249" i="10" l="1"/>
  <c r="D249" i="10"/>
  <c r="B250" i="10"/>
  <c r="D246" i="9"/>
  <c r="C246" i="9"/>
  <c r="B247" i="9"/>
  <c r="B251" i="10" l="1"/>
  <c r="D250" i="10"/>
  <c r="C250" i="10"/>
  <c r="D247" i="9"/>
  <c r="B248" i="9"/>
  <c r="C247" i="9"/>
  <c r="B252" i="10" l="1"/>
  <c r="D251" i="10"/>
  <c r="C251" i="10"/>
  <c r="B249" i="9"/>
  <c r="C248" i="9"/>
  <c r="D248" i="9"/>
  <c r="B253" i="10" l="1"/>
  <c r="C252" i="10"/>
  <c r="D252" i="10"/>
  <c r="C249" i="9"/>
  <c r="D249" i="9"/>
  <c r="B250" i="9"/>
  <c r="B254" i="10" l="1"/>
  <c r="D253" i="10"/>
  <c r="C253" i="10"/>
  <c r="C250" i="9"/>
  <c r="D250" i="9"/>
  <c r="B251" i="9"/>
  <c r="D254" i="10" l="1"/>
  <c r="C254" i="10"/>
  <c r="B255" i="10"/>
  <c r="B252" i="9"/>
  <c r="D251" i="9"/>
  <c r="C251" i="9"/>
  <c r="B256" i="10" l="1"/>
  <c r="D255" i="10"/>
  <c r="C255" i="10"/>
  <c r="B253" i="9"/>
  <c r="C252" i="9"/>
  <c r="D252" i="9"/>
  <c r="B257" i="10" l="1"/>
  <c r="D256" i="10"/>
  <c r="C256" i="10"/>
  <c r="C253" i="9"/>
  <c r="D253" i="9"/>
  <c r="B254" i="9"/>
  <c r="C257" i="10" l="1"/>
  <c r="D257" i="10"/>
  <c r="B258" i="10"/>
  <c r="D254" i="9"/>
  <c r="C254" i="9"/>
  <c r="B255" i="9"/>
  <c r="B259" i="10" l="1"/>
  <c r="D258" i="10"/>
  <c r="C258" i="10"/>
  <c r="D255" i="9"/>
  <c r="B256" i="9"/>
  <c r="C255" i="9"/>
  <c r="B260" i="10" l="1"/>
  <c r="D259" i="10"/>
  <c r="C259" i="10"/>
  <c r="B257" i="9"/>
  <c r="C256" i="9"/>
  <c r="D256" i="9"/>
  <c r="B261" i="10" l="1"/>
  <c r="C260" i="10"/>
  <c r="D260" i="10"/>
  <c r="C257" i="9"/>
  <c r="D257" i="9"/>
  <c r="B258" i="9"/>
  <c r="B262" i="10" l="1"/>
  <c r="D261" i="10"/>
  <c r="C261" i="10"/>
  <c r="C258" i="9"/>
  <c r="D258" i="9"/>
  <c r="B259" i="9"/>
  <c r="D262" i="10" l="1"/>
  <c r="C262" i="10"/>
  <c r="B263" i="10"/>
  <c r="B260" i="9"/>
  <c r="D259" i="9"/>
  <c r="C259" i="9"/>
  <c r="B264" i="10" l="1"/>
  <c r="D263" i="10"/>
  <c r="C263" i="10"/>
  <c r="B261" i="9"/>
  <c r="C260" i="9"/>
  <c r="D260" i="9"/>
  <c r="B265" i="10" l="1"/>
  <c r="D264" i="10"/>
  <c r="C264" i="10"/>
  <c r="C261" i="9"/>
  <c r="D261" i="9"/>
  <c r="B262" i="9"/>
  <c r="C265" i="10" l="1"/>
  <c r="D265" i="10"/>
  <c r="B266" i="10"/>
  <c r="D262" i="9"/>
  <c r="C262" i="9"/>
  <c r="B263" i="9"/>
  <c r="B267" i="10" l="1"/>
  <c r="D266" i="10"/>
  <c r="C266" i="10"/>
  <c r="D263" i="9"/>
  <c r="B264" i="9"/>
  <c r="C263" i="9"/>
  <c r="B268" i="10" l="1"/>
  <c r="D267" i="10"/>
  <c r="C267" i="10"/>
  <c r="B265" i="9"/>
  <c r="C264" i="9"/>
  <c r="D264" i="9"/>
  <c r="B269" i="10" l="1"/>
  <c r="C268" i="10"/>
  <c r="D268" i="10"/>
  <c r="C265" i="9"/>
  <c r="D265" i="9"/>
  <c r="B266" i="9"/>
  <c r="B270" i="10" l="1"/>
  <c r="D269" i="10"/>
  <c r="C269" i="10"/>
  <c r="C266" i="9"/>
  <c r="D266" i="9"/>
  <c r="B267" i="9"/>
  <c r="D270" i="10" l="1"/>
  <c r="C270" i="10"/>
  <c r="B271" i="10"/>
  <c r="B268" i="9"/>
  <c r="D267" i="9"/>
  <c r="C267" i="9"/>
  <c r="B272" i="10" l="1"/>
  <c r="D271" i="10"/>
  <c r="C271" i="10"/>
  <c r="B269" i="9"/>
  <c r="C268" i="9"/>
  <c r="D268" i="9"/>
  <c r="B273" i="10" l="1"/>
  <c r="D272" i="10"/>
  <c r="C272" i="10"/>
  <c r="C269" i="9"/>
  <c r="D269" i="9"/>
  <c r="B270" i="9"/>
  <c r="C273" i="10" l="1"/>
  <c r="D273" i="10"/>
  <c r="B274" i="10"/>
  <c r="D270" i="9"/>
  <c r="C270" i="9"/>
  <c r="B271" i="9"/>
  <c r="B275" i="10" l="1"/>
  <c r="D274" i="10"/>
  <c r="C274" i="10"/>
  <c r="D271" i="9"/>
  <c r="B272" i="9"/>
  <c r="C271" i="9"/>
  <c r="B276" i="10" l="1"/>
  <c r="D275" i="10"/>
  <c r="C275" i="10"/>
  <c r="B273" i="9"/>
  <c r="C272" i="9"/>
  <c r="D272" i="9"/>
  <c r="B277" i="10" l="1"/>
  <c r="C276" i="10"/>
  <c r="D276" i="10"/>
  <c r="C273" i="9"/>
  <c r="D273" i="9"/>
  <c r="B274" i="9"/>
  <c r="B278" i="10" l="1"/>
  <c r="D277" i="10"/>
  <c r="C277" i="10"/>
  <c r="C274" i="9"/>
  <c r="D274" i="9"/>
  <c r="B275" i="9"/>
  <c r="D278" i="10" l="1"/>
  <c r="C278" i="10"/>
  <c r="B279" i="10"/>
  <c r="B276" i="9"/>
  <c r="D275" i="9"/>
  <c r="C275" i="9"/>
  <c r="B280" i="10" l="1"/>
  <c r="D279" i="10"/>
  <c r="C279" i="10"/>
  <c r="B277" i="9"/>
  <c r="C276" i="9"/>
  <c r="D276" i="9"/>
  <c r="B281" i="10" l="1"/>
  <c r="D280" i="10"/>
  <c r="C280" i="10"/>
  <c r="C277" i="9"/>
  <c r="D277" i="9"/>
  <c r="B278" i="9"/>
  <c r="C281" i="10" l="1"/>
  <c r="D281" i="10"/>
  <c r="B282" i="10"/>
  <c r="D278" i="9"/>
  <c r="C278" i="9"/>
  <c r="B279" i="9"/>
  <c r="B283" i="10" l="1"/>
  <c r="D282" i="10"/>
  <c r="C282" i="10"/>
  <c r="D279" i="9"/>
  <c r="B280" i="9"/>
  <c r="C279" i="9"/>
  <c r="B284" i="10" l="1"/>
  <c r="D283" i="10"/>
  <c r="C283" i="10"/>
  <c r="B281" i="9"/>
  <c r="C280" i="9"/>
  <c r="D280" i="9"/>
  <c r="B285" i="10" l="1"/>
  <c r="C284" i="10"/>
  <c r="D284" i="10"/>
  <c r="C281" i="9"/>
  <c r="D281" i="9"/>
  <c r="B282" i="9"/>
  <c r="B286" i="10" l="1"/>
  <c r="D285" i="10"/>
  <c r="C285" i="10"/>
  <c r="C282" i="9"/>
  <c r="D282" i="9"/>
  <c r="B283" i="9"/>
  <c r="D286" i="10" l="1"/>
  <c r="C286" i="10"/>
  <c r="B287" i="10"/>
  <c r="B284" i="9"/>
  <c r="D283" i="9"/>
  <c r="C283" i="9"/>
  <c r="B288" i="10" l="1"/>
  <c r="D287" i="10"/>
  <c r="C287" i="10"/>
  <c r="B285" i="9"/>
  <c r="C284" i="9"/>
  <c r="D284" i="9"/>
  <c r="B289" i="10" l="1"/>
  <c r="D288" i="10"/>
  <c r="C288" i="10"/>
  <c r="C285" i="9"/>
  <c r="D285" i="9"/>
  <c r="B286" i="9"/>
  <c r="C289" i="10" l="1"/>
  <c r="D289" i="10"/>
  <c r="B290" i="10"/>
  <c r="D286" i="9"/>
  <c r="C286" i="9"/>
  <c r="B287" i="9"/>
  <c r="B291" i="10" l="1"/>
  <c r="D290" i="10"/>
  <c r="C290" i="10"/>
  <c r="D287" i="9"/>
  <c r="B288" i="9"/>
  <c r="C287" i="9"/>
  <c r="B292" i="10" l="1"/>
  <c r="D291" i="10"/>
  <c r="C291" i="10"/>
  <c r="B289" i="9"/>
  <c r="C288" i="9"/>
  <c r="D288" i="9"/>
  <c r="B293" i="10" l="1"/>
  <c r="C292" i="10"/>
  <c r="D292" i="10"/>
  <c r="C289" i="9"/>
  <c r="D289" i="9"/>
  <c r="B290" i="9"/>
  <c r="B294" i="10" l="1"/>
  <c r="D293" i="10"/>
  <c r="C293" i="10"/>
  <c r="C290" i="9"/>
  <c r="D290" i="9"/>
  <c r="B291" i="9"/>
  <c r="D294" i="10" l="1"/>
  <c r="C294" i="10"/>
  <c r="B295" i="10"/>
  <c r="B292" i="9"/>
  <c r="D291" i="9"/>
  <c r="C291" i="9"/>
  <c r="B296" i="10" l="1"/>
  <c r="D295" i="10"/>
  <c r="C295" i="10"/>
  <c r="C292" i="9"/>
  <c r="D292" i="9"/>
  <c r="B293" i="9"/>
  <c r="B297" i="10" l="1"/>
  <c r="D296" i="10"/>
  <c r="C296" i="10"/>
  <c r="D293" i="9"/>
  <c r="B294" i="9"/>
  <c r="C293" i="9"/>
  <c r="C297" i="10" l="1"/>
  <c r="D297" i="10"/>
  <c r="B298" i="10"/>
  <c r="C294" i="9"/>
  <c r="D294" i="9"/>
  <c r="B295" i="9"/>
  <c r="B299" i="10" l="1"/>
  <c r="D298" i="10"/>
  <c r="C298" i="10"/>
  <c r="C295" i="9"/>
  <c r="D295" i="9"/>
  <c r="B296" i="9"/>
  <c r="B300" i="10" l="1"/>
  <c r="D299" i="10"/>
  <c r="C299" i="10"/>
  <c r="C296" i="9"/>
  <c r="D296" i="9"/>
  <c r="B297" i="9"/>
  <c r="B301" i="10" l="1"/>
  <c r="C300" i="10"/>
  <c r="D300" i="10"/>
  <c r="C297" i="9"/>
  <c r="D297" i="9"/>
  <c r="B298" i="9"/>
  <c r="B302" i="10" l="1"/>
  <c r="D301" i="10"/>
  <c r="C301" i="10"/>
  <c r="B299" i="9"/>
  <c r="C298" i="9"/>
  <c r="D298" i="9"/>
  <c r="D302" i="10" l="1"/>
  <c r="C302" i="10"/>
  <c r="B303" i="10"/>
  <c r="C299" i="9"/>
  <c r="D299" i="9"/>
  <c r="B300" i="9"/>
  <c r="B304" i="10" l="1"/>
  <c r="D303" i="10"/>
  <c r="C303" i="10"/>
  <c r="C300" i="9"/>
  <c r="D300" i="9"/>
  <c r="B301" i="9"/>
  <c r="B305" i="10" l="1"/>
  <c r="D304" i="10"/>
  <c r="C304" i="10"/>
  <c r="D301" i="9"/>
  <c r="B302" i="9"/>
  <c r="C301" i="9"/>
  <c r="C305" i="10" l="1"/>
  <c r="D305" i="10"/>
  <c r="B306" i="10"/>
  <c r="C302" i="9"/>
  <c r="D302" i="9"/>
  <c r="B303" i="9"/>
  <c r="B307" i="10" l="1"/>
  <c r="D306" i="10"/>
  <c r="C306" i="10"/>
  <c r="C303" i="9"/>
  <c r="D303" i="9"/>
  <c r="B304" i="9"/>
  <c r="B308" i="10" l="1"/>
  <c r="D307" i="10"/>
  <c r="C307" i="10"/>
  <c r="C304" i="9"/>
  <c r="D304" i="9"/>
  <c r="B305" i="9"/>
  <c r="B309" i="10" l="1"/>
  <c r="C308" i="10"/>
  <c r="D308" i="10"/>
  <c r="C305" i="9"/>
  <c r="D305" i="9"/>
  <c r="B306" i="9"/>
  <c r="B310" i="10" l="1"/>
  <c r="D309" i="10"/>
  <c r="C309" i="10"/>
  <c r="B307" i="9"/>
  <c r="C306" i="9"/>
  <c r="D306" i="9"/>
  <c r="C310" i="10" l="1"/>
  <c r="B311" i="10"/>
  <c r="D310" i="10"/>
  <c r="C307" i="9"/>
  <c r="D307" i="9"/>
  <c r="B308" i="9"/>
  <c r="B312" i="10" l="1"/>
  <c r="C311" i="10"/>
  <c r="D311" i="10"/>
  <c r="C308" i="9"/>
  <c r="D308" i="9"/>
  <c r="B309" i="9"/>
  <c r="D312" i="10" l="1"/>
  <c r="B313" i="10"/>
  <c r="C312" i="10"/>
  <c r="D309" i="9"/>
  <c r="B310" i="9"/>
  <c r="C309" i="9"/>
  <c r="B314" i="10" l="1"/>
  <c r="D313" i="10"/>
  <c r="C313" i="10"/>
  <c r="C310" i="9"/>
  <c r="D310" i="9"/>
  <c r="B311" i="9"/>
  <c r="C314" i="10" l="1"/>
  <c r="D314" i="10"/>
  <c r="B315" i="10"/>
  <c r="C311" i="9"/>
  <c r="D311" i="9"/>
  <c r="B312" i="9"/>
  <c r="C315" i="10" l="1"/>
  <c r="D315" i="10"/>
  <c r="B316" i="10"/>
  <c r="C312" i="9"/>
  <c r="D312" i="9"/>
  <c r="B313" i="9"/>
  <c r="D316" i="10" l="1"/>
  <c r="B317" i="10"/>
  <c r="C316" i="10"/>
  <c r="C313" i="9"/>
  <c r="D313" i="9"/>
  <c r="B314" i="9"/>
  <c r="B318" i="10" l="1"/>
  <c r="D317" i="10"/>
  <c r="C317" i="10"/>
  <c r="B315" i="9"/>
  <c r="C314" i="9"/>
  <c r="D314" i="9"/>
  <c r="C318" i="10" l="1"/>
  <c r="D318" i="10"/>
  <c r="B319" i="10"/>
  <c r="C315" i="9"/>
  <c r="D315" i="9"/>
  <c r="B316" i="9"/>
  <c r="C319" i="10" l="1"/>
  <c r="B320" i="10"/>
  <c r="D319" i="10"/>
  <c r="C316" i="9"/>
  <c r="D316" i="9"/>
  <c r="B317" i="9"/>
  <c r="D320" i="10" l="1"/>
  <c r="B321" i="10"/>
  <c r="C320" i="10"/>
  <c r="D317" i="9"/>
  <c r="B318" i="9"/>
  <c r="C317" i="9"/>
  <c r="B322" i="10" l="1"/>
  <c r="D321" i="10"/>
  <c r="C321" i="10"/>
  <c r="C318" i="9"/>
  <c r="D318" i="9"/>
  <c r="B319" i="9"/>
  <c r="D322" i="10" l="1"/>
  <c r="C322" i="10"/>
  <c r="B323" i="10"/>
  <c r="C319" i="9"/>
  <c r="D319" i="9"/>
  <c r="B320" i="9"/>
  <c r="C323" i="10" l="1"/>
  <c r="D323" i="10"/>
  <c r="B324" i="10"/>
  <c r="C320" i="9"/>
  <c r="D320" i="9"/>
  <c r="B321" i="9"/>
  <c r="D324" i="10" l="1"/>
  <c r="B325" i="10"/>
  <c r="C324" i="10"/>
  <c r="C321" i="9"/>
  <c r="D321" i="9"/>
  <c r="B322" i="9"/>
  <c r="B326" i="10" l="1"/>
  <c r="D325" i="10"/>
  <c r="C325" i="10"/>
  <c r="B323" i="9"/>
  <c r="C322" i="9"/>
  <c r="D322" i="9"/>
  <c r="C326" i="10" l="1"/>
  <c r="B327" i="10"/>
  <c r="D326" i="10"/>
  <c r="C323" i="9"/>
  <c r="D323" i="9"/>
  <c r="B324" i="9"/>
  <c r="B328" i="10" l="1"/>
  <c r="C327" i="10"/>
  <c r="D327" i="10"/>
  <c r="C324" i="9"/>
  <c r="D324" i="9"/>
  <c r="B325" i="9"/>
  <c r="D328" i="10" l="1"/>
  <c r="B329" i="10"/>
  <c r="C328" i="10"/>
  <c r="D325" i="9"/>
  <c r="B326" i="9"/>
  <c r="C325" i="9"/>
  <c r="B330" i="10" l="1"/>
  <c r="D329" i="10"/>
  <c r="C329" i="10"/>
  <c r="C326" i="9"/>
  <c r="D326" i="9"/>
  <c r="B327" i="9"/>
  <c r="D330" i="10" l="1"/>
  <c r="B331" i="10"/>
  <c r="C330" i="10"/>
  <c r="C327" i="9"/>
  <c r="D327" i="9"/>
  <c r="B328" i="9"/>
  <c r="C331" i="10" l="1"/>
  <c r="D331" i="10"/>
  <c r="B332" i="10"/>
  <c r="C328" i="9"/>
  <c r="D328" i="9"/>
  <c r="B329" i="9"/>
  <c r="D332" i="10" l="1"/>
  <c r="C332" i="10"/>
  <c r="B333" i="10"/>
  <c r="C329" i="9"/>
  <c r="D329" i="9"/>
  <c r="B330" i="9"/>
  <c r="B334" i="10" l="1"/>
  <c r="C333" i="10"/>
  <c r="D333" i="10"/>
  <c r="B331" i="9"/>
  <c r="C330" i="9"/>
  <c r="D330" i="9"/>
  <c r="C334" i="10" l="1"/>
  <c r="B335" i="10"/>
  <c r="D334" i="10"/>
  <c r="C331" i="9"/>
  <c r="D331" i="9"/>
  <c r="B332" i="9"/>
  <c r="B336" i="10" l="1"/>
  <c r="C335" i="10"/>
  <c r="D335" i="10"/>
  <c r="C332" i="9"/>
  <c r="D332" i="9"/>
  <c r="B333" i="9"/>
  <c r="D336" i="10" l="1"/>
  <c r="B337" i="10"/>
  <c r="C336" i="10"/>
  <c r="D333" i="9"/>
  <c r="B334" i="9"/>
  <c r="C333" i="9"/>
  <c r="B338" i="10" l="1"/>
  <c r="D337" i="10"/>
  <c r="C337" i="10"/>
  <c r="C334" i="9"/>
  <c r="D334" i="9"/>
  <c r="B335" i="9"/>
  <c r="D338" i="10" l="1"/>
  <c r="C338" i="10"/>
  <c r="B339" i="10"/>
  <c r="C335" i="9"/>
  <c r="D335" i="9"/>
  <c r="B336" i="9"/>
  <c r="C339" i="10" l="1"/>
  <c r="D339" i="10"/>
  <c r="B340" i="10"/>
  <c r="C336" i="9"/>
  <c r="D336" i="9"/>
  <c r="B337" i="9"/>
  <c r="D340" i="10" l="1"/>
  <c r="B341" i="10"/>
  <c r="C340" i="10"/>
  <c r="C337" i="9"/>
  <c r="D337" i="9"/>
  <c r="B338" i="9"/>
  <c r="B342" i="10" l="1"/>
  <c r="C341" i="10"/>
  <c r="D341" i="10"/>
  <c r="B339" i="9"/>
  <c r="C338" i="9"/>
  <c r="D338" i="9"/>
  <c r="C342" i="10" l="1"/>
  <c r="B343" i="10"/>
  <c r="D342" i="10"/>
  <c r="C339" i="9"/>
  <c r="D339" i="9"/>
  <c r="B340" i="9"/>
  <c r="B344" i="10" l="1"/>
  <c r="C343" i="10"/>
  <c r="D343" i="10"/>
  <c r="C340" i="9"/>
  <c r="D340" i="9"/>
  <c r="B341" i="9"/>
  <c r="D344" i="10" l="1"/>
  <c r="B345" i="10"/>
  <c r="C344" i="10"/>
  <c r="D341" i="9"/>
  <c r="B342" i="9"/>
  <c r="C341" i="9"/>
  <c r="B346" i="10" l="1"/>
  <c r="D345" i="10"/>
  <c r="C345" i="10"/>
  <c r="C342" i="9"/>
  <c r="D342" i="9"/>
  <c r="B343" i="9"/>
  <c r="D346" i="10" l="1"/>
  <c r="B347" i="10"/>
  <c r="C346" i="10"/>
  <c r="C343" i="9"/>
  <c r="D343" i="9"/>
  <c r="B344" i="9"/>
  <c r="C347" i="10" l="1"/>
  <c r="D347" i="10"/>
  <c r="B348" i="10"/>
  <c r="C344" i="9"/>
  <c r="D344" i="9"/>
  <c r="B345" i="9"/>
  <c r="D348" i="10" l="1"/>
  <c r="C348" i="10"/>
  <c r="B349" i="10"/>
  <c r="C345" i="9"/>
  <c r="D345" i="9"/>
  <c r="B346" i="9"/>
  <c r="B350" i="10" l="1"/>
  <c r="C349" i="10"/>
  <c r="D349" i="10"/>
  <c r="B347" i="9"/>
  <c r="C346" i="9"/>
  <c r="D346" i="9"/>
  <c r="C350" i="10" l="1"/>
  <c r="B351" i="10"/>
  <c r="D350" i="10"/>
  <c r="C347" i="9"/>
  <c r="D347" i="9"/>
  <c r="B348" i="9"/>
  <c r="B352" i="10" l="1"/>
  <c r="C351" i="10"/>
  <c r="D351" i="10"/>
  <c r="C348" i="9"/>
  <c r="D348" i="9"/>
  <c r="B349" i="9"/>
  <c r="D352" i="10" l="1"/>
  <c r="B353" i="10"/>
  <c r="C352" i="10"/>
  <c r="D349" i="9"/>
  <c r="B350" i="9"/>
  <c r="C349" i="9"/>
  <c r="B354" i="10" l="1"/>
  <c r="D353" i="10"/>
  <c r="C353" i="10"/>
  <c r="C350" i="9"/>
  <c r="D350" i="9"/>
  <c r="B351" i="9"/>
  <c r="D354" i="10" l="1"/>
  <c r="C354" i="10"/>
  <c r="B355" i="10"/>
  <c r="C351" i="9"/>
  <c r="D351" i="9"/>
  <c r="B352" i="9"/>
  <c r="C355" i="10" l="1"/>
  <c r="D355" i="10"/>
  <c r="B356" i="10"/>
  <c r="C352" i="9"/>
  <c r="D352" i="9"/>
  <c r="B353" i="9"/>
  <c r="D356" i="10" l="1"/>
  <c r="B357" i="10"/>
  <c r="C356" i="10"/>
  <c r="C353" i="9"/>
  <c r="D353" i="9"/>
  <c r="B354" i="9"/>
  <c r="B358" i="10" l="1"/>
  <c r="C357" i="10"/>
  <c r="D357" i="10"/>
  <c r="B355" i="9"/>
  <c r="C354" i="9"/>
  <c r="D354" i="9"/>
  <c r="C358" i="10" l="1"/>
  <c r="B359" i="10"/>
  <c r="D358" i="10"/>
  <c r="C355" i="9"/>
  <c r="D355" i="9"/>
  <c r="B356" i="9"/>
  <c r="B360" i="10" l="1"/>
  <c r="C359" i="10"/>
  <c r="D359" i="10"/>
  <c r="C356" i="9"/>
  <c r="D356" i="9"/>
  <c r="B357" i="9"/>
  <c r="D360" i="10" l="1"/>
  <c r="B361" i="10"/>
  <c r="C360" i="10"/>
  <c r="D357" i="9"/>
  <c r="B358" i="9"/>
  <c r="C357" i="9"/>
  <c r="B362" i="10" l="1"/>
  <c r="D361" i="10"/>
  <c r="C361" i="10"/>
  <c r="C358" i="9"/>
  <c r="D358" i="9"/>
  <c r="B359" i="9"/>
  <c r="D362" i="10" l="1"/>
  <c r="B363" i="10"/>
  <c r="C362" i="10"/>
  <c r="C359" i="9"/>
  <c r="D359" i="9"/>
  <c r="B360" i="9"/>
  <c r="C363" i="10" l="1"/>
  <c r="D363" i="10"/>
  <c r="B364" i="10"/>
  <c r="C360" i="9"/>
  <c r="D360" i="9"/>
  <c r="B361" i="9"/>
  <c r="D364" i="10" l="1"/>
  <c r="C364" i="10"/>
  <c r="B365" i="10"/>
  <c r="C361" i="9"/>
  <c r="D361" i="9"/>
  <c r="B362" i="9"/>
  <c r="B366" i="10" l="1"/>
  <c r="C365" i="10"/>
  <c r="D365" i="10"/>
  <c r="B363" i="9"/>
  <c r="C362" i="9"/>
  <c r="D362" i="9"/>
  <c r="C366" i="10" l="1"/>
  <c r="B367" i="10"/>
  <c r="D366" i="10"/>
  <c r="C363" i="9"/>
  <c r="D363" i="9"/>
  <c r="B364" i="9"/>
  <c r="B368" i="10" l="1"/>
  <c r="C367" i="10"/>
  <c r="D367" i="10"/>
  <c r="C364" i="9"/>
  <c r="D364" i="9"/>
  <c r="B365" i="9"/>
  <c r="D368" i="10" l="1"/>
  <c r="B369" i="10"/>
  <c r="C368" i="10"/>
  <c r="D365" i="9"/>
  <c r="B366" i="9"/>
  <c r="C365" i="9"/>
  <c r="B370" i="10" l="1"/>
  <c r="D369" i="10"/>
  <c r="C369" i="10"/>
  <c r="C366" i="9"/>
  <c r="D366" i="9"/>
  <c r="B367" i="9"/>
  <c r="D370" i="10" l="1"/>
  <c r="B371" i="10"/>
  <c r="C370" i="10"/>
  <c r="C367" i="9"/>
  <c r="D367" i="9"/>
  <c r="B368" i="9"/>
  <c r="C371" i="10" l="1"/>
  <c r="D371" i="10"/>
  <c r="B372" i="10"/>
  <c r="C368" i="9"/>
  <c r="D368" i="9"/>
  <c r="B369" i="9"/>
  <c r="D372" i="10" l="1"/>
  <c r="B373" i="10"/>
  <c r="C372" i="10"/>
  <c r="C369" i="9"/>
  <c r="D369" i="9"/>
  <c r="B370" i="9"/>
  <c r="B374" i="10" l="1"/>
  <c r="C373" i="10"/>
  <c r="D373" i="10"/>
  <c r="B371" i="9"/>
  <c r="C370" i="9"/>
  <c r="D370" i="9"/>
  <c r="C374" i="10" l="1"/>
  <c r="B375" i="10"/>
  <c r="D374" i="10"/>
  <c r="C371" i="9"/>
  <c r="D371" i="9"/>
  <c r="B372" i="9"/>
  <c r="B376" i="10" l="1"/>
  <c r="C375" i="10"/>
  <c r="D375" i="10"/>
  <c r="C372" i="9"/>
  <c r="D372" i="9"/>
  <c r="B373" i="9"/>
  <c r="D376" i="10" l="1"/>
  <c r="B377" i="10"/>
  <c r="C376" i="10"/>
  <c r="D373" i="9"/>
  <c r="B374" i="9"/>
  <c r="C373" i="9"/>
  <c r="B378" i="10" l="1"/>
  <c r="D377" i="10"/>
  <c r="C377" i="10"/>
  <c r="C374" i="9"/>
  <c r="D374" i="9"/>
  <c r="B375" i="9"/>
  <c r="D378" i="10" l="1"/>
  <c r="B379" i="10"/>
  <c r="C378" i="10"/>
  <c r="C375" i="9"/>
  <c r="D375" i="9"/>
  <c r="B376" i="9"/>
  <c r="C379" i="10" l="1"/>
  <c r="D379" i="10"/>
  <c r="B380" i="10"/>
  <c r="C376" i="9"/>
  <c r="D376" i="9"/>
  <c r="B377" i="9"/>
  <c r="D380" i="10" l="1"/>
  <c r="C380" i="10"/>
  <c r="B381" i="10"/>
  <c r="C377" i="9"/>
  <c r="D377" i="9"/>
  <c r="B378" i="9"/>
  <c r="B382" i="10" l="1"/>
  <c r="C381" i="10"/>
  <c r="D381" i="10"/>
  <c r="B379" i="9"/>
  <c r="C378" i="9"/>
  <c r="D378" i="9"/>
  <c r="C382" i="10" l="1"/>
  <c r="B383" i="10"/>
  <c r="D382" i="10"/>
  <c r="C379" i="9"/>
  <c r="D379" i="9"/>
  <c r="B380" i="9"/>
  <c r="B384" i="10" l="1"/>
  <c r="C383" i="10"/>
  <c r="D383" i="10"/>
  <c r="C380" i="9"/>
  <c r="D380" i="9"/>
  <c r="B381" i="9"/>
  <c r="D384" i="10" l="1"/>
  <c r="B385" i="10"/>
  <c r="C384" i="10"/>
  <c r="D381" i="9"/>
  <c r="B382" i="9"/>
  <c r="C381" i="9"/>
  <c r="B386" i="10" l="1"/>
  <c r="D385" i="10"/>
  <c r="C385" i="10"/>
  <c r="C382" i="9"/>
  <c r="D382" i="9"/>
  <c r="B383" i="9"/>
  <c r="D386" i="10" l="1"/>
  <c r="B387" i="10"/>
  <c r="C386" i="10"/>
  <c r="C383" i="9"/>
  <c r="D383" i="9"/>
  <c r="B384" i="9"/>
  <c r="C387" i="10" l="1"/>
  <c r="D387" i="10"/>
  <c r="B388" i="10"/>
  <c r="C384" i="9"/>
  <c r="D384" i="9"/>
  <c r="B385" i="9"/>
  <c r="D388" i="10" l="1"/>
  <c r="B389" i="10"/>
  <c r="C388" i="10"/>
  <c r="C385" i="9"/>
  <c r="D385" i="9"/>
  <c r="B386" i="9"/>
  <c r="B390" i="10" l="1"/>
  <c r="C389" i="10"/>
  <c r="D389" i="10"/>
  <c r="B387" i="9"/>
  <c r="C386" i="9"/>
  <c r="D386" i="9"/>
  <c r="C390" i="10" l="1"/>
  <c r="B391" i="10"/>
  <c r="D390" i="10"/>
  <c r="C387" i="9"/>
  <c r="D387" i="9"/>
  <c r="B388" i="9"/>
  <c r="B392" i="10" l="1"/>
  <c r="C391" i="10"/>
  <c r="D391" i="10"/>
  <c r="C388" i="9"/>
  <c r="D388" i="9"/>
  <c r="B389" i="9"/>
  <c r="D392" i="10" l="1"/>
  <c r="B393" i="10"/>
  <c r="C392" i="10"/>
  <c r="D389" i="9"/>
  <c r="B390" i="9"/>
  <c r="C389" i="9"/>
  <c r="B394" i="10" l="1"/>
  <c r="D393" i="10"/>
  <c r="C393" i="10"/>
  <c r="C390" i="9"/>
  <c r="D390" i="9"/>
  <c r="B391" i="9"/>
  <c r="B395" i="10" l="1"/>
  <c r="D394" i="10"/>
  <c r="C394" i="10"/>
  <c r="C391" i="9"/>
  <c r="D391" i="9"/>
  <c r="B392" i="9"/>
  <c r="C395" i="10" l="1"/>
  <c r="D395" i="10"/>
  <c r="B396" i="10"/>
  <c r="C392" i="9"/>
  <c r="D392" i="9"/>
  <c r="B393" i="9"/>
  <c r="D396" i="10" l="1"/>
  <c r="B397" i="10"/>
  <c r="C396" i="10"/>
  <c r="C393" i="9"/>
  <c r="D393" i="9"/>
  <c r="B394" i="9"/>
  <c r="B398" i="10" l="1"/>
  <c r="D397" i="10"/>
  <c r="C397" i="10"/>
  <c r="B395" i="9"/>
  <c r="C394" i="9"/>
  <c r="D394" i="9"/>
  <c r="C398" i="10" l="1"/>
  <c r="B399" i="10"/>
  <c r="D398" i="10"/>
  <c r="C395" i="9"/>
  <c r="D395" i="9"/>
  <c r="B396" i="9"/>
  <c r="B400" i="10" l="1"/>
  <c r="C399" i="10"/>
  <c r="D399" i="10"/>
  <c r="C396" i="9"/>
  <c r="D396" i="9"/>
  <c r="B397" i="9"/>
  <c r="D400" i="10" l="1"/>
  <c r="C400" i="10"/>
  <c r="B401" i="10"/>
  <c r="D397" i="9"/>
  <c r="B398" i="9"/>
  <c r="C397" i="9"/>
  <c r="B402" i="10" l="1"/>
  <c r="D401" i="10"/>
  <c r="C401" i="10"/>
  <c r="C398" i="9"/>
  <c r="D398" i="9"/>
  <c r="B399" i="9"/>
  <c r="B403" i="10" l="1"/>
  <c r="D402" i="10"/>
  <c r="C402" i="10"/>
  <c r="C399" i="9"/>
  <c r="D399" i="9"/>
  <c r="B400" i="9"/>
  <c r="C403" i="10" l="1"/>
  <c r="D403" i="10"/>
  <c r="B404" i="10"/>
  <c r="C400" i="9"/>
  <c r="D400" i="9"/>
  <c r="B401" i="9"/>
  <c r="D404" i="10" l="1"/>
  <c r="C404" i="10"/>
  <c r="B405" i="10"/>
  <c r="C401" i="9"/>
  <c r="D401" i="9"/>
  <c r="B402" i="9"/>
  <c r="B406" i="10" l="1"/>
  <c r="D405" i="10"/>
  <c r="C405" i="10"/>
  <c r="B403" i="9"/>
  <c r="C402" i="9"/>
  <c r="D402" i="9"/>
  <c r="C406" i="10" l="1"/>
  <c r="B407" i="10"/>
  <c r="D406" i="10"/>
  <c r="C403" i="9"/>
  <c r="D403" i="9"/>
  <c r="B404" i="9"/>
  <c r="B408" i="10" l="1"/>
  <c r="C407" i="10"/>
  <c r="D407" i="10"/>
  <c r="C404" i="9"/>
  <c r="D404" i="9"/>
  <c r="B405" i="9"/>
  <c r="D408" i="10" l="1"/>
  <c r="C408" i="10"/>
  <c r="B409" i="10"/>
  <c r="D405" i="9"/>
  <c r="B406" i="9"/>
  <c r="C405" i="9"/>
  <c r="B410" i="10" l="1"/>
  <c r="D409" i="10"/>
  <c r="C409" i="10"/>
  <c r="C406" i="9"/>
  <c r="D406" i="9"/>
  <c r="B407" i="9"/>
  <c r="B411" i="10" l="1"/>
  <c r="D410" i="10"/>
  <c r="C410" i="10"/>
  <c r="C407" i="9"/>
  <c r="D407" i="9"/>
  <c r="B408" i="9"/>
  <c r="C411" i="10" l="1"/>
  <c r="D411" i="10"/>
  <c r="B412" i="10"/>
  <c r="C408" i="9"/>
  <c r="D408" i="9"/>
  <c r="B409" i="9"/>
  <c r="D412" i="10" l="1"/>
  <c r="B413" i="10"/>
  <c r="C412" i="10"/>
  <c r="C409" i="9"/>
  <c r="D409" i="9"/>
  <c r="B410" i="9"/>
  <c r="B414" i="10" l="1"/>
  <c r="D413" i="10"/>
  <c r="C413" i="10"/>
  <c r="B411" i="9"/>
  <c r="C410" i="9"/>
  <c r="D410" i="9"/>
  <c r="C414" i="10" l="1"/>
  <c r="B415" i="10"/>
  <c r="D414" i="10"/>
  <c r="C411" i="9"/>
  <c r="D411" i="9"/>
  <c r="B412" i="9"/>
  <c r="B416" i="10" l="1"/>
  <c r="C415" i="10"/>
  <c r="D415" i="10"/>
  <c r="C412" i="9"/>
  <c r="D412" i="9"/>
  <c r="B413" i="9"/>
  <c r="D416" i="10" l="1"/>
  <c r="C416" i="10"/>
  <c r="B417" i="10"/>
  <c r="D413" i="9"/>
  <c r="B414" i="9"/>
  <c r="C413" i="9"/>
  <c r="B418" i="10" l="1"/>
  <c r="D417" i="10"/>
  <c r="C417" i="10"/>
  <c r="C414" i="9"/>
  <c r="D414" i="9"/>
  <c r="B415" i="9"/>
  <c r="B419" i="10" l="1"/>
  <c r="D418" i="10"/>
  <c r="C418" i="10"/>
  <c r="C415" i="9"/>
  <c r="D415" i="9"/>
  <c r="B416" i="9"/>
  <c r="C419" i="10" l="1"/>
  <c r="D419" i="10"/>
  <c r="B420" i="10"/>
  <c r="C416" i="9"/>
  <c r="D416" i="9"/>
  <c r="B417" i="9"/>
  <c r="D420" i="10" l="1"/>
  <c r="B421" i="10"/>
  <c r="C420" i="10"/>
  <c r="C417" i="9"/>
  <c r="D417" i="9"/>
  <c r="B418" i="9"/>
  <c r="B422" i="10" l="1"/>
  <c r="D421" i="10"/>
  <c r="C421" i="10"/>
  <c r="B419" i="9"/>
  <c r="C418" i="9"/>
  <c r="D418" i="9"/>
  <c r="C422" i="10" l="1"/>
  <c r="B423" i="10"/>
  <c r="D422" i="10"/>
  <c r="C419" i="9"/>
  <c r="D419" i="9"/>
  <c r="B420" i="9"/>
  <c r="B424" i="10" l="1"/>
  <c r="C423" i="10"/>
  <c r="D423" i="10"/>
  <c r="C420" i="9"/>
  <c r="D420" i="9"/>
  <c r="B421" i="9"/>
  <c r="D424" i="10" l="1"/>
  <c r="C424" i="10"/>
  <c r="B425" i="10"/>
  <c r="D421" i="9"/>
  <c r="B422" i="9"/>
  <c r="C421" i="9"/>
  <c r="B426" i="10" l="1"/>
  <c r="D425" i="10"/>
  <c r="C425" i="10"/>
  <c r="C422" i="9"/>
  <c r="D422" i="9"/>
  <c r="B423" i="9"/>
  <c r="B427" i="10" l="1"/>
  <c r="D426" i="10"/>
  <c r="C426" i="10"/>
  <c r="C423" i="9"/>
  <c r="D423" i="9"/>
  <c r="B424" i="9"/>
  <c r="C427" i="10" l="1"/>
  <c r="D427" i="10"/>
  <c r="B428" i="10"/>
  <c r="C424" i="9"/>
  <c r="D424" i="9"/>
  <c r="B425" i="9"/>
  <c r="D428" i="10" l="1"/>
  <c r="B429" i="10"/>
  <c r="C428" i="10"/>
  <c r="C425" i="9"/>
  <c r="D425" i="9"/>
  <c r="B426" i="9"/>
  <c r="B430" i="10" l="1"/>
  <c r="D429" i="10"/>
  <c r="C429" i="10"/>
  <c r="B427" i="9"/>
  <c r="C426" i="9"/>
  <c r="D426" i="9"/>
  <c r="C430" i="10" l="1"/>
  <c r="B431" i="10"/>
  <c r="D430" i="10"/>
  <c r="C427" i="9"/>
  <c r="D427" i="9"/>
  <c r="B428" i="9"/>
  <c r="B432" i="10" l="1"/>
  <c r="C431" i="10"/>
  <c r="D431" i="10"/>
  <c r="C428" i="9"/>
  <c r="D428" i="9"/>
  <c r="B429" i="9"/>
  <c r="D432" i="10" l="1"/>
  <c r="C432" i="10"/>
  <c r="B433" i="10"/>
  <c r="D429" i="9"/>
  <c r="B430" i="9"/>
  <c r="C429" i="9"/>
  <c r="B434" i="10" l="1"/>
  <c r="C433" i="10"/>
  <c r="D433" i="10"/>
  <c r="C430" i="9"/>
  <c r="D430" i="9"/>
  <c r="B431" i="9"/>
  <c r="B435" i="10" l="1"/>
  <c r="D434" i="10"/>
  <c r="C434" i="10"/>
  <c r="C431" i="9"/>
  <c r="D431" i="9"/>
  <c r="B432" i="9"/>
  <c r="C435" i="10" l="1"/>
  <c r="D435" i="10"/>
  <c r="B436" i="10"/>
  <c r="C432" i="9"/>
  <c r="D432" i="9"/>
  <c r="B433" i="9"/>
  <c r="D436" i="10" l="1"/>
  <c r="B437" i="10"/>
  <c r="C436" i="10"/>
  <c r="C433" i="9"/>
  <c r="D433" i="9"/>
  <c r="B434" i="9"/>
  <c r="B438" i="10" l="1"/>
  <c r="D437" i="10"/>
  <c r="C437" i="10"/>
  <c r="B435" i="9"/>
  <c r="C434" i="9"/>
  <c r="D434" i="9"/>
  <c r="C438" i="10" l="1"/>
  <c r="B439" i="10"/>
  <c r="D438" i="10"/>
  <c r="C435" i="9"/>
  <c r="D435" i="9"/>
  <c r="B436" i="9"/>
  <c r="B440" i="10" l="1"/>
  <c r="C439" i="10"/>
  <c r="D439" i="10"/>
  <c r="C436" i="9"/>
  <c r="D436" i="9"/>
  <c r="B437" i="9"/>
  <c r="D440" i="10" l="1"/>
  <c r="C440" i="10"/>
  <c r="B441" i="10"/>
  <c r="D437" i="9"/>
  <c r="B438" i="9"/>
  <c r="C437" i="9"/>
  <c r="B442" i="10" l="1"/>
  <c r="D441" i="10"/>
  <c r="C441" i="10"/>
  <c r="C438" i="9"/>
  <c r="D438" i="9"/>
  <c r="B439" i="9"/>
  <c r="B443" i="10" l="1"/>
  <c r="D442" i="10"/>
  <c r="C442" i="10"/>
  <c r="C439" i="9"/>
  <c r="D439" i="9"/>
  <c r="B440" i="9"/>
  <c r="C443" i="10" l="1"/>
  <c r="D443" i="10"/>
  <c r="B444" i="10"/>
  <c r="C440" i="9"/>
  <c r="D440" i="9"/>
  <c r="B441" i="9"/>
  <c r="D444" i="10" l="1"/>
  <c r="C444" i="10"/>
  <c r="B445" i="10"/>
  <c r="C441" i="9"/>
  <c r="D441" i="9"/>
  <c r="B442" i="9"/>
  <c r="B446" i="10" l="1"/>
  <c r="D445" i="10"/>
  <c r="C445" i="10"/>
  <c r="B443" i="9"/>
  <c r="C442" i="9"/>
  <c r="D442" i="9"/>
  <c r="B447" i="10" l="1"/>
  <c r="C446" i="10"/>
  <c r="D446" i="10"/>
  <c r="C443" i="9"/>
  <c r="D443" i="9"/>
  <c r="B444" i="9"/>
  <c r="B448" i="10" l="1"/>
  <c r="C447" i="10"/>
  <c r="D447" i="10"/>
  <c r="C444" i="9"/>
  <c r="D444" i="9"/>
  <c r="B445" i="9"/>
  <c r="D448" i="10" l="1"/>
  <c r="C448" i="10"/>
  <c r="B449" i="10"/>
  <c r="D445" i="9"/>
  <c r="B446" i="9"/>
  <c r="C445" i="9"/>
  <c r="B450" i="10" l="1"/>
  <c r="D449" i="10"/>
  <c r="C449" i="10"/>
  <c r="C446" i="9"/>
  <c r="D446" i="9"/>
  <c r="B447" i="9"/>
  <c r="B451" i="10" l="1"/>
  <c r="D450" i="10"/>
  <c r="C450" i="10"/>
  <c r="C447" i="9"/>
  <c r="D447" i="9"/>
  <c r="B448" i="9"/>
  <c r="C451" i="10" l="1"/>
  <c r="D451" i="10"/>
  <c r="B452" i="10"/>
  <c r="C448" i="9"/>
  <c r="D448" i="9"/>
  <c r="B449" i="9"/>
  <c r="D452" i="10" l="1"/>
  <c r="C452" i="10"/>
  <c r="B453" i="10"/>
  <c r="C449" i="9"/>
  <c r="D449" i="9"/>
  <c r="B450" i="9"/>
  <c r="B454" i="10" l="1"/>
  <c r="D453" i="10"/>
  <c r="C453" i="10"/>
  <c r="B451" i="9"/>
  <c r="C450" i="9"/>
  <c r="D450" i="9"/>
  <c r="B455" i="10" l="1"/>
  <c r="C454" i="10"/>
  <c r="D454" i="10"/>
  <c r="C451" i="9"/>
  <c r="B452" i="9"/>
  <c r="D451" i="9"/>
  <c r="B456" i="10" l="1"/>
  <c r="C455" i="10"/>
  <c r="D455" i="10"/>
  <c r="C452" i="9"/>
  <c r="D452" i="9"/>
  <c r="B453" i="9"/>
  <c r="D456" i="10" l="1"/>
  <c r="C456" i="10"/>
  <c r="B457" i="10"/>
  <c r="D453" i="9"/>
  <c r="B454" i="9"/>
  <c r="C453" i="9"/>
  <c r="B458" i="10" l="1"/>
  <c r="D457" i="10"/>
  <c r="C457" i="10"/>
  <c r="D454" i="9"/>
  <c r="B455" i="9"/>
  <c r="C454" i="9"/>
  <c r="B459" i="10" l="1"/>
  <c r="D458" i="10"/>
  <c r="C458" i="10"/>
  <c r="C455" i="9"/>
  <c r="D455" i="9"/>
  <c r="B456" i="9"/>
  <c r="C459" i="10" l="1"/>
  <c r="D459" i="10"/>
  <c r="B460" i="10"/>
  <c r="C456" i="9"/>
  <c r="D456" i="9"/>
  <c r="B457" i="9"/>
  <c r="D460" i="10" l="1"/>
  <c r="C460" i="10"/>
  <c r="B461" i="10"/>
  <c r="C457" i="9"/>
  <c r="D457" i="9"/>
  <c r="B458" i="9"/>
  <c r="B462" i="10" l="1"/>
  <c r="D461" i="10"/>
  <c r="C461" i="10"/>
  <c r="B459" i="9"/>
  <c r="C458" i="9"/>
  <c r="D458" i="9"/>
  <c r="B463" i="10" l="1"/>
  <c r="C462" i="10"/>
  <c r="D462" i="10"/>
  <c r="C459" i="9"/>
  <c r="B460" i="9"/>
  <c r="D459" i="9"/>
  <c r="B464" i="10" l="1"/>
  <c r="C463" i="10"/>
  <c r="D463" i="10"/>
  <c r="C460" i="9"/>
  <c r="D460" i="9"/>
  <c r="B461" i="9"/>
  <c r="D464" i="10" l="1"/>
  <c r="C464" i="10"/>
  <c r="B465" i="10"/>
  <c r="D461" i="9"/>
  <c r="B462" i="9"/>
  <c r="C461" i="9"/>
  <c r="B466" i="10" l="1"/>
  <c r="D465" i="10"/>
  <c r="C465" i="10"/>
  <c r="D462" i="9"/>
  <c r="B463" i="9"/>
  <c r="C462" i="9"/>
  <c r="B467" i="10" l="1"/>
  <c r="D466" i="10"/>
  <c r="C466" i="10"/>
  <c r="B464" i="9"/>
  <c r="D463" i="9"/>
  <c r="C463" i="9"/>
  <c r="C467" i="10" l="1"/>
  <c r="D467" i="10"/>
  <c r="B468" i="10"/>
  <c r="C464" i="9"/>
  <c r="D464" i="9"/>
  <c r="B465" i="9"/>
  <c r="D468" i="10" l="1"/>
  <c r="C468" i="10"/>
  <c r="B469" i="10"/>
  <c r="C465" i="9"/>
  <c r="D465" i="9"/>
  <c r="B466" i="9"/>
  <c r="B470" i="10" l="1"/>
  <c r="D469" i="10"/>
  <c r="C469" i="10"/>
  <c r="B467" i="9"/>
  <c r="D466" i="9"/>
  <c r="C466" i="9"/>
  <c r="B471" i="10" l="1"/>
  <c r="C470" i="10"/>
  <c r="D470" i="10"/>
  <c r="B468" i="9"/>
  <c r="D467" i="9"/>
  <c r="C467" i="9"/>
  <c r="B472" i="10" l="1"/>
  <c r="C471" i="10"/>
  <c r="D471" i="10"/>
  <c r="C468" i="9"/>
  <c r="D468" i="9"/>
  <c r="B469" i="9"/>
  <c r="D472" i="10" l="1"/>
  <c r="C472" i="10"/>
  <c r="B473" i="10"/>
  <c r="D469" i="9"/>
  <c r="C469" i="9"/>
  <c r="B470" i="9"/>
  <c r="B474" i="10" l="1"/>
  <c r="D473" i="10"/>
  <c r="C473" i="10"/>
  <c r="D470" i="9"/>
  <c r="B471" i="9"/>
  <c r="C470" i="9"/>
  <c r="B475" i="10" l="1"/>
  <c r="D474" i="10"/>
  <c r="C474" i="10"/>
  <c r="B472" i="9"/>
  <c r="C471" i="9"/>
  <c r="D471" i="9"/>
  <c r="C475" i="10" l="1"/>
  <c r="D475" i="10"/>
  <c r="B476" i="10"/>
  <c r="C472" i="9"/>
  <c r="B473" i="9"/>
  <c r="D472" i="9"/>
  <c r="D476" i="10" l="1"/>
  <c r="C476" i="10"/>
  <c r="B477" i="10"/>
  <c r="C473" i="9"/>
  <c r="D473" i="9"/>
  <c r="B474" i="9"/>
  <c r="B478" i="10" l="1"/>
  <c r="D477" i="10"/>
  <c r="C477" i="10"/>
  <c r="B475" i="9"/>
  <c r="D474" i="9"/>
  <c r="C474" i="9"/>
  <c r="B479" i="10" l="1"/>
  <c r="C478" i="10"/>
  <c r="D478" i="10"/>
  <c r="B476" i="9"/>
  <c r="C475" i="9"/>
  <c r="D475" i="9"/>
  <c r="B480" i="10" l="1"/>
  <c r="C479" i="10"/>
  <c r="D479" i="10"/>
  <c r="C476" i="9"/>
  <c r="D476" i="9"/>
  <c r="B477" i="9"/>
  <c r="D480" i="10" l="1"/>
  <c r="C480" i="10"/>
  <c r="B481" i="10"/>
  <c r="D477" i="9"/>
  <c r="C477" i="9"/>
  <c r="B478" i="9"/>
  <c r="B482" i="10" l="1"/>
  <c r="D481" i="10"/>
  <c r="C481" i="10"/>
  <c r="D478" i="9"/>
  <c r="B479" i="9"/>
  <c r="C478" i="9"/>
  <c r="B483" i="10" l="1"/>
  <c r="D482" i="10"/>
  <c r="C482" i="10"/>
  <c r="B480" i="9"/>
  <c r="C479" i="9"/>
  <c r="D479" i="9"/>
  <c r="C483" i="10" l="1"/>
  <c r="D483" i="10"/>
  <c r="B484" i="10"/>
  <c r="C480" i="9"/>
  <c r="D480" i="9"/>
  <c r="B481" i="9"/>
  <c r="D484" i="10" l="1"/>
  <c r="C484" i="10"/>
  <c r="B485" i="10"/>
  <c r="C481" i="9"/>
  <c r="D481" i="9"/>
  <c r="B482" i="9"/>
  <c r="B486" i="10" l="1"/>
  <c r="D485" i="10"/>
  <c r="C485" i="10"/>
  <c r="B483" i="9"/>
  <c r="D482" i="9"/>
  <c r="C482" i="9"/>
  <c r="B487" i="10" l="1"/>
  <c r="C486" i="10"/>
  <c r="D486" i="10"/>
  <c r="B484" i="9"/>
  <c r="D483" i="9"/>
  <c r="C483" i="9"/>
  <c r="B488" i="10" l="1"/>
  <c r="C487" i="10"/>
  <c r="D487" i="10"/>
  <c r="C484" i="9"/>
  <c r="D484" i="9"/>
  <c r="B485" i="9"/>
  <c r="D488" i="10" l="1"/>
  <c r="C488" i="10"/>
  <c r="B489" i="10"/>
  <c r="D485" i="9"/>
  <c r="C485" i="9"/>
  <c r="B486" i="9"/>
  <c r="B490" i="10" l="1"/>
  <c r="D489" i="10"/>
  <c r="C489" i="10"/>
  <c r="D486" i="9"/>
  <c r="B487" i="9"/>
  <c r="C486" i="9"/>
  <c r="B491" i="10" l="1"/>
  <c r="D490" i="10"/>
  <c r="C490" i="10"/>
  <c r="B488" i="9"/>
  <c r="C487" i="9"/>
  <c r="D487" i="9"/>
  <c r="C491" i="10" l="1"/>
  <c r="D491" i="10"/>
  <c r="B492" i="10"/>
  <c r="C488" i="9"/>
  <c r="B489" i="9"/>
  <c r="D488" i="9"/>
  <c r="D492" i="10" l="1"/>
  <c r="C492" i="10"/>
  <c r="B493" i="10"/>
  <c r="C489" i="9"/>
  <c r="D489" i="9"/>
  <c r="B490" i="9"/>
  <c r="B494" i="10" l="1"/>
  <c r="D493" i="10"/>
  <c r="C493" i="10"/>
  <c r="B491" i="9"/>
  <c r="D490" i="9"/>
  <c r="C490" i="9"/>
  <c r="B495" i="10" l="1"/>
  <c r="C494" i="10"/>
  <c r="D494" i="10"/>
  <c r="B492" i="9"/>
  <c r="C491" i="9"/>
  <c r="D491" i="9"/>
  <c r="B496" i="10" l="1"/>
  <c r="C495" i="10"/>
  <c r="D495" i="10"/>
  <c r="C492" i="9"/>
  <c r="D492" i="9"/>
  <c r="B493" i="9"/>
  <c r="D496" i="10" l="1"/>
  <c r="C496" i="10"/>
  <c r="B497" i="10"/>
  <c r="D493" i="9"/>
  <c r="C493" i="9"/>
  <c r="B494" i="9"/>
  <c r="B498" i="10" l="1"/>
  <c r="D497" i="10"/>
  <c r="C497" i="10"/>
  <c r="D494" i="9"/>
  <c r="B495" i="9"/>
  <c r="C494" i="9"/>
  <c r="B499" i="10" l="1"/>
  <c r="D498" i="10"/>
  <c r="C498" i="10"/>
  <c r="B496" i="9"/>
  <c r="C495" i="9"/>
  <c r="D495" i="9"/>
  <c r="C499" i="10" l="1"/>
  <c r="D499" i="10"/>
  <c r="B500" i="10"/>
  <c r="C496" i="9"/>
  <c r="D496" i="9"/>
  <c r="B497" i="9"/>
  <c r="D500" i="10" l="1"/>
  <c r="C500" i="10"/>
  <c r="B501" i="10"/>
  <c r="C497" i="9"/>
  <c r="D497" i="9"/>
  <c r="B498" i="9"/>
  <c r="B502" i="10" l="1"/>
  <c r="D501" i="10"/>
  <c r="C501" i="10"/>
  <c r="B499" i="9"/>
  <c r="D498" i="9"/>
  <c r="C498" i="9"/>
  <c r="B503" i="10" l="1"/>
  <c r="C502" i="10"/>
  <c r="D502" i="10"/>
  <c r="B500" i="9"/>
  <c r="D499" i="9"/>
  <c r="C499" i="9"/>
  <c r="B504" i="10" l="1"/>
  <c r="C503" i="10"/>
  <c r="D503" i="10"/>
  <c r="C500" i="9"/>
  <c r="D500" i="9"/>
  <c r="B501" i="9"/>
  <c r="D504" i="10" l="1"/>
  <c r="C504" i="10"/>
  <c r="B505" i="10"/>
  <c r="D501" i="9"/>
  <c r="C501" i="9"/>
  <c r="B502" i="9"/>
  <c r="B506" i="10" l="1"/>
  <c r="D505" i="10"/>
  <c r="C505" i="10"/>
  <c r="D502" i="9"/>
  <c r="B503" i="9"/>
  <c r="C502" i="9"/>
  <c r="B507" i="10" l="1"/>
  <c r="D506" i="10"/>
  <c r="C506" i="10"/>
  <c r="B504" i="9"/>
  <c r="C503" i="9"/>
  <c r="D503" i="9"/>
  <c r="C507" i="10" l="1"/>
  <c r="D507" i="10"/>
  <c r="B508" i="10"/>
  <c r="C504" i="9"/>
  <c r="B505" i="9"/>
  <c r="D504" i="9"/>
  <c r="D508" i="10" l="1"/>
  <c r="C508" i="10"/>
  <c r="B509" i="10"/>
  <c r="C505" i="9"/>
  <c r="D505" i="9"/>
  <c r="B506" i="9"/>
  <c r="B510" i="10" l="1"/>
  <c r="D509" i="10"/>
  <c r="C509" i="10"/>
  <c r="B507" i="9"/>
  <c r="D506" i="9"/>
  <c r="C506" i="9"/>
  <c r="B511" i="10" l="1"/>
  <c r="C510" i="10"/>
  <c r="D510" i="10"/>
  <c r="B508" i="9"/>
  <c r="C507" i="9"/>
  <c r="D507" i="9"/>
  <c r="B512" i="10" l="1"/>
  <c r="C511" i="10"/>
  <c r="D511" i="10"/>
  <c r="C508" i="9"/>
  <c r="D508" i="9"/>
  <c r="B509" i="9"/>
  <c r="D512" i="10" l="1"/>
  <c r="C512" i="10"/>
  <c r="B513" i="10"/>
  <c r="D509" i="9"/>
  <c r="C509" i="9"/>
  <c r="B510" i="9"/>
  <c r="B514" i="10" l="1"/>
  <c r="D513" i="10"/>
  <c r="C513" i="10"/>
  <c r="D510" i="9"/>
  <c r="B511" i="9"/>
  <c r="C510" i="9"/>
  <c r="B515" i="10" l="1"/>
  <c r="D514" i="10"/>
  <c r="C514" i="10"/>
  <c r="B512" i="9"/>
  <c r="C511" i="9"/>
  <c r="D511" i="9"/>
  <c r="C515" i="10" l="1"/>
  <c r="D515" i="10"/>
  <c r="B516" i="10"/>
  <c r="C512" i="9"/>
  <c r="D512" i="9"/>
  <c r="B513" i="9"/>
  <c r="B517" i="10" l="1"/>
  <c r="D516" i="10"/>
  <c r="C516" i="10"/>
  <c r="C513" i="9"/>
  <c r="D513" i="9"/>
  <c r="B514" i="9"/>
  <c r="B518" i="10" l="1"/>
  <c r="D517" i="10"/>
  <c r="C517" i="10"/>
  <c r="B515" i="9"/>
  <c r="D514" i="9"/>
  <c r="C514" i="9"/>
  <c r="B519" i="10" l="1"/>
  <c r="C518" i="10"/>
  <c r="D518" i="10"/>
  <c r="B516" i="9"/>
  <c r="D515" i="9"/>
  <c r="C515" i="9"/>
  <c r="B520" i="10" l="1"/>
  <c r="D519" i="10"/>
  <c r="C519" i="10"/>
  <c r="C516" i="9"/>
  <c r="D516" i="9"/>
  <c r="B517" i="9"/>
  <c r="D520" i="10" l="1"/>
  <c r="C520" i="10"/>
  <c r="B521" i="10"/>
  <c r="D517" i="9"/>
  <c r="C517" i="9"/>
  <c r="B518" i="9"/>
  <c r="B522" i="10" l="1"/>
  <c r="D521" i="10"/>
  <c r="C521" i="10"/>
  <c r="D518" i="9"/>
  <c r="B519" i="9"/>
  <c r="C518" i="9"/>
  <c r="B523" i="10" l="1"/>
  <c r="D522" i="10"/>
  <c r="C522" i="10"/>
  <c r="B520" i="9"/>
  <c r="C519" i="9"/>
  <c r="D519" i="9"/>
  <c r="C523" i="10" l="1"/>
  <c r="D523" i="10"/>
  <c r="B524" i="10"/>
  <c r="C520" i="9"/>
  <c r="B521" i="9"/>
  <c r="D520" i="9"/>
  <c r="B525" i="10" l="1"/>
  <c r="D524" i="10"/>
  <c r="C524" i="10"/>
  <c r="C521" i="9"/>
  <c r="D521" i="9"/>
  <c r="B522" i="9"/>
  <c r="B526" i="10" l="1"/>
  <c r="D525" i="10"/>
  <c r="C525" i="10"/>
  <c r="B523" i="9"/>
  <c r="D522" i="9"/>
  <c r="C522" i="9"/>
  <c r="B527" i="10" l="1"/>
  <c r="C526" i="10"/>
  <c r="D526" i="10"/>
  <c r="B524" i="9"/>
  <c r="C523" i="9"/>
  <c r="D523" i="9"/>
  <c r="B528" i="10" l="1"/>
  <c r="D527" i="10"/>
  <c r="C527" i="10"/>
  <c r="C524" i="9"/>
  <c r="D524" i="9"/>
  <c r="B525" i="9"/>
  <c r="D528" i="10" l="1"/>
  <c r="C528" i="10"/>
  <c r="B529" i="10"/>
  <c r="D525" i="9"/>
  <c r="C525" i="9"/>
  <c r="B526" i="9"/>
  <c r="B530" i="10" l="1"/>
  <c r="D529" i="10"/>
  <c r="C529" i="10"/>
  <c r="D526" i="9"/>
  <c r="B527" i="9"/>
  <c r="C526" i="9"/>
  <c r="B531" i="10" l="1"/>
  <c r="D530" i="10"/>
  <c r="C530" i="10"/>
  <c r="B528" i="9"/>
  <c r="C527" i="9"/>
  <c r="D527" i="9"/>
  <c r="C531" i="10" l="1"/>
  <c r="D531" i="10"/>
  <c r="B532" i="10"/>
  <c r="C528" i="9"/>
  <c r="D528" i="9"/>
  <c r="B529" i="9"/>
  <c r="B533" i="10" l="1"/>
  <c r="D532" i="10"/>
  <c r="C532" i="10"/>
  <c r="C529" i="9"/>
  <c r="D529" i="9"/>
  <c r="B530" i="9"/>
  <c r="B534" i="10" l="1"/>
  <c r="D533" i="10"/>
  <c r="C533" i="10"/>
  <c r="B531" i="9"/>
  <c r="D530" i="9"/>
  <c r="C530" i="9"/>
  <c r="B535" i="10" l="1"/>
  <c r="C534" i="10"/>
  <c r="D534" i="10"/>
  <c r="B532" i="9"/>
  <c r="D531" i="9"/>
  <c r="C531" i="9"/>
  <c r="B536" i="10" l="1"/>
  <c r="D535" i="10"/>
  <c r="C535" i="10"/>
  <c r="C532" i="9"/>
  <c r="D532" i="9"/>
  <c r="B533" i="9"/>
  <c r="D536" i="10" l="1"/>
  <c r="C536" i="10"/>
  <c r="D533" i="9"/>
  <c r="C533" i="9"/>
  <c r="B534" i="9"/>
  <c r="D534" i="9" l="1"/>
  <c r="B535" i="9"/>
  <c r="C534" i="9"/>
  <c r="B536" i="9" l="1"/>
  <c r="C535" i="9"/>
  <c r="D535" i="9"/>
  <c r="C536" i="9" l="1"/>
  <c r="D536" i="9"/>
</calcChain>
</file>

<file path=xl/comments1.xml><?xml version="1.0" encoding="utf-8"?>
<comments xmlns="http://schemas.openxmlformats.org/spreadsheetml/2006/main">
  <authors>
    <author>Rob Collins</author>
  </authors>
  <commentList>
    <comment ref="D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V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AE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AN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AW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BF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BO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BX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CG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CP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CY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DH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DQ7" authorId="0">
      <text>
        <r>
          <rPr>
            <b/>
            <sz val="9"/>
            <color indexed="81"/>
            <rFont val="Tahoma"/>
            <family val="2"/>
          </rPr>
          <t>Starting value - selects a random item from this set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V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AE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AN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AW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BF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BO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BX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CG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CP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CY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DH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  <comment ref="DQ8" authorId="0">
      <text>
        <r>
          <rPr>
            <b/>
            <sz val="9"/>
            <color indexed="81"/>
            <rFont val="Tahoma"/>
            <family val="2"/>
          </rPr>
          <t xml:space="preserve">Starting value is random 0..1, uniform distribution
</t>
        </r>
      </text>
    </comment>
  </commentList>
</comments>
</file>

<file path=xl/sharedStrings.xml><?xml version="1.0" encoding="utf-8"?>
<sst xmlns="http://schemas.openxmlformats.org/spreadsheetml/2006/main" count="250" uniqueCount="72">
  <si>
    <t>Frequency</t>
  </si>
  <si>
    <t>Weights</t>
  </si>
  <si>
    <t>Cluster</t>
  </si>
  <si>
    <t>Means</t>
  </si>
  <si>
    <t>Variance</t>
  </si>
  <si>
    <t>X</t>
  </si>
  <si>
    <t>Iteration</t>
  </si>
  <si>
    <t>Mean</t>
  </si>
  <si>
    <t>SD</t>
  </si>
  <si>
    <t>Step</t>
  </si>
  <si>
    <t>Y1</t>
  </si>
  <si>
    <t>Y2</t>
  </si>
  <si>
    <t>From</t>
  </si>
  <si>
    <t>To</t>
  </si>
  <si>
    <t>Histogram: Frequency of data occuring in each bin</t>
  </si>
  <si>
    <t>Source</t>
  </si>
  <si>
    <t>Source Data Generator</t>
  </si>
  <si>
    <t>Source Data Frozen</t>
  </si>
  <si>
    <t>Normalisation</t>
  </si>
  <si>
    <t>a</t>
  </si>
  <si>
    <t>b</t>
  </si>
  <si>
    <t>Weights in each Gaussian</t>
  </si>
  <si>
    <t>To Calculate new Mean</t>
  </si>
  <si>
    <t>To Calculate Variance</t>
  </si>
  <si>
    <t>sum(bi)</t>
  </si>
  <si>
    <t>sum(ai)</t>
  </si>
  <si>
    <t>sum(bi.xi)</t>
  </si>
  <si>
    <t>sum(ai.xi)</t>
  </si>
  <si>
    <t>sum(bi.(xi-mui)^2)</t>
  </si>
  <si>
    <t>sum(ai.(xi-mui)^2)</t>
  </si>
  <si>
    <t>stdev = sqrt(var)</t>
  </si>
  <si>
    <t>Total count</t>
  </si>
  <si>
    <t>Count</t>
  </si>
  <si>
    <t>Activity 1</t>
  </si>
  <si>
    <t>Original Data</t>
  </si>
  <si>
    <t>This data automatically updates to new random values</t>
  </si>
  <si>
    <t>Copy of data on the left. Prevents the models all changing whilst experimenting</t>
  </si>
  <si>
    <t>Model - based on addition of two Gaussians</t>
  </si>
  <si>
    <t>Gaussian 1</t>
  </si>
  <si>
    <t>Gaussian 2</t>
  </si>
  <si>
    <t>G1 + G2</t>
  </si>
  <si>
    <t>Butterfly Frequency</t>
  </si>
  <si>
    <t>Relative size of population</t>
  </si>
  <si>
    <t>G1</t>
  </si>
  <si>
    <t>G2</t>
  </si>
  <si>
    <t>Activity 2</t>
  </si>
  <si>
    <t>y</t>
  </si>
  <si>
    <t>x</t>
  </si>
  <si>
    <t>Weight</t>
  </si>
  <si>
    <t>Relative probability of point being from each Gaussian</t>
  </si>
  <si>
    <t>Y</t>
  </si>
  <si>
    <t>Updated values for next iteration</t>
  </si>
  <si>
    <t>n</t>
  </si>
  <si>
    <t>Parameter values for this iteration</t>
  </si>
  <si>
    <t>Probability of x given the distribution</t>
  </si>
  <si>
    <t>µ</t>
  </si>
  <si>
    <r>
      <t>σ</t>
    </r>
    <r>
      <rPr>
        <b/>
        <vertAlign val="superscript"/>
        <sz val="20"/>
        <color theme="1"/>
        <rFont val="Calibri"/>
        <family val="2"/>
      </rPr>
      <t>2</t>
    </r>
  </si>
  <si>
    <t>Population</t>
  </si>
  <si>
    <r>
      <rPr>
        <b/>
        <sz val="18"/>
        <color theme="1"/>
        <rFont val="Calibri"/>
        <family val="2"/>
        <scheme val="minor"/>
      </rPr>
      <t>a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
(% prob from population a)</t>
    </r>
  </si>
  <si>
    <r>
      <rPr>
        <b/>
        <sz val="18"/>
        <color theme="1"/>
        <rFont val="Calibri"/>
        <family val="2"/>
        <scheme val="minor"/>
      </rPr>
      <t>b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8"/>
        <color theme="1"/>
        <rFont val="Calibri"/>
        <family val="2"/>
        <scheme val="minor"/>
      </rPr>
      <t xml:space="preserve"> = 1-a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
(% prob from population b)</t>
    </r>
  </si>
  <si>
    <r>
      <t>a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8"/>
        <color theme="1"/>
        <rFont val="Calibri"/>
        <family val="2"/>
        <scheme val="minor"/>
      </rPr>
      <t xml:space="preserve"> . X</t>
    </r>
    <r>
      <rPr>
        <b/>
        <vertAlign val="subscript"/>
        <sz val="18"/>
        <color theme="1"/>
        <rFont val="Calibri"/>
        <family val="2"/>
        <scheme val="minor"/>
      </rPr>
      <t>i</t>
    </r>
  </si>
  <si>
    <r>
      <t>b</t>
    </r>
    <r>
      <rPr>
        <b/>
        <vertAlign val="subscript"/>
        <sz val="18"/>
        <color theme="1"/>
        <rFont val="Calibri"/>
        <family val="2"/>
        <scheme val="minor"/>
      </rPr>
      <t>i</t>
    </r>
    <r>
      <rPr>
        <b/>
        <sz val="18"/>
        <color theme="1"/>
        <rFont val="Calibri"/>
        <family val="2"/>
        <scheme val="minor"/>
      </rPr>
      <t>.X</t>
    </r>
    <r>
      <rPr>
        <b/>
        <vertAlign val="subscript"/>
        <sz val="18"/>
        <color theme="1"/>
        <rFont val="Calibri"/>
        <family val="2"/>
        <scheme val="minor"/>
      </rPr>
      <t>i</t>
    </r>
  </si>
  <si>
    <r>
      <t>a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.(X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-</t>
    </r>
    <r>
      <rPr>
        <b/>
        <sz val="14"/>
        <color theme="1"/>
        <rFont val="Calibri"/>
        <family val="2"/>
      </rPr>
      <t>µ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)</t>
    </r>
    <r>
      <rPr>
        <b/>
        <vertAlign val="superscript"/>
        <sz val="14"/>
        <color theme="1"/>
        <rFont val="Calibri"/>
        <family val="2"/>
        <scheme val="minor"/>
      </rPr>
      <t>2</t>
    </r>
  </si>
  <si>
    <r>
      <t>p(X</t>
    </r>
    <r>
      <rPr>
        <b/>
        <vertAlign val="subscript"/>
        <sz val="16"/>
        <color theme="1"/>
        <rFont val="Calibri"/>
        <family val="2"/>
        <scheme val="minor"/>
      </rPr>
      <t>i</t>
    </r>
    <r>
      <rPr>
        <b/>
        <sz val="16"/>
        <color theme="1"/>
        <rFont val="Calibri"/>
        <family val="2"/>
        <scheme val="minor"/>
      </rPr>
      <t>|a)</t>
    </r>
  </si>
  <si>
    <r>
      <t>p(X</t>
    </r>
    <r>
      <rPr>
        <b/>
        <vertAlign val="subscript"/>
        <sz val="16"/>
        <color theme="1"/>
        <rFont val="Calibri"/>
        <family val="2"/>
        <scheme val="minor"/>
      </rPr>
      <t>i</t>
    </r>
    <r>
      <rPr>
        <b/>
        <sz val="16"/>
        <color theme="1"/>
        <rFont val="Calibri"/>
        <family val="2"/>
        <scheme val="minor"/>
      </rPr>
      <t>|b)</t>
    </r>
  </si>
  <si>
    <r>
      <t>b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.(X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-</t>
    </r>
    <r>
      <rPr>
        <b/>
        <sz val="14"/>
        <color theme="1"/>
        <rFont val="Calibri"/>
        <family val="2"/>
      </rPr>
      <t>µ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)</t>
    </r>
    <r>
      <rPr>
        <b/>
        <vertAlign val="superscript"/>
        <sz val="14"/>
        <color theme="1"/>
        <rFont val="Calibri"/>
        <family val="2"/>
        <scheme val="minor"/>
      </rPr>
      <t>2</t>
    </r>
  </si>
  <si>
    <t>% prob from a</t>
  </si>
  <si>
    <t>% prob from b</t>
  </si>
  <si>
    <t>p( x | a )</t>
  </si>
  <si>
    <t>p( x | b )</t>
  </si>
  <si>
    <t>Gaussian a</t>
  </si>
  <si>
    <t>Gaussian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</si>
</sst>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0.000"/>
    <numFmt numFmtId="165" formatCode="0.0E+00"/>
    <numFmt numFmtId="166" formatCode="0.0"/>
    <numFmt numFmtId="167" formatCode="0.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28"/>
      <color rgb="FF000000"/>
      <name val="Calibri"/>
      <family val="2"/>
    </font>
    <font>
      <b/>
      <sz val="16"/>
      <color theme="1"/>
      <name val="Calibri"/>
      <family val="2"/>
    </font>
    <font>
      <b/>
      <sz val="20"/>
      <color theme="1"/>
      <name val="Calibri"/>
      <family val="2"/>
    </font>
    <font>
      <b/>
      <vertAlign val="superscript"/>
      <sz val="20"/>
      <color theme="1"/>
      <name val="Calibri"/>
      <family val="2"/>
    </font>
    <font>
      <b/>
      <vertAlign val="subscript"/>
      <sz val="14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8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vertAlign val="superscript"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6" xfId="0" applyBorder="1"/>
    <xf numFmtId="0" fontId="3" fillId="5" borderId="0" xfId="0" applyFont="1" applyFill="1" applyAlignment="1">
      <alignment horizontal="right"/>
    </xf>
    <xf numFmtId="0" fontId="1" fillId="5" borderId="0" xfId="0" applyFont="1" applyFill="1" applyAlignment="1">
      <alignment horizontal="right"/>
    </xf>
    <xf numFmtId="0" fontId="0" fillId="5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1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8" xfId="0" applyBorder="1"/>
    <xf numFmtId="0" fontId="1" fillId="0" borderId="12" xfId="0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0" fillId="6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9" fontId="0" fillId="0" borderId="13" xfId="1" applyFont="1" applyBorder="1" applyAlignment="1">
      <alignment horizontal="center"/>
    </xf>
    <xf numFmtId="9" fontId="0" fillId="0" borderId="15" xfId="1" applyFont="1" applyBorder="1" applyAlignment="1">
      <alignment horizontal="center"/>
    </xf>
    <xf numFmtId="9" fontId="0" fillId="0" borderId="12" xfId="1" applyFon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9" fontId="0" fillId="0" borderId="14" xfId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166" fontId="0" fillId="5" borderId="0" xfId="0" applyNumberFormat="1" applyFill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5" fillId="0" borderId="0" xfId="0" applyFont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0" borderId="13" xfId="1" applyNumberFormat="1" applyFont="1" applyBorder="1" applyAlignment="1">
      <alignment horizontal="center"/>
    </xf>
    <xf numFmtId="0" fontId="1" fillId="0" borderId="0" xfId="0" applyFont="1" applyAlignment="1">
      <alignment horizontal="right" vertical="center"/>
    </xf>
    <xf numFmtId="0" fontId="6" fillId="0" borderId="0" xfId="0" applyFont="1"/>
    <xf numFmtId="2" fontId="0" fillId="6" borderId="21" xfId="0" applyNumberFormat="1" applyFill="1" applyBorder="1" applyAlignment="1">
      <alignment horizontal="center" vertical="center"/>
    </xf>
    <xf numFmtId="2" fontId="0" fillId="3" borderId="21" xfId="0" applyNumberFormat="1" applyFill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23" xfId="0" applyFont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/>
    </xf>
    <xf numFmtId="9" fontId="1" fillId="0" borderId="12" xfId="1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9" fontId="1" fillId="0" borderId="13" xfId="0" applyNumberFormat="1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9" fontId="0" fillId="0" borderId="0" xfId="1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24" xfId="0" applyFont="1" applyBorder="1" applyAlignment="1">
      <alignment horizontal="right"/>
    </xf>
    <xf numFmtId="0" fontId="1" fillId="0" borderId="27" xfId="0" applyFont="1" applyBorder="1" applyAlignment="1">
      <alignment horizontal="right"/>
    </xf>
    <xf numFmtId="9" fontId="0" fillId="0" borderId="28" xfId="1" applyFont="1" applyBorder="1" applyAlignment="1">
      <alignment horizontal="center"/>
    </xf>
    <xf numFmtId="9" fontId="0" fillId="0" borderId="29" xfId="1" applyFont="1" applyBorder="1" applyAlignment="1">
      <alignment horizont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/>
    </xf>
    <xf numFmtId="166" fontId="0" fillId="0" borderId="28" xfId="0" applyNumberFormat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center"/>
    </xf>
    <xf numFmtId="2" fontId="1" fillId="4" borderId="13" xfId="0" applyNumberFormat="1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9" fontId="1" fillId="4" borderId="12" xfId="1" applyFont="1" applyFill="1" applyBorder="1" applyAlignment="1">
      <alignment horizontal="center" vertical="center"/>
    </xf>
    <xf numFmtId="9" fontId="1" fillId="4" borderId="13" xfId="0" applyNumberFormat="1" applyFont="1" applyFill="1" applyBorder="1" applyAlignment="1">
      <alignment horizontal="center" vertical="center"/>
    </xf>
    <xf numFmtId="166" fontId="1" fillId="4" borderId="23" xfId="0" applyNumberFormat="1" applyFont="1" applyFill="1" applyBorder="1" applyAlignment="1">
      <alignment horizontal="center" vertical="center"/>
    </xf>
    <xf numFmtId="166" fontId="1" fillId="4" borderId="13" xfId="0" applyNumberFormat="1" applyFont="1" applyFill="1" applyBorder="1" applyAlignment="1">
      <alignment horizontal="center" vertical="center"/>
    </xf>
    <xf numFmtId="1" fontId="1" fillId="4" borderId="12" xfId="0" applyNumberFormat="1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2" fontId="0" fillId="4" borderId="0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0" fontId="0" fillId="4" borderId="7" xfId="0" applyFill="1" applyBorder="1"/>
    <xf numFmtId="2" fontId="0" fillId="4" borderId="8" xfId="0" applyNumberFormat="1" applyFill="1" applyBorder="1" applyAlignment="1">
      <alignment horizontal="center" vertical="center"/>
    </xf>
    <xf numFmtId="2" fontId="0" fillId="4" borderId="9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0" fontId="0" fillId="4" borderId="8" xfId="0" applyFill="1" applyBorder="1"/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3" fontId="0" fillId="0" borderId="0" xfId="2" applyFont="1"/>
    <xf numFmtId="0" fontId="9" fillId="0" borderId="0" xfId="0" applyFont="1" applyAlignment="1">
      <alignment vertical="center"/>
    </xf>
    <xf numFmtId="0" fontId="6" fillId="0" borderId="2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4" xfId="0" applyFont="1" applyBorder="1" applyAlignment="1">
      <alignment horizontal="right" vertical="center"/>
    </xf>
    <xf numFmtId="166" fontId="9" fillId="0" borderId="28" xfId="0" applyNumberFormat="1" applyFont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2" fontId="9" fillId="0" borderId="25" xfId="0" applyNumberFormat="1" applyFont="1" applyBorder="1" applyAlignment="1">
      <alignment horizontal="center" vertical="center"/>
    </xf>
    <xf numFmtId="2" fontId="9" fillId="0" borderId="26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right" vertical="center"/>
    </xf>
    <xf numFmtId="9" fontId="9" fillId="0" borderId="28" xfId="1" applyFont="1" applyBorder="1" applyAlignment="1">
      <alignment horizontal="center" vertical="center"/>
    </xf>
    <xf numFmtId="9" fontId="9" fillId="0" borderId="29" xfId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0" fontId="0" fillId="0" borderId="12" xfId="0" applyBorder="1"/>
    <xf numFmtId="0" fontId="3" fillId="0" borderId="13" xfId="0" applyFont="1" applyBorder="1" applyAlignment="1">
      <alignment horizontal="center"/>
    </xf>
    <xf numFmtId="0" fontId="3" fillId="5" borderId="12" xfId="0" applyFont="1" applyFill="1" applyBorder="1" applyAlignment="1">
      <alignment horizontal="right"/>
    </xf>
    <xf numFmtId="0" fontId="0" fillId="0" borderId="13" xfId="0" applyBorder="1"/>
    <xf numFmtId="0" fontId="1" fillId="5" borderId="12" xfId="0" applyFont="1" applyFill="1" applyBorder="1" applyAlignment="1">
      <alignment horizontal="right"/>
    </xf>
    <xf numFmtId="0" fontId="0" fillId="5" borderId="13" xfId="0" applyFill="1" applyBorder="1" applyAlignment="1">
      <alignment horizontal="center"/>
    </xf>
    <xf numFmtId="164" fontId="0" fillId="5" borderId="13" xfId="0" applyNumberFormat="1" applyFill="1" applyBorder="1" applyAlignment="1">
      <alignment horizontal="center"/>
    </xf>
    <xf numFmtId="166" fontId="0" fillId="5" borderId="13" xfId="0" applyNumberForma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2" fontId="0" fillId="5" borderId="30" xfId="0" applyNumberForma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3" fillId="5" borderId="12" xfId="0" applyFont="1" applyFill="1" applyBorder="1" applyAlignment="1">
      <alignment horizontal="right" vertical="center"/>
    </xf>
    <xf numFmtId="0" fontId="1" fillId="5" borderId="12" xfId="0" applyFont="1" applyFill="1" applyBorder="1" applyAlignment="1">
      <alignment horizontal="right" vertical="center"/>
    </xf>
    <xf numFmtId="0" fontId="1" fillId="5" borderId="14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/>
    </xf>
    <xf numFmtId="0" fontId="0" fillId="5" borderId="13" xfId="0" applyFont="1" applyFill="1" applyBorder="1"/>
    <xf numFmtId="0" fontId="0" fillId="5" borderId="1" xfId="0" applyFont="1" applyFill="1" applyBorder="1" applyAlignment="1">
      <alignment horizontal="center"/>
    </xf>
    <xf numFmtId="0" fontId="0" fillId="5" borderId="13" xfId="0" applyFont="1" applyFill="1" applyBorder="1" applyAlignment="1">
      <alignment horizontal="center"/>
    </xf>
    <xf numFmtId="166" fontId="0" fillId="2" borderId="1" xfId="0" applyNumberFormat="1" applyFont="1" applyFill="1" applyBorder="1" applyAlignment="1">
      <alignment horizontal="center"/>
    </xf>
    <xf numFmtId="166" fontId="0" fillId="2" borderId="13" xfId="0" applyNumberFormat="1" applyFon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2" fontId="0" fillId="5" borderId="13" xfId="0" applyNumberFormat="1" applyFont="1" applyFill="1" applyBorder="1" applyAlignment="1">
      <alignment horizontal="center"/>
    </xf>
    <xf numFmtId="2" fontId="0" fillId="5" borderId="30" xfId="0" applyNumberFormat="1" applyFont="1" applyFill="1" applyBorder="1" applyAlignment="1">
      <alignment horizontal="center"/>
    </xf>
    <xf numFmtId="2" fontId="0" fillId="5" borderId="15" xfId="0" applyNumberFormat="1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0" borderId="0" xfId="0" applyFont="1" applyAlignment="1">
      <alignment horizontal="right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1" fillId="0" borderId="19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indent="1"/>
    </xf>
    <xf numFmtId="0" fontId="3" fillId="0" borderId="12" xfId="0" applyFont="1" applyBorder="1" applyAlignment="1">
      <alignment horizontal="right"/>
    </xf>
    <xf numFmtId="0" fontId="3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Num butterflies of wing size 'x' mm + Model</a:t>
            </a:r>
            <a:endParaRPr lang="en-GB" sz="1400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'Activity 1'!$L$4</c:f>
              <c:strCache>
                <c:ptCount val="1"/>
                <c:pt idx="0">
                  <c:v>Butterfly Frequency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'Activity 1'!$M$6:$AR$6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1'!$M$4:$AR$4</c:f>
              <c:numCache>
                <c:formatCode>General</c:formatCode>
                <c:ptCount val="32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axId val="136581888"/>
        <c:axId val="136583424"/>
      </c:barChart>
      <c:lineChart>
        <c:grouping val="standard"/>
        <c:varyColors val="0"/>
        <c:ser>
          <c:idx val="1"/>
          <c:order val="1"/>
          <c:tx>
            <c:strRef>
              <c:f>'Activity 1'!$L$13</c:f>
              <c:strCache>
                <c:ptCount val="1"/>
                <c:pt idx="0">
                  <c:v>G1 + G2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'Activity 1'!$M$13:$AR$13</c:f>
              <c:numCache>
                <c:formatCode>General</c:formatCode>
                <c:ptCount val="32"/>
                <c:pt idx="0">
                  <c:v>0.66915112882442684</c:v>
                </c:pt>
                <c:pt idx="1">
                  <c:v>5.1398867858344584E-15</c:v>
                </c:pt>
                <c:pt idx="2">
                  <c:v>5.4830327969448564E-40</c:v>
                </c:pt>
                <c:pt idx="3">
                  <c:v>8.123180183868041E-76</c:v>
                </c:pt>
                <c:pt idx="4">
                  <c:v>1.671357220897229E-122</c:v>
                </c:pt>
                <c:pt idx="5">
                  <c:v>4.7758472709744192E-180</c:v>
                </c:pt>
                <c:pt idx="6">
                  <c:v>1.8952632000464339E-248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581888"/>
        <c:axId val="136583424"/>
      </c:lineChart>
      <c:catAx>
        <c:axId val="13658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6583424"/>
        <c:crosses val="autoZero"/>
        <c:auto val="1"/>
        <c:lblAlgn val="ctr"/>
        <c:lblOffset val="100"/>
        <c:noMultiLvlLbl val="0"/>
      </c:catAx>
      <c:valAx>
        <c:axId val="13658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5818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Each model Gaussian shown separately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'Activity 1'!$L$11</c:f>
              <c:strCache>
                <c:ptCount val="1"/>
                <c:pt idx="0">
                  <c:v>Gaussian 1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'Activity 1'!$M$6:$AR$6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1'!$M$11:$AR$11</c:f>
              <c:numCache>
                <c:formatCode>General</c:formatCode>
                <c:ptCount val="32"/>
                <c:pt idx="0">
                  <c:v>0.33457556441221342</c:v>
                </c:pt>
                <c:pt idx="1">
                  <c:v>2.5699433929172292E-15</c:v>
                </c:pt>
                <c:pt idx="2">
                  <c:v>2.7415163984724282E-40</c:v>
                </c:pt>
                <c:pt idx="3">
                  <c:v>4.0615900919340205E-76</c:v>
                </c:pt>
                <c:pt idx="4">
                  <c:v>8.356786104486145E-123</c:v>
                </c:pt>
                <c:pt idx="5">
                  <c:v>2.3879236354872096E-180</c:v>
                </c:pt>
                <c:pt idx="6">
                  <c:v>9.4763160002321697E-249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'Activity 1'!$L$12</c:f>
              <c:strCache>
                <c:ptCount val="1"/>
                <c:pt idx="0">
                  <c:v>Gaussian 2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'Activity 1'!$M$6:$AR$6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1'!$M$12:$AR$12</c:f>
              <c:numCache>
                <c:formatCode>General</c:formatCode>
                <c:ptCount val="32"/>
                <c:pt idx="0">
                  <c:v>0.33457556441221342</c:v>
                </c:pt>
                <c:pt idx="1">
                  <c:v>2.5699433929172292E-15</c:v>
                </c:pt>
                <c:pt idx="2">
                  <c:v>2.7415163984724282E-40</c:v>
                </c:pt>
                <c:pt idx="3">
                  <c:v>4.0615900919340205E-76</c:v>
                </c:pt>
                <c:pt idx="4">
                  <c:v>8.356786104486145E-123</c:v>
                </c:pt>
                <c:pt idx="5">
                  <c:v>2.3879236354872096E-180</c:v>
                </c:pt>
                <c:pt idx="6">
                  <c:v>9.4763160002321697E-249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607296"/>
        <c:axId val="136591616"/>
      </c:lineChart>
      <c:catAx>
        <c:axId val="25360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6591616"/>
        <c:crosses val="autoZero"/>
        <c:auto val="1"/>
        <c:lblAlgn val="ctr"/>
        <c:lblOffset val="100"/>
        <c:noMultiLvlLbl val="0"/>
      </c:catAx>
      <c:valAx>
        <c:axId val="13659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60729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Num butterflies of wing size 'x' mm + Model</a:t>
            </a:r>
            <a:endParaRPr lang="en-GB" sz="1400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'Activity 2'!$N$4</c:f>
              <c:strCache>
                <c:ptCount val="1"/>
                <c:pt idx="0">
                  <c:v>Butterfly Frequency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2'!$O$4:$AT$4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19</c:v>
                </c:pt>
                <c:pt idx="7">
                  <c:v>48</c:v>
                </c:pt>
                <c:pt idx="8">
                  <c:v>133</c:v>
                </c:pt>
                <c:pt idx="9">
                  <c:v>192</c:v>
                </c:pt>
                <c:pt idx="10">
                  <c:v>273</c:v>
                </c:pt>
                <c:pt idx="11">
                  <c:v>278</c:v>
                </c:pt>
                <c:pt idx="12">
                  <c:v>229</c:v>
                </c:pt>
                <c:pt idx="13">
                  <c:v>129</c:v>
                </c:pt>
                <c:pt idx="14">
                  <c:v>65</c:v>
                </c:pt>
                <c:pt idx="15">
                  <c:v>50</c:v>
                </c:pt>
                <c:pt idx="16">
                  <c:v>32</c:v>
                </c:pt>
                <c:pt idx="17">
                  <c:v>30</c:v>
                </c:pt>
                <c:pt idx="18">
                  <c:v>29</c:v>
                </c:pt>
                <c:pt idx="19">
                  <c:v>52</c:v>
                </c:pt>
                <c:pt idx="20">
                  <c:v>37</c:v>
                </c:pt>
                <c:pt idx="21">
                  <c:v>54</c:v>
                </c:pt>
                <c:pt idx="22">
                  <c:v>49</c:v>
                </c:pt>
                <c:pt idx="23">
                  <c:v>47</c:v>
                </c:pt>
                <c:pt idx="24">
                  <c:v>42</c:v>
                </c:pt>
                <c:pt idx="25">
                  <c:v>26</c:v>
                </c:pt>
                <c:pt idx="26">
                  <c:v>22</c:v>
                </c:pt>
                <c:pt idx="27">
                  <c:v>19</c:v>
                </c:pt>
                <c:pt idx="28">
                  <c:v>15</c:v>
                </c:pt>
                <c:pt idx="29">
                  <c:v>4</c:v>
                </c:pt>
                <c:pt idx="30">
                  <c:v>6</c:v>
                </c:pt>
                <c:pt idx="3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axId val="136807552"/>
        <c:axId val="136809088"/>
      </c:barChart>
      <c:lineChart>
        <c:grouping val="standard"/>
        <c:varyColors val="0"/>
        <c:ser>
          <c:idx val="1"/>
          <c:order val="1"/>
          <c:tx>
            <c:strRef>
              <c:f>'Activity 2'!$N$13</c:f>
              <c:strCache>
                <c:ptCount val="1"/>
                <c:pt idx="0">
                  <c:v>G1 + G2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'Activity 2'!$O$13:$AT$13</c:f>
              <c:numCache>
                <c:formatCode>General</c:formatCode>
                <c:ptCount val="32"/>
                <c:pt idx="0">
                  <c:v>2278.1429015297531</c:v>
                </c:pt>
                <c:pt idx="1">
                  <c:v>5.7203829442899015E-5</c:v>
                </c:pt>
                <c:pt idx="2">
                  <c:v>1.9948471389865217E-23</c:v>
                </c:pt>
                <c:pt idx="3">
                  <c:v>9.6612227140284938E-53</c:v>
                </c:pt>
                <c:pt idx="4">
                  <c:v>6.4981916787555753E-93</c:v>
                </c:pt>
                <c:pt idx="5">
                  <c:v>6.0700307904713633E-144</c:v>
                </c:pt>
                <c:pt idx="6">
                  <c:v>7.8745767973978019E-206</c:v>
                </c:pt>
                <c:pt idx="7">
                  <c:v>1.4187357225924254E-278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07552"/>
        <c:axId val="136809088"/>
      </c:lineChart>
      <c:catAx>
        <c:axId val="13680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6809088"/>
        <c:crosses val="autoZero"/>
        <c:auto val="1"/>
        <c:lblAlgn val="ctr"/>
        <c:lblOffset val="100"/>
        <c:noMultiLvlLbl val="0"/>
      </c:catAx>
      <c:valAx>
        <c:axId val="13680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80755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Each model Gaussian shown separately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'Activity 2'!$N$11</c:f>
              <c:strCache>
                <c:ptCount val="1"/>
                <c:pt idx="0">
                  <c:v>Gaussian 1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2'!$O$11:$AT$11</c:f>
              <c:numCache>
                <c:formatCode>General</c:formatCode>
                <c:ptCount val="32"/>
                <c:pt idx="0">
                  <c:v>1.2727254470240599E-2</c:v>
                </c:pt>
                <c:pt idx="1">
                  <c:v>9.7760646666571391E-17</c:v>
                </c:pt>
                <c:pt idx="2">
                  <c:v>1.0428728379789118E-41</c:v>
                </c:pt>
                <c:pt idx="3">
                  <c:v>1.5450288709717013E-77</c:v>
                </c:pt>
                <c:pt idx="4">
                  <c:v>3.1789214341465293E-124</c:v>
                </c:pt>
                <c:pt idx="5">
                  <c:v>9.083661509393344E-182</c:v>
                </c:pt>
                <c:pt idx="6">
                  <c:v>3.6047906064883175E-250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'Activity 2'!$N$12</c:f>
              <c:strCache>
                <c:ptCount val="1"/>
                <c:pt idx="0">
                  <c:v>Gaussian 2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2'!$O$12:$AT$12</c:f>
              <c:numCache>
                <c:formatCode>General</c:formatCode>
                <c:ptCount val="32"/>
                <c:pt idx="0">
                  <c:v>2278.130174275283</c:v>
                </c:pt>
                <c:pt idx="1">
                  <c:v>5.7203829442801254E-5</c:v>
                </c:pt>
                <c:pt idx="2">
                  <c:v>1.9948471389865217E-23</c:v>
                </c:pt>
                <c:pt idx="3">
                  <c:v>9.6612227140284938E-53</c:v>
                </c:pt>
                <c:pt idx="4">
                  <c:v>6.4981916787555753E-93</c:v>
                </c:pt>
                <c:pt idx="5">
                  <c:v>6.0700307904713633E-144</c:v>
                </c:pt>
                <c:pt idx="6">
                  <c:v>7.8745767973978019E-206</c:v>
                </c:pt>
                <c:pt idx="7">
                  <c:v>1.4187357225924254E-278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22144"/>
        <c:axId val="136832128"/>
      </c:lineChart>
      <c:catAx>
        <c:axId val="13682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6832128"/>
        <c:crosses val="autoZero"/>
        <c:auto val="1"/>
        <c:lblAlgn val="ctr"/>
        <c:lblOffset val="100"/>
        <c:noMultiLvlLbl val="0"/>
      </c:catAx>
      <c:valAx>
        <c:axId val="13683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8221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Num butterflies of wing size 'x' mm</a:t>
            </a:r>
            <a:endParaRPr lang="en-GB" sz="1400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'Activity 2'!$N$4</c:f>
              <c:strCache>
                <c:ptCount val="1"/>
                <c:pt idx="0">
                  <c:v>Butterfly Frequency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'Activity 2'!$O$6:$AT$6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'Activity 2'!$O$4:$AT$4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19</c:v>
                </c:pt>
                <c:pt idx="7">
                  <c:v>48</c:v>
                </c:pt>
                <c:pt idx="8">
                  <c:v>133</c:v>
                </c:pt>
                <c:pt idx="9">
                  <c:v>192</c:v>
                </c:pt>
                <c:pt idx="10">
                  <c:v>273</c:v>
                </c:pt>
                <c:pt idx="11">
                  <c:v>278</c:v>
                </c:pt>
                <c:pt idx="12">
                  <c:v>229</c:v>
                </c:pt>
                <c:pt idx="13">
                  <c:v>129</c:v>
                </c:pt>
                <c:pt idx="14">
                  <c:v>65</c:v>
                </c:pt>
                <c:pt idx="15">
                  <c:v>50</c:v>
                </c:pt>
                <c:pt idx="16">
                  <c:v>32</c:v>
                </c:pt>
                <c:pt idx="17">
                  <c:v>30</c:v>
                </c:pt>
                <c:pt idx="18">
                  <c:v>29</c:v>
                </c:pt>
                <c:pt idx="19">
                  <c:v>52</c:v>
                </c:pt>
                <c:pt idx="20">
                  <c:v>37</c:v>
                </c:pt>
                <c:pt idx="21">
                  <c:v>54</c:v>
                </c:pt>
                <c:pt idx="22">
                  <c:v>49</c:v>
                </c:pt>
                <c:pt idx="23">
                  <c:v>47</c:v>
                </c:pt>
                <c:pt idx="24">
                  <c:v>42</c:v>
                </c:pt>
                <c:pt idx="25">
                  <c:v>26</c:v>
                </c:pt>
                <c:pt idx="26">
                  <c:v>22</c:v>
                </c:pt>
                <c:pt idx="27">
                  <c:v>19</c:v>
                </c:pt>
                <c:pt idx="28">
                  <c:v>15</c:v>
                </c:pt>
                <c:pt idx="29">
                  <c:v>4</c:v>
                </c:pt>
                <c:pt idx="30">
                  <c:v>6</c:v>
                </c:pt>
                <c:pt idx="3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axId val="137905280"/>
        <c:axId val="137906816"/>
      </c:barChart>
      <c:catAx>
        <c:axId val="13790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7906816"/>
        <c:crosses val="autoZero"/>
        <c:auto val="1"/>
        <c:lblAlgn val="ctr"/>
        <c:lblOffset val="100"/>
        <c:noMultiLvlLbl val="0"/>
      </c:catAx>
      <c:valAx>
        <c:axId val="13790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052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Graph 2 : Data overlayed with 2 </a:t>
            </a:r>
            <a:br>
              <a:rPr lang="en-US" sz="1400"/>
            </a:br>
            <a:r>
              <a:rPr lang="en-US" sz="1400"/>
              <a:t>hypothesised Gaussians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'Activity 3'!$B$3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xVal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xVal>
          <c:yVal>
            <c:numRef>
              <c:f>'Activity 3'!$A$4:$A$16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'Activity 3'!$C$64</c:f>
              <c:strCache>
                <c:ptCount val="1"/>
                <c:pt idx="0">
                  <c:v>a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'Activity 3'!$B$65:$B$536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'Activity 3'!$C$65:$C$536</c:f>
              <c:numCache>
                <c:formatCode>0.00</c:formatCode>
                <c:ptCount val="472"/>
                <c:pt idx="0">
                  <c:v>5.3990966513188052E-3</c:v>
                </c:pt>
                <c:pt idx="1">
                  <c:v>1.2951759566589168E-2</c:v>
                </c:pt>
                <c:pt idx="2">
                  <c:v>2.4197072451914336E-2</c:v>
                </c:pt>
                <c:pt idx="3">
                  <c:v>3.5206532676429952E-2</c:v>
                </c:pt>
                <c:pt idx="4">
                  <c:v>3.9894228040143268E-2</c:v>
                </c:pt>
                <c:pt idx="5">
                  <c:v>3.5206532676429952E-2</c:v>
                </c:pt>
                <c:pt idx="6">
                  <c:v>2.4197072451914336E-2</c:v>
                </c:pt>
                <c:pt idx="7">
                  <c:v>1.2951759566589184E-2</c:v>
                </c:pt>
                <c:pt idx="8">
                  <c:v>5.3990966513188096E-3</c:v>
                </c:pt>
                <c:pt idx="9">
                  <c:v>1.7528300493568577E-3</c:v>
                </c:pt>
                <c:pt idx="10">
                  <c:v>4.431848411938019E-4</c:v>
                </c:pt>
                <c:pt idx="11">
                  <c:v>8.7268269504576308E-5</c:v>
                </c:pt>
                <c:pt idx="12">
                  <c:v>1.3383022576488561E-5</c:v>
                </c:pt>
                <c:pt idx="13">
                  <c:v>1.5983741106905473E-6</c:v>
                </c:pt>
                <c:pt idx="14">
                  <c:v>1.4867195147342977E-7</c:v>
                </c:pt>
                <c:pt idx="15">
                  <c:v>1.0769760042543273E-8</c:v>
                </c:pt>
                <c:pt idx="16">
                  <c:v>6.0758828498232427E-10</c:v>
                </c:pt>
                <c:pt idx="17">
                  <c:v>2.6695566147628328E-11</c:v>
                </c:pt>
                <c:pt idx="18">
                  <c:v>9.1347204083644644E-13</c:v>
                </c:pt>
                <c:pt idx="19">
                  <c:v>2.4343205330289757E-14</c:v>
                </c:pt>
                <c:pt idx="20">
                  <c:v>5.0522710835368206E-16</c:v>
                </c:pt>
                <c:pt idx="21">
                  <c:v>8.166235631669434E-18</c:v>
                </c:pt>
                <c:pt idx="22">
                  <c:v>1.0279773571668625E-19</c:v>
                </c:pt>
                <c:pt idx="23">
                  <c:v>1.0077935394299654E-21</c:v>
                </c:pt>
                <c:pt idx="24">
                  <c:v>7.6945986267061475E-24</c:v>
                </c:pt>
                <c:pt idx="25">
                  <c:v>4.5753755905206431E-26</c:v>
                </c:pt>
                <c:pt idx="26">
                  <c:v>2.1188192535092331E-28</c:v>
                </c:pt>
                <c:pt idx="27">
                  <c:v>7.6416554115867693E-31</c:v>
                </c:pt>
                <c:pt idx="28">
                  <c:v>2.1463837356629381E-33</c:v>
                </c:pt>
                <c:pt idx="29">
                  <c:v>4.6951953579748127E-36</c:v>
                </c:pt>
                <c:pt idx="30">
                  <c:v>7.9988277570061288E-39</c:v>
                </c:pt>
                <c:pt idx="31">
                  <c:v>1.0612688139151105E-41</c:v>
                </c:pt>
                <c:pt idx="32">
                  <c:v>1.0966065593888623E-44</c:v>
                </c:pt>
                <c:pt idx="33">
                  <c:v>8.824754974593946E-48</c:v>
                </c:pt>
                <c:pt idx="34">
                  <c:v>5.5307095498437097E-51</c:v>
                </c:pt>
                <c:pt idx="35">
                  <c:v>2.6995130245882037E-54</c:v>
                </c:pt>
                <c:pt idx="36">
                  <c:v>1.0261630727917868E-57</c:v>
                </c:pt>
                <c:pt idx="37">
                  <c:v>3.0379016987894049E-61</c:v>
                </c:pt>
                <c:pt idx="38">
                  <c:v>7.0041821343173865E-65</c:v>
                </c:pt>
                <c:pt idx="39">
                  <c:v>1.2576723828779434E-68</c:v>
                </c:pt>
                <c:pt idx="40">
                  <c:v>1.7587495425949039E-72</c:v>
                </c:pt>
                <c:pt idx="41">
                  <c:v>1.9154324916716635E-76</c:v>
                </c:pt>
                <c:pt idx="42">
                  <c:v>1.6246360367735157E-80</c:v>
                </c:pt>
                <c:pt idx="43">
                  <c:v>1.0731778340682044E-84</c:v>
                </c:pt>
                <c:pt idx="44">
                  <c:v>5.5209483621597638E-89</c:v>
                </c:pt>
                <c:pt idx="45">
                  <c:v>2.2119843802107591E-93</c:v>
                </c:pt>
                <c:pt idx="46">
                  <c:v>6.9020294201278081E-98</c:v>
                </c:pt>
                <c:pt idx="47">
                  <c:v>1.6772505228546299E-102</c:v>
                </c:pt>
                <c:pt idx="48">
                  <c:v>3.1742815528258038E-107</c:v>
                </c:pt>
                <c:pt idx="49">
                  <c:v>4.6786368172511111E-112</c:v>
                </c:pt>
                <c:pt idx="50">
                  <c:v>5.3705603650218124E-117</c:v>
                </c:pt>
                <c:pt idx="51">
                  <c:v>4.8011607859085186E-122</c:v>
                </c:pt>
                <c:pt idx="52">
                  <c:v>3.3427144417955979E-127</c:v>
                </c:pt>
                <c:pt idx="53">
                  <c:v>1.8125027935523492E-132</c:v>
                </c:pt>
                <c:pt idx="54">
                  <c:v>7.6539297364228729E-138</c:v>
                </c:pt>
                <c:pt idx="55">
                  <c:v>2.5171937051948359E-143</c:v>
                </c:pt>
                <c:pt idx="56">
                  <c:v>6.4472599714015175E-149</c:v>
                </c:pt>
                <c:pt idx="57">
                  <c:v>1.2860566740722464E-154</c:v>
                </c:pt>
                <c:pt idx="58">
                  <c:v>1.9978892591696423E-160</c:v>
                </c:pt>
                <c:pt idx="59">
                  <c:v>2.4171805786214738E-166</c:v>
                </c:pt>
                <c:pt idx="60">
                  <c:v>2.2775774787384735E-172</c:v>
                </c:pt>
                <c:pt idx="61">
                  <c:v>1.6713353651315999E-178</c:v>
                </c:pt>
                <c:pt idx="62">
                  <c:v>9.5516945419575255E-185</c:v>
                </c:pt>
                <c:pt idx="63">
                  <c:v>4.2513183535319006E-191</c:v>
                </c:pt>
                <c:pt idx="64">
                  <c:v>1.4736461348801389E-197</c:v>
                </c:pt>
                <c:pt idx="65">
                  <c:v>3.9782234272868692E-204</c:v>
                </c:pt>
                <c:pt idx="66">
                  <c:v>8.3639516058664453E-211</c:v>
                </c:pt>
                <c:pt idx="67">
                  <c:v>1.3694943080816356E-217</c:v>
                </c:pt>
                <c:pt idx="68">
                  <c:v>1.7463662567611591E-224</c:v>
                </c:pt>
                <c:pt idx="69">
                  <c:v>1.7343502636091959E-231</c:v>
                </c:pt>
                <c:pt idx="70">
                  <c:v>1.341419667351571E-238</c:v>
                </c:pt>
                <c:pt idx="71">
                  <c:v>8.0801404138862263E-246</c:v>
                </c:pt>
                <c:pt idx="72">
                  <c:v>3.7905264000993322E-253</c:v>
                </c:pt>
                <c:pt idx="73">
                  <c:v>1.3848620783406122E-260</c:v>
                </c:pt>
                <c:pt idx="74">
                  <c:v>3.9403962771440879E-268</c:v>
                </c:pt>
                <c:pt idx="75">
                  <c:v>8.7317171006383807E-276</c:v>
                </c:pt>
                <c:pt idx="76">
                  <c:v>1.5069047176234782E-283</c:v>
                </c:pt>
                <c:pt idx="77">
                  <c:v>2.0253417162165813E-291</c:v>
                </c:pt>
                <c:pt idx="78">
                  <c:v>2.1200065515296671E-299</c:v>
                </c:pt>
                <c:pt idx="79">
                  <c:v>1.7282337322882313E-307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'Activity 3'!$D$64</c:f>
              <c:strCache>
                <c:ptCount val="1"/>
                <c:pt idx="0">
                  <c:v>b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'Activity 3'!$B$65:$B$536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'Activity 3'!$D$65:$D$536</c:f>
              <c:numCache>
                <c:formatCode>0.00</c:formatCode>
                <c:ptCount val="472"/>
                <c:pt idx="0">
                  <c:v>0.72917487780058021</c:v>
                </c:pt>
                <c:pt idx="1">
                  <c:v>0.75514787461183763</c:v>
                </c:pt>
                <c:pt idx="2">
                  <c:v>0.77426453407140261</c:v>
                </c:pt>
                <c:pt idx="3">
                  <c:v>0.78596604400448333</c:v>
                </c:pt>
                <c:pt idx="4">
                  <c:v>0.78990571519483677</c:v>
                </c:pt>
                <c:pt idx="5">
                  <c:v>0.78596604400448333</c:v>
                </c:pt>
                <c:pt idx="6">
                  <c:v>0.77426453407140272</c:v>
                </c:pt>
                <c:pt idx="7">
                  <c:v>0.75514787461183774</c:v>
                </c:pt>
                <c:pt idx="8">
                  <c:v>0.72917487780058032</c:v>
                </c:pt>
                <c:pt idx="9">
                  <c:v>0.69708934699331304</c:v>
                </c:pt>
                <c:pt idx="10">
                  <c:v>0.65978471372576331</c:v>
                </c:pt>
                <c:pt idx="11">
                  <c:v>0.6182627880661874</c:v>
                </c:pt>
                <c:pt idx="12">
                  <c:v>0.57358927446773589</c:v>
                </c:pt>
                <c:pt idx="13">
                  <c:v>0.5268487947995345</c:v>
                </c:pt>
                <c:pt idx="14">
                  <c:v>0.47910203454790384</c:v>
                </c:pt>
                <c:pt idx="15">
                  <c:v>0.43134731052445002</c:v>
                </c:pt>
                <c:pt idx="16">
                  <c:v>0.38448838886676157</c:v>
                </c:pt>
                <c:pt idx="17">
                  <c:v>0.3393098122546585</c:v>
                </c:pt>
                <c:pt idx="18">
                  <c:v>0.29646038195877467</c:v>
                </c:pt>
                <c:pt idx="19">
                  <c:v>0.25644483941846546</c:v>
                </c:pt>
                <c:pt idx="20">
                  <c:v>0.21962325266532182</c:v>
                </c:pt>
                <c:pt idx="21">
                  <c:v>0.18621717320623593</c:v>
                </c:pt>
                <c:pt idx="22">
                  <c:v>0.15632131343577024</c:v>
                </c:pt>
                <c:pt idx="23">
                  <c:v>0.12991931325385947</c:v>
                </c:pt>
                <c:pt idx="24">
                  <c:v>0.10690211369611216</c:v>
                </c:pt>
                <c:pt idx="25">
                  <c:v>8.7087520041245689E-2</c:v>
                </c:pt>
                <c:pt idx="26">
                  <c:v>7.0239693835538103E-2</c:v>
                </c:pt>
                <c:pt idx="27">
                  <c:v>5.6087534728370178E-2</c:v>
                </c:pt>
                <c:pt idx="28">
                  <c:v>4.43411699837888E-2</c:v>
                </c:pt>
                <c:pt idx="29">
                  <c:v>3.4706034977265578E-2</c:v>
                </c:pt>
                <c:pt idx="30">
                  <c:v>2.6894279082697422E-2</c:v>
                </c:pt>
                <c:pt idx="31">
                  <c:v>2.0633450932556655E-2</c:v>
                </c:pt>
                <c:pt idx="32">
                  <c:v>1.567259413430026E-2</c:v>
                </c:pt>
                <c:pt idx="33">
                  <c:v>1.1786014191156139E-2</c:v>
                </c:pt>
                <c:pt idx="34">
                  <c:v>8.7750598556372086E-3</c:v>
                </c:pt>
                <c:pt idx="35">
                  <c:v>6.4683017312758048E-3</c:v>
                </c:pt>
                <c:pt idx="36">
                  <c:v>4.7204946389003584E-3</c:v>
                </c:pt>
                <c:pt idx="37">
                  <c:v>3.4106864993262648E-3</c:v>
                </c:pt>
                <c:pt idx="38">
                  <c:v>2.4397939535765597E-3</c:v>
                </c:pt>
                <c:pt idx="39">
                  <c:v>1.7279117361905913E-3</c:v>
                </c:pt>
                <c:pt idx="40">
                  <c:v>1.2115658216252608E-3</c:v>
                </c:pt>
                <c:pt idx="41">
                  <c:v>8.4106493569048341E-4</c:v>
                </c:pt>
                <c:pt idx="42">
                  <c:v>5.7805491306708878E-4</c:v>
                </c:pt>
                <c:pt idx="43">
                  <c:v>3.9333783335768858E-4</c:v>
                </c:pt>
                <c:pt idx="44">
                  <c:v>2.6498384701447304E-4</c:v>
                </c:pt>
                <c:pt idx="45">
                  <c:v>1.7673808121072319E-4</c:v>
                </c:pt>
                <c:pt idx="46">
                  <c:v>1.1670727415794932E-4</c:v>
                </c:pt>
                <c:pt idx="47">
                  <c:v>7.629968954933279E-5</c:v>
                </c:pt>
                <c:pt idx="48">
                  <c:v>4.9386093154306349E-5</c:v>
                </c:pt>
                <c:pt idx="49">
                  <c:v>3.1647807391673067E-5</c:v>
                </c:pt>
                <c:pt idx="50">
                  <c:v>2.0078887089663963E-5</c:v>
                </c:pt>
                <c:pt idx="51">
                  <c:v>1.2612253854157017E-5</c:v>
                </c:pt>
                <c:pt idx="52">
                  <c:v>7.8433722002436068E-6</c:v>
                </c:pt>
                <c:pt idx="53">
                  <c:v>4.8291422768689225E-6</c:v>
                </c:pt>
                <c:pt idx="54">
                  <c:v>2.9437046391739618E-6</c:v>
                </c:pt>
                <c:pt idx="55">
                  <c:v>1.7765421621519354E-6</c:v>
                </c:pt>
                <c:pt idx="56">
                  <c:v>1.061484998250152E-6</c:v>
                </c:pt>
                <c:pt idx="57">
                  <c:v>6.2792714490977877E-7</c:v>
                </c:pt>
                <c:pt idx="58">
                  <c:v>3.6775764522195782E-7</c:v>
                </c:pt>
                <c:pt idx="59">
                  <c:v>2.1324124884236291E-7</c:v>
                </c:pt>
                <c:pt idx="60">
                  <c:v>1.2241588590328767E-7</c:v>
                </c:pt>
                <c:pt idx="61">
                  <c:v>6.9576310877447068E-8</c:v>
                </c:pt>
                <c:pt idx="62">
                  <c:v>3.9150928884365979E-8</c:v>
                </c:pt>
                <c:pt idx="63">
                  <c:v>2.1811211976871902E-8</c:v>
                </c:pt>
                <c:pt idx="64">
                  <c:v>1.2030248042650619E-8</c:v>
                </c:pt>
                <c:pt idx="65">
                  <c:v>6.5694108022239431E-9</c:v>
                </c:pt>
                <c:pt idx="66">
                  <c:v>3.551692137769054E-9</c:v>
                </c:pt>
                <c:pt idx="67">
                  <c:v>1.9010838073219366E-9</c:v>
                </c:pt>
                <c:pt idx="68">
                  <c:v>1.0074517757657749E-9</c:v>
                </c:pt>
                <c:pt idx="69">
                  <c:v>5.2857220972307481E-10</c:v>
                </c:pt>
                <c:pt idx="70">
                  <c:v>2.7456263884474839E-10</c:v>
                </c:pt>
                <c:pt idx="71">
                  <c:v>1.4120029685513131E-10</c:v>
                </c:pt>
                <c:pt idx="72">
                  <c:v>7.1893037735482251E-11</c:v>
                </c:pt>
                <c:pt idx="73">
                  <c:v>3.624057789691102E-11</c:v>
                </c:pt>
                <c:pt idx="74">
                  <c:v>1.8086746408563247E-11</c:v>
                </c:pt>
                <c:pt idx="75">
                  <c:v>8.9368164808676237E-12</c:v>
                </c:pt>
                <c:pt idx="76">
                  <c:v>4.3718201270119083E-12</c:v>
                </c:pt>
                <c:pt idx="77">
                  <c:v>2.1173798985654252E-12</c:v>
                </c:pt>
                <c:pt idx="78">
                  <c:v>1.0152952200858331E-12</c:v>
                </c:pt>
                <c:pt idx="79">
                  <c:v>4.8199546553978846E-13</c:v>
                </c:pt>
                <c:pt idx="80">
                  <c:v>2.2654298505568886E-13</c:v>
                </c:pt>
                <c:pt idx="81">
                  <c:v>1.0541813777061914E-13</c:v>
                </c:pt>
                <c:pt idx="82">
                  <c:v>4.8566534656794363E-14</c:v>
                </c:pt>
                <c:pt idx="83">
                  <c:v>2.2152153304419037E-14</c:v>
                </c:pt>
                <c:pt idx="84">
                  <c:v>1.0003496745404185E-14</c:v>
                </c:pt>
                <c:pt idx="85">
                  <c:v>4.4724426182460609E-15</c:v>
                </c:pt>
                <c:pt idx="86">
                  <c:v>1.9796789922026807E-15</c:v>
                </c:pt>
                <c:pt idx="87">
                  <c:v>8.6756460823096384E-16</c:v>
                </c:pt>
                <c:pt idx="88">
                  <c:v>3.7641414450582768E-16</c:v>
                </c:pt>
                <c:pt idx="89">
                  <c:v>1.6169146550707893E-16</c:v>
                </c:pt>
                <c:pt idx="90">
                  <c:v>6.8764662421620191E-17</c:v>
                </c:pt>
                <c:pt idx="91">
                  <c:v>2.8953467878516939E-17</c:v>
                </c:pt>
                <c:pt idx="92">
                  <c:v>1.2069601096535476E-17</c:v>
                </c:pt>
                <c:pt idx="93">
                  <c:v>4.98129543836456E-18</c:v>
                </c:pt>
                <c:pt idx="94">
                  <c:v>2.0353951671907632E-18</c:v>
                </c:pt>
                <c:pt idx="95">
                  <c:v>8.2340259786493038E-19</c:v>
                </c:pt>
                <c:pt idx="96">
                  <c:v>3.2978643041127982E-19</c:v>
                </c:pt>
                <c:pt idx="97">
                  <c:v>1.3077068124266155E-19</c:v>
                </c:pt>
                <c:pt idx="98">
                  <c:v>5.1338721081796818E-20</c:v>
                </c:pt>
                <c:pt idx="99">
                  <c:v>1.9954312080717707E-20</c:v>
                </c:pt>
                <c:pt idx="100">
                  <c:v>7.6786616248604564E-21</c:v>
                </c:pt>
                <c:pt idx="101">
                  <c:v>2.9254410755550058E-21</c:v>
                </c:pt>
                <c:pt idx="102">
                  <c:v>1.1034540044989321E-21</c:v>
                </c:pt>
                <c:pt idx="103">
                  <c:v>4.1207301040024715E-22</c:v>
                </c:pt>
                <c:pt idx="104">
                  <c:v>1.523530528088196E-22</c:v>
                </c:pt>
                <c:pt idx="105">
                  <c:v>5.5768017576681477E-23</c:v>
                </c:pt>
                <c:pt idx="106">
                  <c:v>2.021046507673053E-23</c:v>
                </c:pt>
                <c:pt idx="107">
                  <c:v>7.2514434337414E-24</c:v>
                </c:pt>
                <c:pt idx="108">
                  <c:v>2.57590400744997E-24</c:v>
                </c:pt>
                <c:pt idx="109">
                  <c:v>9.0592436692333836E-25</c:v>
                </c:pt>
                <c:pt idx="110">
                  <c:v>3.1543600427486983E-25</c:v>
                </c:pt>
                <c:pt idx="111">
                  <c:v>1.0873957707001981E-25</c:v>
                </c:pt>
                <c:pt idx="112">
                  <c:v>3.7112573566377593E-26</c:v>
                </c:pt>
                <c:pt idx="113">
                  <c:v>1.2540404887227985E-26</c:v>
                </c:pt>
                <c:pt idx="114">
                  <c:v>4.1952621219496535E-27</c:v>
                </c:pt>
                <c:pt idx="115">
                  <c:v>1.3895164686473241E-27</c:v>
                </c:pt>
                <c:pt idx="116">
                  <c:v>4.5564368035206098E-28</c:v>
                </c:pt>
                <c:pt idx="117">
                  <c:v>1.4792584506253687E-28</c:v>
                </c:pt>
                <c:pt idx="118">
                  <c:v>4.7546638920183194E-29</c:v>
                </c:pt>
                <c:pt idx="119">
                  <c:v>1.5130477714947394E-29</c:v>
                </c:pt>
                <c:pt idx="120">
                  <c:v>4.7669710410433067E-30</c:v>
                </c:pt>
                <c:pt idx="121">
                  <c:v>1.4869262969547771E-30</c:v>
                </c:pt>
                <c:pt idx="122">
                  <c:v>4.5919106189686128E-31</c:v>
                </c:pt>
                <c:pt idx="123">
                  <c:v>1.4039591283492348E-31</c:v>
                </c:pt>
                <c:pt idx="124">
                  <c:v>4.249839796614309E-32</c:v>
                </c:pt>
                <c:pt idx="125">
                  <c:v>1.2736429862583128E-32</c:v>
                </c:pt>
                <c:pt idx="126">
                  <c:v>3.7790262865821855E-33</c:v>
                </c:pt>
                <c:pt idx="127">
                  <c:v>1.110118071408569E-33</c:v>
                </c:pt>
                <c:pt idx="128">
                  <c:v>3.2286092549837365E-34</c:v>
                </c:pt>
                <c:pt idx="129">
                  <c:v>9.2964868087943562E-35</c:v>
                </c:pt>
                <c:pt idx="130">
                  <c:v>2.6502038625245069E-35</c:v>
                </c:pt>
                <c:pt idx="131">
                  <c:v>7.4799167278781263E-36</c:v>
                </c:pt>
                <c:pt idx="132">
                  <c:v>2.0901203734865035E-36</c:v>
                </c:pt>
                <c:pt idx="133">
                  <c:v>5.7823302118612962E-37</c:v>
                </c:pt>
                <c:pt idx="134">
                  <c:v>1.5837678958880013E-37</c:v>
                </c:pt>
                <c:pt idx="135">
                  <c:v>4.2947435525178817E-38</c:v>
                </c:pt>
                <c:pt idx="136">
                  <c:v>1.1530283687483323E-38</c:v>
                </c:pt>
                <c:pt idx="137">
                  <c:v>3.0647835232678387E-39</c:v>
                </c:pt>
                <c:pt idx="138">
                  <c:v>8.0652284015088005E-40</c:v>
                </c:pt>
                <c:pt idx="139">
                  <c:v>2.1013122515530834E-40</c:v>
                </c:pt>
                <c:pt idx="140">
                  <c:v>5.4202781008659755E-41</c:v>
                </c:pt>
                <c:pt idx="141">
                  <c:v>1.384234285442534E-41</c:v>
                </c:pt>
                <c:pt idx="142">
                  <c:v>3.4998923723036729E-42</c:v>
                </c:pt>
                <c:pt idx="143">
                  <c:v>8.7610635749703689E-43</c:v>
                </c:pt>
                <c:pt idx="144">
                  <c:v>2.171280987591243E-43</c:v>
                </c:pt>
                <c:pt idx="145">
                  <c:v>5.3276082465747323E-44</c:v>
                </c:pt>
                <c:pt idx="146">
                  <c:v>1.2942125015137564E-44</c:v>
                </c:pt>
                <c:pt idx="147">
                  <c:v>3.1126905980409861E-45</c:v>
                </c:pt>
                <c:pt idx="148">
                  <c:v>7.4117945481763202E-46</c:v>
                </c:pt>
                <c:pt idx="149">
                  <c:v>1.7473014849707187E-46</c:v>
                </c:pt>
                <c:pt idx="150">
                  <c:v>4.0782080243719438E-47</c:v>
                </c:pt>
                <c:pt idx="151">
                  <c:v>9.4238411909859629E-48</c:v>
                </c:pt>
                <c:pt idx="152">
                  <c:v>2.1559743915501448E-48</c:v>
                </c:pt>
                <c:pt idx="153">
                  <c:v>4.8833324612463359E-49</c:v>
                </c:pt>
                <c:pt idx="154">
                  <c:v>1.0950804908698324E-49</c:v>
                </c:pt>
                <c:pt idx="155">
                  <c:v>2.4312680711108754E-50</c:v>
                </c:pt>
                <c:pt idx="156">
                  <c:v>5.3441262158920007E-51</c:v>
                </c:pt>
                <c:pt idx="157">
                  <c:v>1.1629943951236247E-51</c:v>
                </c:pt>
                <c:pt idx="158">
                  <c:v>2.5057376122790108E-52</c:v>
                </c:pt>
                <c:pt idx="159">
                  <c:v>5.3450357886888202E-53</c:v>
                </c:pt>
                <c:pt idx="160">
                  <c:v>1.1288148084070967E-53</c:v>
                </c:pt>
                <c:pt idx="161">
                  <c:v>2.3602164553042043E-54</c:v>
                </c:pt>
                <c:pt idx="162">
                  <c:v>4.8858263221030005E-55</c:v>
                </c:pt>
                <c:pt idx="163">
                  <c:v>1.0013393222669462E-55</c:v>
                </c:pt>
                <c:pt idx="164">
                  <c:v>2.0318028841291817E-56</c:v>
                </c:pt>
                <c:pt idx="165">
                  <c:v>4.081679770580181E-57</c:v>
                </c:pt>
                <c:pt idx="166">
                  <c:v>8.1180802609541569E-58</c:v>
                </c:pt>
                <c:pt idx="167">
                  <c:v>1.5985447836265388E-58</c:v>
                </c:pt>
                <c:pt idx="168">
                  <c:v>3.1164009619592625E-59</c:v>
                </c:pt>
                <c:pt idx="169">
                  <c:v>6.0150453636067833E-60</c:v>
                </c:pt>
                <c:pt idx="170">
                  <c:v>1.149427383693243E-60</c:v>
                </c:pt>
                <c:pt idx="171">
                  <c:v>2.1746092302342829E-61</c:v>
                </c:pt>
                <c:pt idx="172">
                  <c:v>4.0732209599982724E-62</c:v>
                </c:pt>
                <c:pt idx="173">
                  <c:v>7.5535614715803234E-63</c:v>
                </c:pt>
                <c:pt idx="174">
                  <c:v>1.3868280625955915E-63</c:v>
                </c:pt>
                <c:pt idx="175">
                  <c:v>2.5208704615295229E-64</c:v>
                </c:pt>
                <c:pt idx="176">
                  <c:v>4.5366522769263177E-65</c:v>
                </c:pt>
                <c:pt idx="177">
                  <c:v>8.0830918101241187E-66</c:v>
                </c:pt>
                <c:pt idx="178">
                  <c:v>1.4258590142387093E-66</c:v>
                </c:pt>
                <c:pt idx="179">
                  <c:v>2.4901913180994605E-67</c:v>
                </c:pt>
                <c:pt idx="180">
                  <c:v>4.305721135913417E-68</c:v>
                </c:pt>
                <c:pt idx="181">
                  <c:v>7.370825647572756E-69</c:v>
                </c:pt>
                <c:pt idx="182">
                  <c:v>1.2492329564097891E-69</c:v>
                </c:pt>
                <c:pt idx="183">
                  <c:v>2.0961761859013068E-70</c:v>
                </c:pt>
                <c:pt idx="184">
                  <c:v>3.4823240943387015E-71</c:v>
                </c:pt>
                <c:pt idx="185">
                  <c:v>5.7275336304188705E-72</c:v>
                </c:pt>
                <c:pt idx="186">
                  <c:v>9.3265959661189598E-73</c:v>
                </c:pt>
                <c:pt idx="187">
                  <c:v>1.5036118294079525E-73</c:v>
                </c:pt>
                <c:pt idx="188">
                  <c:v>2.3999674939176066E-74</c:v>
                </c:pt>
                <c:pt idx="189">
                  <c:v>3.7925563335104322E-75</c:v>
                </c:pt>
                <c:pt idx="190">
                  <c:v>5.9335659863823336E-76</c:v>
                </c:pt>
                <c:pt idx="191">
                  <c:v>9.1908688239258887E-77</c:v>
                </c:pt>
                <c:pt idx="192">
                  <c:v>1.4094653837692014E-77</c:v>
                </c:pt>
                <c:pt idx="193">
                  <c:v>2.1399780351601513E-78</c:v>
                </c:pt>
                <c:pt idx="194">
                  <c:v>3.2167793528112871E-79</c:v>
                </c:pt>
                <c:pt idx="195">
                  <c:v>4.7872960401769995E-80</c:v>
                </c:pt>
                <c:pt idx="196">
                  <c:v>7.053689716921411E-81</c:v>
                </c:pt>
                <c:pt idx="197">
                  <c:v>1.0289623260848582E-81</c:v>
                </c:pt>
                <c:pt idx="198">
                  <c:v>1.4860713159177629E-82</c:v>
                </c:pt>
                <c:pt idx="199">
                  <c:v>2.1248921114545612E-83</c:v>
                </c:pt>
                <c:pt idx="200">
                  <c:v>3.0080923978955468E-84</c:v>
                </c:pt>
                <c:pt idx="201">
                  <c:v>4.2160185704933111E-85</c:v>
                </c:pt>
                <c:pt idx="202">
                  <c:v>5.8502026928229026E-86</c:v>
                </c:pt>
                <c:pt idx="203">
                  <c:v>8.0370443864865882E-87</c:v>
                </c:pt>
                <c:pt idx="204">
                  <c:v>1.093147775707167E-87</c:v>
                </c:pt>
                <c:pt idx="205">
                  <c:v>1.4720360271560812E-88</c:v>
                </c:pt>
                <c:pt idx="206">
                  <c:v>1.962524369096499E-89</c:v>
                </c:pt>
                <c:pt idx="207">
                  <c:v>2.5904113382680986E-90</c:v>
                </c:pt>
                <c:pt idx="208">
                  <c:v>3.3851620356876387E-91</c:v>
                </c:pt>
                <c:pt idx="209">
                  <c:v>4.3797290728144398E-92</c:v>
                </c:pt>
                <c:pt idx="210">
                  <c:v>5.610119159981369E-93</c:v>
                </c:pt>
                <c:pt idx="211">
                  <c:v>7.1146572175155506E-94</c:v>
                </c:pt>
                <c:pt idx="212">
                  <c:v>8.9329094306992824E-95</c:v>
                </c:pt>
                <c:pt idx="213">
                  <c:v>1.110424246031919E-95</c:v>
                </c:pt>
                <c:pt idx="214">
                  <c:v>1.3666018251841796E-96</c:v>
                </c:pt>
                <c:pt idx="215">
                  <c:v>1.6651452084691452E-97</c:v>
                </c:pt>
                <c:pt idx="216">
                  <c:v>2.0087194408130497E-98</c:v>
                </c:pt>
                <c:pt idx="217">
                  <c:v>2.3990732523136093E-99</c:v>
                </c:pt>
                <c:pt idx="218">
                  <c:v>2.8367743400335973E-100</c:v>
                </c:pt>
                <c:pt idx="219">
                  <c:v>3.3209560352486747E-101</c:v>
                </c:pt>
                <c:pt idx="220">
                  <c:v>3.8490940037040595E-102</c:v>
                </c:pt>
                <c:pt idx="221">
                  <c:v>4.4168328518379701E-103</c:v>
                </c:pt>
                <c:pt idx="222">
                  <c:v>5.0178822536966588E-104</c:v>
                </c:pt>
                <c:pt idx="223">
                  <c:v>5.644000236398617E-105</c:v>
                </c:pt>
                <c:pt idx="224">
                  <c:v>6.285077474587231E-106</c:v>
                </c:pt>
                <c:pt idx="225">
                  <c:v>6.9293309315260125E-107</c:v>
                </c:pt>
                <c:pt idx="226">
                  <c:v>7.5636082256660183E-108</c:v>
                </c:pt>
                <c:pt idx="227">
                  <c:v>8.1737961651286919E-109</c:v>
                </c:pt>
                <c:pt idx="228">
                  <c:v>8.7453186069230131E-110</c:v>
                </c:pt>
                <c:pt idx="229">
                  <c:v>9.2637008981432447E-111</c:v>
                </c:pt>
                <c:pt idx="230">
                  <c:v>9.7151714130128258E-112</c:v>
                </c:pt>
                <c:pt idx="231">
                  <c:v>1.008726583382841E-112</c:v>
                </c:pt>
                <c:pt idx="232">
                  <c:v>1.0369397422824164E-113</c:v>
                </c:pt>
                <c:pt idx="233">
                  <c:v>1.0553356973152188E-114</c:v>
                </c:pt>
                <c:pt idx="234">
                  <c:v>1.0633709522725055E-115</c:v>
                </c:pt>
                <c:pt idx="235">
                  <c:v>1.0608061084860077E-116</c:v>
                </c:pt>
                <c:pt idx="236">
                  <c:v>1.0477177130130842E-117</c:v>
                </c:pt>
                <c:pt idx="237">
                  <c:v>1.0244944637201872E-118</c:v>
                </c:pt>
                <c:pt idx="238">
                  <c:v>9.9181803378434781E-120</c:v>
                </c:pt>
                <c:pt idx="239">
                  <c:v>9.5062983560799558E-121</c:v>
                </c:pt>
                <c:pt idx="240">
                  <c:v>9.0208598517268226E-122</c:v>
                </c:pt>
                <c:pt idx="241">
                  <c:v>8.4750347179183041E-123</c:v>
                </c:pt>
                <c:pt idx="242">
                  <c:v>7.8830102532976575E-124</c:v>
                </c:pt>
                <c:pt idx="243">
                  <c:v>7.2593837023915749E-125</c:v>
                </c:pt>
                <c:pt idx="244">
                  <c:v>6.6185745947406104E-126</c:v>
                </c:pt>
                <c:pt idx="245">
                  <c:v>5.9742891602457081E-127</c:v>
                </c:pt>
                <c:pt idx="246">
                  <c:v>5.3390632420019315E-128</c:v>
                </c:pt>
                <c:pt idx="247">
                  <c:v>4.7239027309907402E-129</c:v>
                </c:pt>
                <c:pt idx="248">
                  <c:v>4.1380323650893107E-130</c:v>
                </c:pt>
                <c:pt idx="249">
                  <c:v>3.5887555312244714E-131</c:v>
                </c:pt>
                <c:pt idx="250">
                  <c:v>3.0814201756808272E-132</c:v>
                </c:pt>
                <c:pt idx="251">
                  <c:v>2.6194796199541778E-133</c:v>
                </c:pt>
                <c:pt idx="252">
                  <c:v>2.2046323773342152E-134</c:v>
                </c:pt>
                <c:pt idx="253">
                  <c:v>1.8370221533665229E-135</c:v>
                </c:pt>
                <c:pt idx="254">
                  <c:v>1.515478087807508E-136</c:v>
                </c:pt>
                <c:pt idx="255">
                  <c:v>1.2377757905528784E-137</c:v>
                </c:pt>
                <c:pt idx="256">
                  <c:v>1.0009015508305062E-138</c:v>
                </c:pt>
                <c:pt idx="257">
                  <c:v>8.0130489425099603E-140</c:v>
                </c:pt>
                <c:pt idx="258">
                  <c:v>6.3512803573576287E-141</c:v>
                </c:pt>
                <c:pt idx="259">
                  <c:v>4.9840435362701929E-142</c:v>
                </c:pt>
                <c:pt idx="260">
                  <c:v>3.8722146705343959E-143</c:v>
                </c:pt>
                <c:pt idx="261">
                  <c:v>2.9784758282455229E-144</c:v>
                </c:pt>
                <c:pt idx="262">
                  <c:v>2.2682232043414338E-145</c:v>
                </c:pt>
                <c:pt idx="263">
                  <c:v>1.7101513726764563E-146</c:v>
                </c:pt>
                <c:pt idx="264">
                  <c:v>1.276557474333219E-147</c:v>
                </c:pt>
                <c:pt idx="265">
                  <c:v>9.4341602166211695E-149</c:v>
                </c:pt>
                <c:pt idx="266">
                  <c:v>6.9027664125373411E-150</c:v>
                </c:pt>
                <c:pt idx="267">
                  <c:v>5.0003472178836812E-151</c:v>
                </c:pt>
                <c:pt idx="268">
                  <c:v>3.5861974915171474E-152</c:v>
                </c:pt>
                <c:pt idx="269">
                  <c:v>2.54639221465364E-153</c:v>
                </c:pt>
                <c:pt idx="270">
                  <c:v>1.7900841547632472E-154</c:v>
                </c:pt>
                <c:pt idx="271">
                  <c:v>1.2458869994166067E-155</c:v>
                </c:pt>
                <c:pt idx="272">
                  <c:v>8.5850121667935327E-157</c:v>
                </c:pt>
                <c:pt idx="273">
                  <c:v>5.8567978049157168E-158</c:v>
                </c:pt>
                <c:pt idx="274">
                  <c:v>3.9558207331403764E-159</c:v>
                </c:pt>
                <c:pt idx="275">
                  <c:v>2.6452701350414122E-160</c:v>
                </c:pt>
                <c:pt idx="276">
                  <c:v>1.751299849814254E-161</c:v>
                </c:pt>
                <c:pt idx="277">
                  <c:v>1.1479105497596805E-162</c:v>
                </c:pt>
                <c:pt idx="278">
                  <c:v>7.4492515370705918E-164</c:v>
                </c:pt>
                <c:pt idx="279">
                  <c:v>4.7860175456498425E-165</c:v>
                </c:pt>
                <c:pt idx="280">
                  <c:v>3.0443388419631184E-166</c:v>
                </c:pt>
                <c:pt idx="281">
                  <c:v>1.9172058536048224E-167</c:v>
                </c:pt>
                <c:pt idx="282">
                  <c:v>1.1953678167863522E-168</c:v>
                </c:pt>
                <c:pt idx="283">
                  <c:v>7.3788966387141551E-170</c:v>
                </c:pt>
                <c:pt idx="284">
                  <c:v>4.5096034078816709E-171</c:v>
                </c:pt>
                <c:pt idx="285">
                  <c:v>2.7286154147976763E-172</c:v>
                </c:pt>
                <c:pt idx="286">
                  <c:v>1.6345693897338038E-173</c:v>
                </c:pt>
                <c:pt idx="287">
                  <c:v>9.6944114999622857E-175</c:v>
                </c:pt>
                <c:pt idx="288">
                  <c:v>5.6924155210467093E-176</c:v>
                </c:pt>
                <c:pt idx="289">
                  <c:v>3.3092440229442031E-177</c:v>
                </c:pt>
                <c:pt idx="290">
                  <c:v>1.9046625702993677E-178</c:v>
                </c:pt>
                <c:pt idx="291">
                  <c:v>1.0853363700563873E-179</c:v>
                </c:pt>
                <c:pt idx="292">
                  <c:v>6.1230488061620987E-181</c:v>
                </c:pt>
                <c:pt idx="293">
                  <c:v>3.4200160238979116E-182</c:v>
                </c:pt>
                <c:pt idx="294">
                  <c:v>1.8912355192976995E-183</c:v>
                </c:pt>
                <c:pt idx="295">
                  <c:v>1.0354285742412153E-184</c:v>
                </c:pt>
                <c:pt idx="296">
                  <c:v>5.6124402570597161E-186</c:v>
                </c:pt>
                <c:pt idx="297">
                  <c:v>3.0118987727369304E-187</c:v>
                </c:pt>
                <c:pt idx="298">
                  <c:v>1.6002434827356336E-188</c:v>
                </c:pt>
                <c:pt idx="299">
                  <c:v>8.417610339945793E-190</c:v>
                </c:pt>
                <c:pt idx="300">
                  <c:v>4.3837787175475827E-191</c:v>
                </c:pt>
                <c:pt idx="301">
                  <c:v>2.2602968774347821E-192</c:v>
                </c:pt>
                <c:pt idx="302">
                  <c:v>1.1538235568063912E-193</c:v>
                </c:pt>
                <c:pt idx="303">
                  <c:v>5.8313669744291028E-195</c:v>
                </c:pt>
                <c:pt idx="304">
                  <c:v>2.9178193470452604E-196</c:v>
                </c:pt>
                <c:pt idx="305">
                  <c:v>1.4454513580804811E-197</c:v>
                </c:pt>
                <c:pt idx="306">
                  <c:v>7.0893369512893106E-199</c:v>
                </c:pt>
                <c:pt idx="307">
                  <c:v>3.4424275660357193E-200</c:v>
                </c:pt>
                <c:pt idx="308">
                  <c:v>1.6549354471080933E-201</c:v>
                </c:pt>
                <c:pt idx="309">
                  <c:v>7.8768823859774052E-203</c:v>
                </c:pt>
                <c:pt idx="310">
                  <c:v>3.7118012921512505E-204</c:v>
                </c:pt>
                <c:pt idx="311">
                  <c:v>1.7316979051634664E-205</c:v>
                </c:pt>
                <c:pt idx="312">
                  <c:v>7.9986482708830795E-207</c:v>
                </c:pt>
                <c:pt idx="313">
                  <c:v>3.6577845658339191E-208</c:v>
                </c:pt>
                <c:pt idx="314">
                  <c:v>1.6560624179504484E-209</c:v>
                </c:pt>
                <c:pt idx="315">
                  <c:v>7.4232200588718675E-211</c:v>
                </c:pt>
                <c:pt idx="316">
                  <c:v>3.2943142444000458E-212</c:v>
                </c:pt>
                <c:pt idx="317">
                  <c:v>1.4474206629084216E-213</c:v>
                </c:pt>
                <c:pt idx="318">
                  <c:v>6.2962442523959533E-215</c:v>
                </c:pt>
                <c:pt idx="319">
                  <c:v>2.7115987299822172E-216</c:v>
                </c:pt>
                <c:pt idx="320">
                  <c:v>1.1561823398014039E-217</c:v>
                </c:pt>
                <c:pt idx="321">
                  <c:v>4.8807245255338124E-219</c:v>
                </c:pt>
                <c:pt idx="322">
                  <c:v>2.0398550882996757E-220</c:v>
                </c:pt>
                <c:pt idx="323">
                  <c:v>8.4405625242019129E-222</c:v>
                </c:pt>
                <c:pt idx="324">
                  <c:v>3.4578051883611504E-223</c:v>
                </c:pt>
                <c:pt idx="325">
                  <c:v>1.4024478051765758E-224</c:v>
                </c:pt>
                <c:pt idx="326">
                  <c:v>5.6315759787066015E-226</c:v>
                </c:pt>
                <c:pt idx="327">
                  <c:v>2.2388770453934934E-227</c:v>
                </c:pt>
                <c:pt idx="328">
                  <c:v>8.8122659342386014E-229</c:v>
                </c:pt>
                <c:pt idx="329">
                  <c:v>3.4340135219184895E-230</c:v>
                </c:pt>
                <c:pt idx="330">
                  <c:v>1.3248705984473929E-231</c:v>
                </c:pt>
                <c:pt idx="331">
                  <c:v>5.0605996243166186E-233</c:v>
                </c:pt>
                <c:pt idx="332">
                  <c:v>1.9137603421473582E-234</c:v>
                </c:pt>
                <c:pt idx="333">
                  <c:v>7.1652306938550611E-236</c:v>
                </c:pt>
                <c:pt idx="334">
                  <c:v>2.6560109413337663E-237</c:v>
                </c:pt>
                <c:pt idx="335">
                  <c:v>9.7473508175762121E-239</c:v>
                </c:pt>
                <c:pt idx="336">
                  <c:v>3.5416071810616942E-240</c:v>
                </c:pt>
                <c:pt idx="337">
                  <c:v>1.2740053073801715E-241</c:v>
                </c:pt>
                <c:pt idx="338">
                  <c:v>4.5373171853434771E-243</c:v>
                </c:pt>
                <c:pt idx="339">
                  <c:v>1.5998678019352858E-244</c:v>
                </c:pt>
                <c:pt idx="340">
                  <c:v>5.5850377296433351E-246</c:v>
                </c:pt>
                <c:pt idx="341">
                  <c:v>1.9303016403157032E-247</c:v>
                </c:pt>
                <c:pt idx="342">
                  <c:v>6.6051289905525749E-249</c:v>
                </c:pt>
                <c:pt idx="343">
                  <c:v>2.2376619758896155E-250</c:v>
                </c:pt>
                <c:pt idx="344">
                  <c:v>7.5052422721275653E-252</c:v>
                </c:pt>
                <c:pt idx="345">
                  <c:v>2.4922522980226979E-253</c:v>
                </c:pt>
                <c:pt idx="346">
                  <c:v>8.1936300152569375E-255</c:v>
                </c:pt>
                <c:pt idx="347">
                  <c:v>2.6669676568733165E-256</c:v>
                </c:pt>
                <c:pt idx="348">
                  <c:v>8.5944126817991477E-258</c:v>
                </c:pt>
                <c:pt idx="349">
                  <c:v>2.7420269150876033E-259</c:v>
                </c:pt>
                <c:pt idx="350">
                  <c:v>8.661323871946129E-261</c:v>
                </c:pt>
                <c:pt idx="351">
                  <c:v>2.7086562844655129E-262</c:v>
                </c:pt>
                <c:pt idx="352">
                  <c:v>8.3864965763723018E-264</c:v>
                </c:pt>
                <c:pt idx="353">
                  <c:v>2.5707764011944399E-265</c:v>
                </c:pt>
                <c:pt idx="354">
                  <c:v>7.8019846286654669E-267</c:v>
                </c:pt>
                <c:pt idx="355">
                  <c:v>2.3442446377220846E-268</c:v>
                </c:pt>
                <c:pt idx="356">
                  <c:v>6.9736127559149404E-270</c:v>
                </c:pt>
                <c:pt idx="357">
                  <c:v>2.0538549955396084E-271</c:v>
                </c:pt>
                <c:pt idx="358">
                  <c:v>5.9887858706394001E-273</c:v>
                </c:pt>
                <c:pt idx="359">
                  <c:v>1.72887998590812E-274</c:v>
                </c:pt>
                <c:pt idx="360">
                  <c:v>4.941376706248618E-276</c:v>
                </c:pt>
                <c:pt idx="361">
                  <c:v>1.3982606492860857E-277</c:v>
                </c:pt>
                <c:pt idx="362">
                  <c:v>3.9172867433087753E-279</c:v>
                </c:pt>
                <c:pt idx="363">
                  <c:v>1.086524804112636E-280</c:v>
                </c:pt>
                <c:pt idx="364">
                  <c:v>2.9836713408615847E-282</c:v>
                </c:pt>
                <c:pt idx="365">
                  <c:v>8.1118399919961629E-284</c:v>
                </c:pt>
                <c:pt idx="366">
                  <c:v>2.1834579043865423E-285</c:v>
                </c:pt>
                <c:pt idx="367">
                  <c:v>5.8187182223825132E-287</c:v>
                </c:pt>
                <c:pt idx="368">
                  <c:v>1.5352067979825087E-288</c:v>
                </c:pt>
                <c:pt idx="369">
                  <c:v>4.0101765980618734E-290</c:v>
                </c:pt>
                <c:pt idx="370">
                  <c:v>1.0370917199781787E-291</c:v>
                </c:pt>
                <c:pt idx="371">
                  <c:v>2.6553874035239399E-293</c:v>
                </c:pt>
                <c:pt idx="372">
                  <c:v>6.7312492111859409E-295</c:v>
                </c:pt>
                <c:pt idx="373">
                  <c:v>1.6893533755996668E-296</c:v>
                </c:pt>
                <c:pt idx="374">
                  <c:v>4.197612971977679E-298</c:v>
                </c:pt>
                <c:pt idx="375">
                  <c:v>1.032621915358649E-299</c:v>
                </c:pt>
                <c:pt idx="376">
                  <c:v>2.5149962253599763E-301</c:v>
                </c:pt>
                <c:pt idx="377">
                  <c:v>6.0644356555162191E-303</c:v>
                </c:pt>
                <c:pt idx="378">
                  <c:v>1.4477730983954573E-304</c:v>
                </c:pt>
                <c:pt idx="379">
                  <c:v>3.4219027898879057E-306</c:v>
                </c:pt>
                <c:pt idx="380">
                  <c:v>8.0074067224284697E-308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98784"/>
        <c:axId val="137800320"/>
      </c:scatterChart>
      <c:valAx>
        <c:axId val="13779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800320"/>
        <c:crosses val="autoZero"/>
        <c:crossBetween val="midCat"/>
      </c:valAx>
      <c:valAx>
        <c:axId val="137800320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37798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Graph 3 : Relative probability of each data point being from each Gaussian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'Activity 3'!$E$3</c:f>
              <c:strCache>
                <c:ptCount val="1"/>
                <c:pt idx="0">
                  <c:v>% prob from 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'Activity 3'!$E$4:$E$16</c:f>
              <c:numCache>
                <c:formatCode>0%</c:formatCode>
                <c:ptCount val="13"/>
                <c:pt idx="0">
                  <c:v>1.4516335069899957E-69</c:v>
                </c:pt>
                <c:pt idx="1">
                  <c:v>1.8605244425027857E-165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'Activity 3'!$F$3</c:f>
              <c:strCache>
                <c:ptCount val="1"/>
                <c:pt idx="0">
                  <c:v>% prob from b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'Activity 3'!$F$4:$F$16</c:f>
              <c:numCache>
                <c:formatCode>0%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038656"/>
        <c:axId val="138056832"/>
      </c:barChart>
      <c:catAx>
        <c:axId val="1380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056832"/>
        <c:crosses val="autoZero"/>
        <c:auto val="1"/>
        <c:lblAlgn val="ctr"/>
        <c:lblOffset val="100"/>
        <c:noMultiLvlLbl val="0"/>
      </c:catAx>
      <c:valAx>
        <c:axId val="13805683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3803865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Graph</a:t>
            </a:r>
            <a:r>
              <a:rPr lang="en-GB" sz="1400" baseline="0"/>
              <a:t> 1 : A set of 1-dimensional data that we think may come from 2 Gaussian Distributions</a:t>
            </a:r>
            <a:endParaRPr lang="en-GB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'Activity 3'!$B$3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xVal>
            <c:numRef>
              <c:f>'Activity 3'!$B$4:$B$16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xVal>
          <c:yVal>
            <c:numRef>
              <c:f>'Activity 3'!$A$4:$A$16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93696"/>
        <c:axId val="138095232"/>
      </c:scatterChart>
      <c:valAx>
        <c:axId val="13809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095232"/>
        <c:crosses val="autoZero"/>
        <c:crossBetween val="midCat"/>
      </c:valAx>
      <c:valAx>
        <c:axId val="1380952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38093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Automated!$C$56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numRef>
              <c:f>Automated!$C$15:$C$27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Automated!$F$15:$F$27</c:f>
              <c:numCache>
                <c:formatCode>0%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1.7952796934677737E-4</c:v>
                </c:pt>
                <c:pt idx="5">
                  <c:v>5.7150044703372449E-7</c:v>
                </c:pt>
                <c:pt idx="6">
                  <c:v>1.8189616842444237E-9</c:v>
                </c:pt>
                <c:pt idx="7">
                  <c:v>1.0261879630648827E-10</c:v>
                </c:pt>
                <c:pt idx="8">
                  <c:v>5.7893563286971348E-12</c:v>
                </c:pt>
                <c:pt idx="9">
                  <c:v>1.8426252147235287E-14</c:v>
                </c:pt>
                <c:pt idx="10">
                  <c:v>5.8646721485866563E-17</c:v>
                </c:pt>
                <c:pt idx="11">
                  <c:v>1.8665965892346695E-19</c:v>
                </c:pt>
                <c:pt idx="12">
                  <c:v>5.9409677790465501E-22</c:v>
                </c:pt>
              </c:numCache>
            </c:numRef>
          </c:val>
        </c:ser>
        <c:ser>
          <c:idx val="1"/>
          <c:order val="1"/>
          <c:tx>
            <c:strRef>
              <c:f>Automated!$D$56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Automated!$C$15:$C$27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cat>
          <c:val>
            <c:numRef>
              <c:f>Automated!$G$15:$G$27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0.99982047203065327</c:v>
                </c:pt>
                <c:pt idx="5">
                  <c:v>0.99999942849955292</c:v>
                </c:pt>
                <c:pt idx="6">
                  <c:v>0.99999999818103835</c:v>
                </c:pt>
                <c:pt idx="7">
                  <c:v>0.9999999998973812</c:v>
                </c:pt>
                <c:pt idx="8">
                  <c:v>0.99999999999421063</c:v>
                </c:pt>
                <c:pt idx="9">
                  <c:v>0.99999999999998157</c:v>
                </c:pt>
                <c:pt idx="10">
                  <c:v>0.99999999999999989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211712"/>
        <c:axId val="138213248"/>
      </c:barChart>
      <c:catAx>
        <c:axId val="13821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213248"/>
        <c:crosses val="autoZero"/>
        <c:auto val="1"/>
        <c:lblAlgn val="ctr"/>
        <c:lblOffset val="100"/>
        <c:noMultiLvlLbl val="0"/>
      </c:catAx>
      <c:valAx>
        <c:axId val="1382132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8211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Automated!$C$14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</c:marker>
          <c:xVal>
            <c:numRef>
              <c:f>Automated!$C$15:$C$27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17.5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</c:numCache>
            </c:numRef>
          </c:xVal>
          <c:yVal>
            <c:numRef>
              <c:f>Automated!$B$15:$B$27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Automated!$C$64</c:f>
              <c:strCache>
                <c:ptCount val="1"/>
                <c:pt idx="0">
                  <c:v>a</c:v>
                </c:pt>
              </c:strCache>
            </c:strRef>
          </c:tx>
          <c:spPr>
            <a:ln w="444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Automated!$B$65:$B$536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Automated!$C$65:$C$536</c:f>
              <c:numCache>
                <c:formatCode>0.00</c:formatCode>
                <c:ptCount val="472"/>
                <c:pt idx="0">
                  <c:v>6.0492681129785841E-2</c:v>
                </c:pt>
                <c:pt idx="1">
                  <c:v>6.2004681152684281E-2</c:v>
                </c:pt>
                <c:pt idx="2">
                  <c:v>6.3514764117297257E-2</c:v>
                </c:pt>
                <c:pt idx="3">
                  <c:v>6.5020973342498914E-2</c:v>
                </c:pt>
                <c:pt idx="4">
                  <c:v>6.6521312474688704E-2</c:v>
                </c:pt>
                <c:pt idx="5">
                  <c:v>6.8013749594635881E-2</c:v>
                </c:pt>
                <c:pt idx="6">
                  <c:v>6.949622153274912E-2</c:v>
                </c:pt>
                <c:pt idx="7">
                  <c:v>7.0966638381221817E-2</c:v>
                </c:pt>
                <c:pt idx="8">
                  <c:v>7.2422888190370682E-2</c:v>
                </c:pt>
                <c:pt idx="9">
                  <c:v>7.3862841835390727E-2</c:v>
                </c:pt>
                <c:pt idx="10">
                  <c:v>7.5284358038701107E-2</c:v>
                </c:pt>
                <c:pt idx="11">
                  <c:v>7.6685288532059998E-2</c:v>
                </c:pt>
                <c:pt idx="12">
                  <c:v>7.8063483341690318E-2</c:v>
                </c:pt>
                <c:pt idx="13">
                  <c:v>7.9416796178787066E-2</c:v>
                </c:pt>
                <c:pt idx="14">
                  <c:v>8.074308991697858E-2</c:v>
                </c:pt>
                <c:pt idx="15">
                  <c:v>8.2040242137593769E-2</c:v>
                </c:pt>
                <c:pt idx="16">
                  <c:v>8.3306150722949918E-2</c:v>
                </c:pt>
                <c:pt idx="17">
                  <c:v>8.4538739477327859E-2</c:v>
                </c:pt>
                <c:pt idx="18">
                  <c:v>8.5735963754845976E-2</c:v>
                </c:pt>
                <c:pt idx="19">
                  <c:v>8.6895816073087023E-2</c:v>
                </c:pt>
                <c:pt idx="20">
                  <c:v>8.8016331691074881E-2</c:v>
                </c:pt>
                <c:pt idx="21">
                  <c:v>8.9095594130045822E-2</c:v>
                </c:pt>
                <c:pt idx="22">
                  <c:v>9.0131740615412001E-2</c:v>
                </c:pt>
                <c:pt idx="23">
                  <c:v>9.1122967418376624E-2</c:v>
                </c:pt>
                <c:pt idx="24">
                  <c:v>9.2067535075830848E-2</c:v>
                </c:pt>
                <c:pt idx="25">
                  <c:v>9.2963773467442251E-2</c:v>
                </c:pt>
                <c:pt idx="26">
                  <c:v>9.3810086729234493E-2</c:v>
                </c:pt>
                <c:pt idx="27">
                  <c:v>9.4604957983454863E-2</c:v>
                </c:pt>
                <c:pt idx="28">
                  <c:v>9.5346953865131034E-2</c:v>
                </c:pt>
                <c:pt idx="29">
                  <c:v>9.6034728826426205E-2</c:v>
                </c:pt>
                <c:pt idx="30">
                  <c:v>9.6667029200712309E-2</c:v>
                </c:pt>
                <c:pt idx="31">
                  <c:v>9.7242697009187376E-2</c:v>
                </c:pt>
                <c:pt idx="32">
                  <c:v>9.7760673493863984E-2</c:v>
                </c:pt>
                <c:pt idx="33">
                  <c:v>9.8220002361844833E-2</c:v>
                </c:pt>
                <c:pt idx="34">
                  <c:v>9.8619832726972237E-2</c:v>
                </c:pt>
                <c:pt idx="35">
                  <c:v>9.8959421736187381E-2</c:v>
                </c:pt>
                <c:pt idx="36">
                  <c:v>9.9238136869252952E-2</c:v>
                </c:pt>
                <c:pt idx="37">
                  <c:v>9.9455457901874281E-2</c:v>
                </c:pt>
                <c:pt idx="38">
                  <c:v>9.961097852369101E-2</c:v>
                </c:pt>
                <c:pt idx="39">
                  <c:v>9.9704407604095449E-2</c:v>
                </c:pt>
                <c:pt idx="40">
                  <c:v>9.9735570100358176E-2</c:v>
                </c:pt>
                <c:pt idx="41">
                  <c:v>9.9704407604095449E-2</c:v>
                </c:pt>
                <c:pt idx="42">
                  <c:v>9.9610978523690996E-2</c:v>
                </c:pt>
                <c:pt idx="43">
                  <c:v>9.9455457901874281E-2</c:v>
                </c:pt>
                <c:pt idx="44">
                  <c:v>9.9238136869252952E-2</c:v>
                </c:pt>
                <c:pt idx="45">
                  <c:v>9.8959421736187381E-2</c:v>
                </c:pt>
                <c:pt idx="46">
                  <c:v>9.8619832726972237E-2</c:v>
                </c:pt>
                <c:pt idx="47">
                  <c:v>9.8220002361844819E-2</c:v>
                </c:pt>
                <c:pt idx="48">
                  <c:v>9.7760673493863984E-2</c:v>
                </c:pt>
                <c:pt idx="49">
                  <c:v>9.7242697009187376E-2</c:v>
                </c:pt>
                <c:pt idx="50">
                  <c:v>9.6667029200712323E-2</c:v>
                </c:pt>
                <c:pt idx="51">
                  <c:v>9.6034728826426205E-2</c:v>
                </c:pt>
                <c:pt idx="52">
                  <c:v>9.5346953865131048E-2</c:v>
                </c:pt>
                <c:pt idx="53">
                  <c:v>9.460495798345489E-2</c:v>
                </c:pt>
                <c:pt idx="54">
                  <c:v>9.3810086729234493E-2</c:v>
                </c:pt>
                <c:pt idx="55">
                  <c:v>9.2963773467442265E-2</c:v>
                </c:pt>
                <c:pt idx="56">
                  <c:v>9.2067535075830861E-2</c:v>
                </c:pt>
                <c:pt idx="57">
                  <c:v>9.1122967418376666E-2</c:v>
                </c:pt>
                <c:pt idx="58">
                  <c:v>9.0131740615412029E-2</c:v>
                </c:pt>
                <c:pt idx="59">
                  <c:v>8.9095594130045863E-2</c:v>
                </c:pt>
                <c:pt idx="60">
                  <c:v>8.8016331691074937E-2</c:v>
                </c:pt>
                <c:pt idx="61">
                  <c:v>8.6895816073087093E-2</c:v>
                </c:pt>
                <c:pt idx="62">
                  <c:v>8.5735963754846045E-2</c:v>
                </c:pt>
                <c:pt idx="63">
                  <c:v>8.4538739477327929E-2</c:v>
                </c:pt>
                <c:pt idx="64">
                  <c:v>8.3306150722950001E-2</c:v>
                </c:pt>
                <c:pt idx="65">
                  <c:v>8.2040242137593852E-2</c:v>
                </c:pt>
                <c:pt idx="66">
                  <c:v>8.0743089916978678E-2</c:v>
                </c:pt>
                <c:pt idx="67">
                  <c:v>7.9416796178787163E-2</c:v>
                </c:pt>
                <c:pt idx="68">
                  <c:v>7.8063483341690429E-2</c:v>
                </c:pt>
                <c:pt idx="69">
                  <c:v>7.6685288532060109E-2</c:v>
                </c:pt>
                <c:pt idx="70">
                  <c:v>7.5284358038701232E-2</c:v>
                </c:pt>
                <c:pt idx="71">
                  <c:v>7.3862841835390866E-2</c:v>
                </c:pt>
                <c:pt idx="72">
                  <c:v>7.2422888190370835E-2</c:v>
                </c:pt>
                <c:pt idx="73">
                  <c:v>7.0966638381221969E-2</c:v>
                </c:pt>
                <c:pt idx="74">
                  <c:v>6.9496221532749272E-2</c:v>
                </c:pt>
                <c:pt idx="75">
                  <c:v>6.8013749594636033E-2</c:v>
                </c:pt>
                <c:pt idx="76">
                  <c:v>6.6521312474688871E-2</c:v>
                </c:pt>
                <c:pt idx="77">
                  <c:v>6.5020973342499094E-2</c:v>
                </c:pt>
                <c:pt idx="78">
                  <c:v>6.3514764117297437E-2</c:v>
                </c:pt>
                <c:pt idx="79">
                  <c:v>6.2004681152684461E-2</c:v>
                </c:pt>
                <c:pt idx="80">
                  <c:v>6.0492681129786029E-2</c:v>
                </c:pt>
                <c:pt idx="81">
                  <c:v>5.8980677169218329E-2</c:v>
                </c:pt>
                <c:pt idx="82">
                  <c:v>5.7470535171058448E-2</c:v>
                </c:pt>
                <c:pt idx="83">
                  <c:v>5.596407039081007E-2</c:v>
                </c:pt>
                <c:pt idx="84">
                  <c:v>5.4463044258137847E-2</c:v>
                </c:pt>
                <c:pt idx="85">
                  <c:v>5.2969161443925078E-2</c:v>
                </c:pt>
                <c:pt idx="86">
                  <c:v>5.1484067179993903E-2</c:v>
                </c:pt>
                <c:pt idx="87">
                  <c:v>5.0009344834622153E-2</c:v>
                </c:pt>
                <c:pt idx="88">
                  <c:v>4.854651374580346E-2</c:v>
                </c:pt>
                <c:pt idx="89">
                  <c:v>4.7097027313031808E-2</c:v>
                </c:pt>
                <c:pt idx="90">
                  <c:v>4.5662271347255708E-2</c:v>
                </c:pt>
                <c:pt idx="91">
                  <c:v>4.4243562677545152E-2</c:v>
                </c:pt>
                <c:pt idx="92">
                  <c:v>4.2842148011952075E-2</c:v>
                </c:pt>
                <c:pt idx="93">
                  <c:v>4.1459203049026415E-2</c:v>
                </c:pt>
                <c:pt idx="94">
                  <c:v>4.0095831835480135E-2</c:v>
                </c:pt>
                <c:pt idx="95">
                  <c:v>3.8753066364573541E-2</c:v>
                </c:pt>
                <c:pt idx="96">
                  <c:v>3.7431866408936448E-2</c:v>
                </c:pt>
                <c:pt idx="97">
                  <c:v>3.613311958073346E-2</c:v>
                </c:pt>
                <c:pt idx="98">
                  <c:v>3.4857641611340306E-2</c:v>
                </c:pt>
                <c:pt idx="99">
                  <c:v>3.3606176842020004E-2</c:v>
                </c:pt>
                <c:pt idx="100">
                  <c:v>3.2379398916473172E-2</c:v>
                </c:pt>
                <c:pt idx="101">
                  <c:v>3.1177911665589534E-2</c:v>
                </c:pt>
                <c:pt idx="102">
                  <c:v>3.0002250174246632E-2</c:v>
                </c:pt>
                <c:pt idx="103">
                  <c:v>2.8852882019587731E-2</c:v>
                </c:pt>
                <c:pt idx="104">
                  <c:v>2.7730208669864125E-2</c:v>
                </c:pt>
                <c:pt idx="105">
                  <c:v>2.6634567032646501E-2</c:v>
                </c:pt>
                <c:pt idx="106">
                  <c:v>2.5566231140994735E-2</c:v>
                </c:pt>
                <c:pt idx="107">
                  <c:v>2.4525413966024683E-2</c:v>
                </c:pt>
                <c:pt idx="108">
                  <c:v>2.3512269344221955E-2</c:v>
                </c:pt>
                <c:pt idx="109">
                  <c:v>2.2526894007824746E-2</c:v>
                </c:pt>
                <c:pt idx="110">
                  <c:v>2.1569329706628101E-2</c:v>
                </c:pt>
                <c:pt idx="111">
                  <c:v>2.0639565409648116E-2</c:v>
                </c:pt>
                <c:pt idx="112">
                  <c:v>1.9737539575223752E-2</c:v>
                </c:pt>
                <c:pt idx="113">
                  <c:v>1.8863142478322763E-2</c:v>
                </c:pt>
                <c:pt idx="114">
                  <c:v>1.8016218584054704E-2</c:v>
                </c:pt>
                <c:pt idx="115">
                  <c:v>1.7196568956673174E-2</c:v>
                </c:pt>
                <c:pt idx="116">
                  <c:v>1.6403953693669347E-2</c:v>
                </c:pt>
                <c:pt idx="117">
                  <c:v>1.5638094374915187E-2</c:v>
                </c:pt>
                <c:pt idx="118">
                  <c:v>1.4898676517204204E-2</c:v>
                </c:pt>
                <c:pt idx="119">
                  <c:v>1.418535202495619E-2</c:v>
                </c:pt>
                <c:pt idx="120">
                  <c:v>1.3497741628297194E-2</c:v>
                </c:pt>
                <c:pt idx="121">
                  <c:v>1.2835437300192541E-2</c:v>
                </c:pt>
                <c:pt idx="122">
                  <c:v>1.2198004644795859E-2</c:v>
                </c:pt>
                <c:pt idx="123">
                  <c:v>1.1584985249677474E-2</c:v>
                </c:pt>
                <c:pt idx="124">
                  <c:v>1.0995898995106961E-2</c:v>
                </c:pt>
                <c:pt idx="125">
                  <c:v>1.0430246314084811E-2</c:v>
                </c:pt>
                <c:pt idx="126">
                  <c:v>9.8875103973427043E-3</c:v>
                </c:pt>
                <c:pt idx="127">
                  <c:v>9.3671593380585966E-3</c:v>
                </c:pt>
                <c:pt idx="128">
                  <c:v>8.8686482115580018E-3</c:v>
                </c:pt>
                <c:pt idx="129">
                  <c:v>8.3914210857945273E-3</c:v>
                </c:pt>
                <c:pt idx="130">
                  <c:v>7.934912958916988E-3</c:v>
                </c:pt>
                <c:pt idx="131">
                  <c:v>7.4985516207364536E-3</c:v>
                </c:pt>
                <c:pt idx="132">
                  <c:v>7.0817594354004188E-3</c:v>
                </c:pt>
                <c:pt idx="133">
                  <c:v>6.6839550430621807E-3</c:v>
                </c:pt>
                <c:pt idx="134">
                  <c:v>6.3045549787987161E-3</c:v>
                </c:pt>
                <c:pt idx="135">
                  <c:v>5.9429752074785644E-3</c:v>
                </c:pt>
                <c:pt idx="136">
                  <c:v>5.5986325737108324E-3</c:v>
                </c:pt>
                <c:pt idx="137">
                  <c:v>5.2709461664161321E-3</c:v>
                </c:pt>
                <c:pt idx="138">
                  <c:v>4.9593385979489315E-3</c:v>
                </c:pt>
                <c:pt idx="139">
                  <c:v>4.6632371980675743E-3</c:v>
                </c:pt>
                <c:pt idx="140">
                  <c:v>4.3820751233922288E-3</c:v>
                </c:pt>
                <c:pt idx="141">
                  <c:v>4.1152923833119043E-3</c:v>
                </c:pt>
                <c:pt idx="142">
                  <c:v>3.8623367835988777E-3</c:v>
                </c:pt>
                <c:pt idx="143">
                  <c:v>3.6226647892621932E-3</c:v>
                </c:pt>
                <c:pt idx="144">
                  <c:v>3.3957423084214817E-3</c:v>
                </c:pt>
                <c:pt idx="145">
                  <c:v>3.1810453992079314E-3</c:v>
                </c:pt>
                <c:pt idx="146">
                  <c:v>2.978060901901365E-3</c:v>
                </c:pt>
                <c:pt idx="147">
                  <c:v>2.7862869986912684E-3</c:v>
                </c:pt>
                <c:pt idx="148">
                  <c:v>2.6052337036057134E-3</c:v>
                </c:pt>
                <c:pt idx="149">
                  <c:v>2.4344232852860615E-3</c:v>
                </c:pt>
                <c:pt idx="150">
                  <c:v>2.2733906253978222E-3</c:v>
                </c:pt>
                <c:pt idx="151">
                  <c:v>2.1216835155597347E-3</c:v>
                </c:pt>
                <c:pt idx="152">
                  <c:v>1.9788628957450437E-3</c:v>
                </c:pt>
                <c:pt idx="153">
                  <c:v>1.844503037161748E-3</c:v>
                </c:pt>
                <c:pt idx="154">
                  <c:v>1.7181916726535401E-3</c:v>
                </c:pt>
                <c:pt idx="155">
                  <c:v>1.5995300776809344E-3</c:v>
                </c:pt>
                <c:pt idx="156">
                  <c:v>1.4881331049440057E-3</c:v>
                </c:pt>
                <c:pt idx="157">
                  <c:v>1.3836291756951649E-3</c:v>
                </c:pt>
                <c:pt idx="158">
                  <c:v>1.2856602307635236E-3</c:v>
                </c:pt>
                <c:pt idx="159">
                  <c:v>1.1938816442729257E-3</c:v>
                </c:pt>
                <c:pt idx="160">
                  <c:v>1.1079621029845355E-3</c:v>
                </c:pt>
                <c:pt idx="161">
                  <c:v>1.0275834541331721E-3</c:v>
                </c:pt>
                <c:pt idx="162">
                  <c:v>9.5244052455548047E-4</c:v>
                </c:pt>
                <c:pt idx="163">
                  <c:v>8.8224091382846641E-4</c:v>
                </c:pt>
                <c:pt idx="164">
                  <c:v>8.1670476405000362E-4</c:v>
                </c:pt>
                <c:pt idx="165">
                  <c:v>7.5556450879970996E-4</c:v>
                </c:pt>
                <c:pt idx="166">
                  <c:v>6.9856460371988045E-4</c:v>
                </c:pt>
                <c:pt idx="167">
                  <c:v>6.4546124105307112E-4</c:v>
                </c:pt>
                <c:pt idx="168">
                  <c:v>5.9602205036622538E-4</c:v>
                </c:pt>
                <c:pt idx="169">
                  <c:v>5.50025787581796E-4</c:v>
                </c:pt>
                <c:pt idx="170">
                  <c:v>5.0726201432495374E-4</c:v>
                </c:pt>
                <c:pt idx="171">
                  <c:v>4.6753076948342258E-4</c:v>
                </c:pt>
                <c:pt idx="172">
                  <c:v>4.3064223476342909E-4</c:v>
                </c:pt>
                <c:pt idx="173">
                  <c:v>3.9641639591237192E-4</c:v>
                </c:pt>
                <c:pt idx="174">
                  <c:v>3.6468270116669362E-4</c:v>
                </c:pt>
                <c:pt idx="175">
                  <c:v>3.3527971837260041E-4</c:v>
                </c:pt>
                <c:pt idx="176">
                  <c:v>3.0805479211825992E-4</c:v>
                </c:pt>
                <c:pt idx="177">
                  <c:v>2.8286370210930663E-4</c:v>
                </c:pt>
                <c:pt idx="178">
                  <c:v>2.5957032391535649E-4</c:v>
                </c:pt>
                <c:pt idx="179">
                  <c:v>2.3804629311407075E-4</c:v>
                </c:pt>
                <c:pt idx="180">
                  <c:v>2.1817067376144275E-4</c:v>
                </c:pt>
                <c:pt idx="181">
                  <c:v>1.9982963202269083E-4</c:v>
                </c:pt>
                <c:pt idx="182">
                  <c:v>1.8291611570757951E-4</c:v>
                </c:pt>
                <c:pt idx="183">
                  <c:v>1.6732954036741585E-4</c:v>
                </c:pt>
                <c:pt idx="184">
                  <c:v>1.5297548252844422E-4</c:v>
                </c:pt>
                <c:pt idx="185">
                  <c:v>1.3976538055804208E-4</c:v>
                </c:pt>
                <c:pt idx="186">
                  <c:v>1.2761624358604708E-4</c:v>
                </c:pt>
                <c:pt idx="187">
                  <c:v>1.1645036883375967E-4</c:v>
                </c:pt>
                <c:pt idx="188">
                  <c:v>1.0619506763768822E-4</c:v>
                </c:pt>
                <c:pt idx="189">
                  <c:v>9.6782400393897422E-5</c:v>
                </c:pt>
                <c:pt idx="190">
                  <c:v>8.8148920591861352E-5</c:v>
                </c:pt>
                <c:pt idx="191">
                  <c:v>8.0235428053934997E-5</c:v>
                </c:pt>
                <c:pt idx="192">
                  <c:v>7.2986731447864878E-5</c:v>
                </c:pt>
                <c:pt idx="193">
                  <c:v>6.6351420095056901E-5</c:v>
                </c:pt>
                <c:pt idx="194">
                  <c:v>6.0281645056498038E-5</c:v>
                </c:pt>
                <c:pt idx="195">
                  <c:v>5.4732909441152632E-5</c:v>
                </c:pt>
                <c:pt idx="196">
                  <c:v>4.9663867848192732E-5</c:v>
                </c:pt>
                <c:pt idx="197">
                  <c:v>4.5036134824421722E-5</c:v>
                </c:pt>
                <c:pt idx="198">
                  <c:v>4.081410219156007E-5</c:v>
                </c:pt>
                <c:pt idx="199">
                  <c:v>3.696476507451794E-5</c:v>
                </c:pt>
                <c:pt idx="200">
                  <c:v>3.3457556441220868E-5</c:v>
                </c:pt>
                <c:pt idx="201">
                  <c:v>3.0264189946810671E-5</c:v>
                </c:pt>
                <c:pt idx="202">
                  <c:v>2.7358510859949651E-5</c:v>
                </c:pt>
                <c:pt idx="203">
                  <c:v>2.4716354836341813E-5</c:v>
                </c:pt>
                <c:pt idx="204">
                  <c:v>2.2315414294282754E-5</c:v>
                </c:pt>
                <c:pt idx="205">
                  <c:v>2.0135112138898105E-5</c:v>
                </c:pt>
                <c:pt idx="206">
                  <c:v>1.8156482575562695E-5</c:v>
                </c:pt>
                <c:pt idx="207">
                  <c:v>1.6362058748654789E-5</c:v>
                </c:pt>
                <c:pt idx="208">
                  <c:v>1.4735766939134571E-5</c:v>
                </c:pt>
                <c:pt idx="209">
                  <c:v>1.3262827053298188E-5</c:v>
                </c:pt>
                <c:pt idx="210">
                  <c:v>1.1929659135300875E-5</c:v>
                </c:pt>
                <c:pt idx="211">
                  <c:v>1.0723795637531459E-5</c:v>
                </c:pt>
                <c:pt idx="212">
                  <c:v>9.6337991855214571E-6</c:v>
                </c:pt>
                <c:pt idx="213">
                  <c:v>8.6491855776619272E-6</c:v>
                </c:pt>
                <c:pt idx="214">
                  <c:v>7.7603517644622634E-6</c:v>
                </c:pt>
                <c:pt idx="215">
                  <c:v>6.9585085573034478E-6</c:v>
                </c:pt>
                <c:pt idx="216">
                  <c:v>6.2356178225131399E-6</c:v>
                </c:pt>
                <c:pt idx="217">
                  <c:v>5.5843339230187605E-6</c:v>
                </c:pt>
                <c:pt idx="218">
                  <c:v>4.9979491767304843E-6</c:v>
                </c:pt>
                <c:pt idx="219">
                  <c:v>4.4703431080808776E-6</c:v>
                </c:pt>
                <c:pt idx="220">
                  <c:v>3.9959352767261772E-6</c:v>
                </c:pt>
                <c:pt idx="221">
                  <c:v>3.5696414752217722E-6</c:v>
                </c:pt>
                <c:pt idx="222">
                  <c:v>3.1868330954581961E-6</c:v>
                </c:pt>
                <c:pt idx="223">
                  <c:v>2.8432994717215173E-6</c:v>
                </c:pt>
                <c:pt idx="224">
                  <c:v>2.535213016371546E-6</c:v>
                </c:pt>
                <c:pt idx="225">
                  <c:v>2.259096972262715E-6</c:v>
                </c:pt>
                <c:pt idx="226">
                  <c:v>2.0117956141229556E-6</c:v>
                </c:pt>
                <c:pt idx="227">
                  <c:v>1.7904467391168707E-6</c:v>
                </c:pt>
                <c:pt idx="228">
                  <c:v>1.5924562947166734E-6</c:v>
                </c:pt>
                <c:pt idx="229">
                  <c:v>1.4154749997586191E-6</c:v>
                </c:pt>
                <c:pt idx="230">
                  <c:v>1.2573768221480266E-6</c:v>
                </c:pt>
                <c:pt idx="231">
                  <c:v>1.1162391840710824E-6</c:v>
                </c:pt>
                <c:pt idx="232">
                  <c:v>9.9032477275794662E-7</c:v>
                </c:pt>
                <c:pt idx="233">
                  <c:v>8.7806484180450708E-7</c:v>
                </c:pt>
                <c:pt idx="234">
                  <c:v>7.7804389478717672E-7</c:v>
                </c:pt>
                <c:pt idx="235">
                  <c:v>6.8898564938743914E-7</c:v>
                </c:pt>
                <c:pt idx="236">
                  <c:v>6.097401864732904E-7</c:v>
                </c:pt>
                <c:pt idx="237">
                  <c:v>5.3927219455906684E-7</c:v>
                </c:pt>
                <c:pt idx="238">
                  <c:v>4.7665022578066293E-7</c:v>
                </c:pt>
                <c:pt idx="239">
                  <c:v>4.2103688497918225E-7</c:v>
                </c:pt>
                <c:pt idx="240">
                  <c:v>3.7167987868354144E-7</c:v>
                </c:pt>
                <c:pt idx="241">
                  <c:v>3.2790385572373097E-7</c:v>
                </c:pt>
                <c:pt idx="242">
                  <c:v>2.8910297589491859E-7</c:v>
                </c:pt>
                <c:pt idx="243">
                  <c:v>2.5473414753294499E-7</c:v>
                </c:pt>
                <c:pt idx="244">
                  <c:v>2.2431087905956112E-7</c:v>
                </c:pt>
                <c:pt idx="245">
                  <c:v>1.9739769351733022E-7</c:v>
                </c:pt>
                <c:pt idx="246">
                  <c:v>1.736050588463662E-7</c:v>
                </c:pt>
                <c:pt idx="247">
                  <c:v>1.525847901655556E-7</c:v>
                </c:pt>
                <c:pt idx="248">
                  <c:v>1.3402588361742607E-7</c:v>
                </c:pt>
                <c:pt idx="249">
                  <c:v>1.1765074442665544E-7</c:v>
                </c:pt>
                <c:pt idx="250">
                  <c:v>1.0321177471573841E-7</c:v>
                </c:pt>
                <c:pt idx="251">
                  <c:v>9.0488289326128939E-8</c:v>
                </c:pt>
                <c:pt idx="252">
                  <c:v>7.9283730417890094E-8</c:v>
                </c:pt>
                <c:pt idx="253">
                  <c:v>6.9423153974142548E-8</c:v>
                </c:pt>
                <c:pt idx="254">
                  <c:v>6.0750963527005831E-8</c:v>
                </c:pt>
                <c:pt idx="255">
                  <c:v>5.3128868457750597E-8</c:v>
                </c:pt>
                <c:pt idx="256">
                  <c:v>4.6434046113876465E-8</c:v>
                </c:pt>
                <c:pt idx="257">
                  <c:v>4.0557488737966643E-8</c:v>
                </c:pt>
                <c:pt idx="258">
                  <c:v>3.5402517825398287E-8</c:v>
                </c:pt>
                <c:pt idx="259">
                  <c:v>3.0883450028034094E-8</c:v>
                </c:pt>
                <c:pt idx="260">
                  <c:v>2.6924400106354511E-8</c:v>
                </c:pt>
                <c:pt idx="261">
                  <c:v>2.3458207710305932E-8</c:v>
                </c:pt>
                <c:pt idx="262">
                  <c:v>2.0425475946355146E-8</c:v>
                </c:pt>
                <c:pt idx="263">
                  <c:v>1.7773710771479803E-8</c:v>
                </c:pt>
                <c:pt idx="264">
                  <c:v>1.5456551250412334E-8</c:v>
                </c:pt>
                <c:pt idx="265">
                  <c:v>1.3433081626420872E-8</c:v>
                </c:pt>
                <c:pt idx="266">
                  <c:v>1.1667216993983878E-8</c:v>
                </c:pt>
                <c:pt idx="267">
                  <c:v>1.0127155129324087E-8</c:v>
                </c:pt>
                <c:pt idx="268">
                  <c:v>8.784887737049712E-9</c:v>
                </c:pt>
                <c:pt idx="269">
                  <c:v>7.6157650129553091E-9</c:v>
                </c:pt>
                <c:pt idx="270">
                  <c:v>6.5981080089253552E-9</c:v>
                </c:pt>
                <c:pt idx="271">
                  <c:v>5.7128638201528288E-9</c:v>
                </c:pt>
                <c:pt idx="272">
                  <c:v>4.9432991015603424E-9</c:v>
                </c:pt>
                <c:pt idx="273">
                  <c:v>4.274727863158055E-9</c:v>
                </c:pt>
                <c:pt idx="274">
                  <c:v>3.6942698966193574E-9</c:v>
                </c:pt>
                <c:pt idx="275">
                  <c:v>3.1906365508835437E-9</c:v>
                </c:pt>
                <c:pt idx="276">
                  <c:v>2.7539409061700878E-9</c:v>
                </c:pt>
                <c:pt idx="277">
                  <c:v>2.3755296962560659E-9</c:v>
                </c:pt>
                <c:pt idx="278">
                  <c:v>2.047834600869415E-9</c:v>
                </c:pt>
                <c:pt idx="279">
                  <c:v>1.7642407760361613E-9</c:v>
                </c:pt>
                <c:pt idx="280">
                  <c:v>1.5189707124555301E-9</c:v>
                </c:pt>
                <c:pt idx="281">
                  <c:v>1.3069817125572364E-9</c:v>
                </c:pt>
                <c:pt idx="282">
                  <c:v>1.1238754577530876E-9</c:v>
                </c:pt>
                <c:pt idx="283">
                  <c:v>9.6581830031050164E-10</c:v>
                </c:pt>
                <c:pt idx="284">
                  <c:v>8.2947106088665521E-10</c:v>
                </c:pt>
                <c:pt idx="285">
                  <c:v>7.1192724457405862E-10</c:v>
                </c:pt>
                <c:pt idx="286">
                  <c:v>6.1065870670163528E-10</c:v>
                </c:pt>
                <c:pt idx="287">
                  <c:v>5.23467905875814E-10</c:v>
                </c:pt>
                <c:pt idx="288">
                  <c:v>4.4844597699092431E-10</c:v>
                </c:pt>
                <c:pt idx="289">
                  <c:v>3.8393594224571624E-10</c:v>
                </c:pt>
                <c:pt idx="290">
                  <c:v>3.2850045453889862E-10</c:v>
                </c:pt>
                <c:pt idx="291">
                  <c:v>2.8089353586132025E-10</c:v>
                </c:pt>
                <c:pt idx="292">
                  <c:v>2.4003583425775293E-10</c:v>
                </c:pt>
                <c:pt idx="293">
                  <c:v>2.0499297732568612E-10</c:v>
                </c:pt>
                <c:pt idx="294">
                  <c:v>1.7495664871445405E-10</c:v>
                </c:pt>
                <c:pt idx="295">
                  <c:v>1.4922805728582254E-10</c:v>
                </c:pt>
                <c:pt idx="296">
                  <c:v>1.272035070410957E-10</c:v>
                </c:pt>
                <c:pt idx="297">
                  <c:v>1.0836181010247683E-10</c:v>
                </c:pt>
                <c:pt idx="298">
                  <c:v>9.2253315403091238E-11</c:v>
                </c:pt>
                <c:pt idx="299">
                  <c:v>7.8490352692861204E-11</c:v>
                </c:pt>
                <c:pt idx="300">
                  <c:v>6.6738915369054224E-11</c:v>
                </c:pt>
                <c:pt idx="301">
                  <c:v>5.6711426817605531E-11</c:v>
                </c:pt>
                <c:pt idx="302">
                  <c:v>4.8160453698385155E-11</c:v>
                </c:pt>
                <c:pt idx="303">
                  <c:v>4.0873246188916319E-11</c:v>
                </c:pt>
                <c:pt idx="304">
                  <c:v>3.4666999854123566E-11</c:v>
                </c:pt>
                <c:pt idx="305">
                  <c:v>2.9384746747617812E-11</c:v>
                </c:pt>
                <c:pt idx="306">
                  <c:v>2.48917947637357E-11</c:v>
                </c:pt>
                <c:pt idx="307">
                  <c:v>2.1072644320024352E-11</c:v>
                </c:pt>
                <c:pt idx="308">
                  <c:v>1.7828320309985186E-11</c:v>
                </c:pt>
                <c:pt idx="309">
                  <c:v>1.5074065062274241E-11</c:v>
                </c:pt>
                <c:pt idx="310">
                  <c:v>1.2737344897105543E-11</c:v>
                </c:pt>
                <c:pt idx="311">
                  <c:v>1.0756128892040021E-11</c:v>
                </c:pt>
                <c:pt idx="312">
                  <c:v>9.0774037544767918E-12</c:v>
                </c:pt>
                <c:pt idx="313">
                  <c:v>7.6558933331635047E-12</c:v>
                </c:pt>
                <c:pt idx="314">
                  <c:v>6.4529553624947111E-12</c:v>
                </c:pt>
                <c:pt idx="315">
                  <c:v>5.4356315892957566E-12</c:v>
                </c:pt>
                <c:pt idx="316">
                  <c:v>4.5758305425375301E-12</c:v>
                </c:pt>
                <c:pt idx="317">
                  <c:v>3.8496249254917572E-12</c:v>
                </c:pt>
                <c:pt idx="318">
                  <c:v>3.2366479845787705E-12</c:v>
                </c:pt>
                <c:pt idx="319">
                  <c:v>2.7195752814870772E-12</c:v>
                </c:pt>
                <c:pt idx="320">
                  <c:v>2.2836801020904101E-12</c:v>
                </c:pt>
                <c:pt idx="321">
                  <c:v>1.9164523099573442E-12</c:v>
                </c:pt>
                <c:pt idx="322">
                  <c:v>1.6072718226878803E-12</c:v>
                </c:pt>
                <c:pt idx="323">
                  <c:v>1.347129081348755E-12</c:v>
                </c:pt>
                <c:pt idx="324">
                  <c:v>1.1283859193009944E-12</c:v>
                </c:pt>
                <c:pt idx="325">
                  <c:v>9.4457113641570045E-13</c:v>
                </c:pt>
                <c:pt idx="326">
                  <c:v>7.9020586536699372E-13</c:v>
                </c:pt>
                <c:pt idx="327">
                  <c:v>6.6065449357526414E-13</c:v>
                </c:pt>
                <c:pt idx="328">
                  <c:v>5.5199749078409064E-13</c:v>
                </c:pt>
                <c:pt idx="329">
                  <c:v>4.6092299987990486E-13</c:v>
                </c:pt>
                <c:pt idx="330">
                  <c:v>3.8463448764017936E-13</c:v>
                </c:pt>
                <c:pt idx="331">
                  <c:v>3.2077213158011986E-13</c:v>
                </c:pt>
                <c:pt idx="332">
                  <c:v>2.6734594678844224E-13</c:v>
                </c:pt>
                <c:pt idx="333">
                  <c:v>2.2267893943790753E-13</c:v>
                </c:pt>
                <c:pt idx="334">
                  <c:v>1.8535881749253858E-13</c:v>
                </c:pt>
                <c:pt idx="335">
                  <c:v>1.5419699921339281E-13</c:v>
                </c:pt>
                <c:pt idx="336">
                  <c:v>1.2819384091986785E-13</c:v>
                </c:pt>
                <c:pt idx="337">
                  <c:v>1.0650916103795072E-13</c:v>
                </c:pt>
                <c:pt idx="338">
                  <c:v>8.8437271190212456E-14</c:v>
                </c:pt>
                <c:pt idx="339">
                  <c:v>7.3385839934480225E-14</c:v>
                </c:pt>
                <c:pt idx="340">
                  <c:v>6.0858013325701032E-14</c:v>
                </c:pt>
                <c:pt idx="341">
                  <c:v>5.0437301002038099E-14</c:v>
                </c:pt>
                <c:pt idx="342">
                  <c:v>4.1774808925942319E-14</c:v>
                </c:pt>
                <c:pt idx="343">
                  <c:v>3.4578461927237655E-14</c:v>
                </c:pt>
                <c:pt idx="344">
                  <c:v>2.8603912254491534E-14</c:v>
                </c:pt>
                <c:pt idx="345">
                  <c:v>2.3646875701956391E-14</c:v>
                </c:pt>
                <c:pt idx="346">
                  <c:v>1.95366756294168E-14</c:v>
                </c:pt>
                <c:pt idx="347">
                  <c:v>1.6130808269525956E-14</c:v>
                </c:pt>
                <c:pt idx="348">
                  <c:v>1.3310370930626638E-14</c:v>
                </c:pt>
                <c:pt idx="349">
                  <c:v>1.0976218749493065E-14</c:v>
                </c:pt>
                <c:pt idx="350">
                  <c:v>9.0457361277773079E-15</c:v>
                </c:pt>
                <c:pt idx="351">
                  <c:v>7.4501264141193607E-15</c:v>
                </c:pt>
                <c:pt idx="352">
                  <c:v>6.1321382142383152E-15</c:v>
                </c:pt>
                <c:pt idx="353">
                  <c:v>5.044159304559835E-15</c:v>
                </c:pt>
                <c:pt idx="354">
                  <c:v>4.1466198176538909E-15</c:v>
                </c:pt>
                <c:pt idx="355">
                  <c:v>3.4066554399409392E-15</c:v>
                </c:pt>
                <c:pt idx="356">
                  <c:v>2.7969890535866522E-15</c:v>
                </c:pt>
                <c:pt idx="357">
                  <c:v>2.294995770486765E-15</c:v>
                </c:pt>
                <c:pt idx="358">
                  <c:v>1.8819218222568574E-15</c:v>
                </c:pt>
                <c:pt idx="359">
                  <c:v>1.5422324361520065E-15</c:v>
                </c:pt>
                <c:pt idx="360">
                  <c:v>1.263067770883613E-15</c:v>
                </c:pt>
                <c:pt idx="361">
                  <c:v>1.0337893175990633E-15</c:v>
                </c:pt>
                <c:pt idx="362">
                  <c:v>8.456019829442492E-16</c:v>
                </c:pt>
                <c:pt idx="363">
                  <c:v>6.9123944243357906E-16</c:v>
                </c:pt>
                <c:pt idx="364">
                  <c:v>5.6470235078829091E-16</c:v>
                </c:pt>
                <c:pt idx="365">
                  <c:v>4.6104067885393476E-16</c:v>
                </c:pt>
                <c:pt idx="366">
                  <c:v>3.7617286292685701E-16</c:v>
                </c:pt>
                <c:pt idx="367">
                  <c:v>3.0673564320183966E-16</c:v>
                </c:pt>
                <c:pt idx="368">
                  <c:v>2.4995946871229981E-16</c:v>
                </c:pt>
                <c:pt idx="369">
                  <c:v>2.0356518633662494E-16</c:v>
                </c:pt>
                <c:pt idx="370">
                  <c:v>1.6567843639913169E-16</c:v>
                </c:pt>
                <c:pt idx="371">
                  <c:v>1.3475876843794647E-16</c:v>
                </c:pt>
                <c:pt idx="372">
                  <c:v>1.0954098588767557E-16</c:v>
                </c:pt>
                <c:pt idx="373">
                  <c:v>8.8986642977770174E-17</c:v>
                </c:pt>
                <c:pt idx="374">
                  <c:v>7.2243963950707876E-17</c:v>
                </c:pt>
                <c:pt idx="375">
                  <c:v>5.8614744617575728E-17</c:v>
                </c:pt>
                <c:pt idx="376">
                  <c:v>4.7527038447672758E-17</c:v>
                </c:pt>
                <c:pt idx="377">
                  <c:v>3.8512631545249236E-17</c:v>
                </c:pt>
                <c:pt idx="378">
                  <c:v>3.1188479491751116E-17</c:v>
                </c:pt>
                <c:pt idx="379">
                  <c:v>2.5241419585341362E-17</c:v>
                </c:pt>
                <c:pt idx="380">
                  <c:v>2.0415589079162126E-17</c:v>
                </c:pt>
                <c:pt idx="381">
                  <c:v>1.6502077458680753E-17</c:v>
                </c:pt>
                <c:pt idx="382">
                  <c:v>1.3330421839550756E-17</c:v>
                </c:pt>
                <c:pt idx="383">
                  <c:v>1.0761621921443018E-17</c:v>
                </c:pt>
                <c:pt idx="384">
                  <c:v>8.6824068714103374E-18</c:v>
                </c:pt>
                <c:pt idx="385">
                  <c:v>7.000532933872448E-18</c:v>
                </c:pt>
                <c:pt idx="386">
                  <c:v>5.6409290637982169E-18</c:v>
                </c:pt>
                <c:pt idx="387">
                  <c:v>4.5425397846586753E-18</c:v>
                </c:pt>
                <c:pt idx="388">
                  <c:v>3.6557408937493852E-18</c:v>
                </c:pt>
                <c:pt idx="389">
                  <c:v>2.940225501405797E-18</c:v>
                </c:pt>
                <c:pt idx="390">
                  <c:v>2.3632759704742353E-18</c:v>
                </c:pt>
                <c:pt idx="391">
                  <c:v>1.8983522623483491E-18</c:v>
                </c:pt>
                <c:pt idx="392">
                  <c:v>1.5239395323896518E-18</c:v>
                </c:pt>
                <c:pt idx="393">
                  <c:v>1.2226079969979009E-18</c:v>
                </c:pt>
                <c:pt idx="394">
                  <c:v>9.8024648814040191E-19</c:v>
                </c:pt>
                <c:pt idx="395">
                  <c:v>7.8543802716570891E-19</c:v>
                </c:pt>
                <c:pt idx="396">
                  <c:v>6.2895144423744442E-19</c:v>
                </c:pt>
                <c:pt idx="397">
                  <c:v>5.0332775512671437E-19</c:v>
                </c:pt>
                <c:pt idx="398">
                  <c:v>4.0254385947013104E-19</c:v>
                </c:pt>
                <c:pt idx="399">
                  <c:v>3.21739289787908E-19</c:v>
                </c:pt>
                <c:pt idx="400">
                  <c:v>2.5699433929155126E-19</c:v>
                </c:pt>
                <c:pt idx="401">
                  <c:v>2.0515002865156383E-19</c:v>
                </c:pt>
                <c:pt idx="402">
                  <c:v>1.6366211997543546E-19</c:v>
                </c:pt>
                <c:pt idx="403">
                  <c:v>1.3048281842935699E-19</c:v>
                </c:pt>
                <c:pt idx="404">
                  <c:v>1.0396497447780661E-19</c:v>
                </c:pt>
                <c:pt idx="405">
                  <c:v>8.2784559004662129E-20</c:v>
                </c:pt>
                <c:pt idx="406">
                  <c:v>6.5877967846810817E-20</c:v>
                </c:pt>
                <c:pt idx="407">
                  <c:v>5.2391352996008282E-20</c:v>
                </c:pt>
                <c:pt idx="408">
                  <c:v>4.1639700809468342E-20</c:v>
                </c:pt>
                <c:pt idx="409">
                  <c:v>3.3073804312360055E-20</c:v>
                </c:pt>
                <c:pt idx="410">
                  <c:v>2.62536245749069E-20</c:v>
                </c:pt>
                <c:pt idx="411">
                  <c:v>2.0826819570082289E-20</c:v>
                </c:pt>
                <c:pt idx="412">
                  <c:v>1.6511449651836189E-20</c:v>
                </c:pt>
                <c:pt idx="413">
                  <c:v>1.308205650141917E-20</c:v>
                </c:pt>
                <c:pt idx="414">
                  <c:v>1.0358464986732348E-20</c:v>
                </c:pt>
                <c:pt idx="415">
                  <c:v>8.196781346947477E-21</c:v>
                </c:pt>
                <c:pt idx="416">
                  <c:v>6.4821617527460903E-21</c:v>
                </c:pt>
                <c:pt idx="417">
                  <c:v>5.1230069344594375E-21</c:v>
                </c:pt>
                <c:pt idx="418">
                  <c:v>4.046304755404212E-21</c:v>
                </c:pt>
                <c:pt idx="419">
                  <c:v>3.1938962246551403E-21</c:v>
                </c:pt>
                <c:pt idx="420">
                  <c:v>2.5194838485730513E-21</c:v>
                </c:pt>
                <c:pt idx="421">
                  <c:v>1.9862363340130596E-21</c:v>
                </c:pt>
                <c:pt idx="422">
                  <c:v>1.5648720423138023E-21</c:v>
                </c:pt>
                <c:pt idx="423">
                  <c:v>1.2321265248124791E-21</c:v>
                </c:pt>
                <c:pt idx="424">
                  <c:v>9.695279829359619E-22</c:v>
                </c:pt>
                <c:pt idx="425">
                  <c:v>7.6241943015777055E-22</c:v>
                </c:pt>
                <c:pt idx="426">
                  <c:v>5.9917837246328621E-22</c:v>
                </c:pt>
                <c:pt idx="427">
                  <c:v>4.7059452283069271E-22</c:v>
                </c:pt>
                <c:pt idx="428">
                  <c:v>3.693738731757618E-22</c:v>
                </c:pt>
                <c:pt idx="429">
                  <c:v>2.8974372851947997E-22</c:v>
                </c:pt>
                <c:pt idx="430">
                  <c:v>2.271383577992278E-22</c:v>
                </c:pt>
                <c:pt idx="431">
                  <c:v>1.7794897244412604E-22</c:v>
                </c:pt>
                <c:pt idx="432">
                  <c:v>1.3932500056790145E-22</c:v>
                </c:pt>
                <c:pt idx="433">
                  <c:v>1.0901623733726599E-22</c:v>
                </c:pt>
                <c:pt idx="434">
                  <c:v>8.524754665692838E-23</c:v>
                </c:pt>
                <c:pt idx="435">
                  <c:v>6.6619467359649527E-23</c:v>
                </c:pt>
                <c:pt idx="436">
                  <c:v>5.2029420505025886E-23</c:v>
                </c:pt>
                <c:pt idx="437">
                  <c:v>4.0609289162017951E-23</c:v>
                </c:pt>
                <c:pt idx="438">
                  <c:v>3.1676001304528164E-23</c:v>
                </c:pt>
                <c:pt idx="439">
                  <c:v>2.4692432928631329E-23</c:v>
                </c:pt>
                <c:pt idx="440">
                  <c:v>1.9236496566748964E-23</c:v>
                </c:pt>
                <c:pt idx="441">
                  <c:v>1.49767176341125E-23</c:v>
                </c:pt>
                <c:pt idx="442">
                  <c:v>1.165294965845545E-23</c:v>
                </c:pt>
                <c:pt idx="443">
                  <c:v>9.0611571942346399E-24</c:v>
                </c:pt>
                <c:pt idx="444">
                  <c:v>7.0414163606841512E-24</c:v>
                </c:pt>
                <c:pt idx="445">
                  <c:v>5.4684588865413918E-24</c:v>
                </c:pt>
                <c:pt idx="446">
                  <c:v>4.2442254336008938E-24</c:v>
                </c:pt>
                <c:pt idx="447">
                  <c:v>3.292005118131614E-24</c:v>
                </c:pt>
                <c:pt idx="448">
                  <c:v>2.551826398574132E-24</c:v>
                </c:pt>
                <c:pt idx="449">
                  <c:v>1.976834518865361E-24</c:v>
                </c:pt>
                <c:pt idx="450">
                  <c:v>1.5304462163103339E-24</c:v>
                </c:pt>
                <c:pt idx="451">
                  <c:v>1.1841163941873458E-24</c:v>
                </c:pt>
                <c:pt idx="452">
                  <c:v>9.1558629213797272E-25</c:v>
                </c:pt>
                <c:pt idx="453">
                  <c:v>7.0751024962413184E-25</c:v>
                </c:pt>
                <c:pt idx="454">
                  <c:v>5.4637995199949198E-25</c:v>
                </c:pt>
                <c:pt idx="455">
                  <c:v>4.2168227031720883E-25</c:v>
                </c:pt>
                <c:pt idx="456">
                  <c:v>3.2524040498065934E-25</c:v>
                </c:pt>
                <c:pt idx="457">
                  <c:v>2.5069877441829822E-25</c:v>
                </c:pt>
                <c:pt idx="458">
                  <c:v>1.9312055216262867E-25</c:v>
                </c:pt>
                <c:pt idx="459">
                  <c:v>1.4867342419028285E-25</c:v>
                </c:pt>
                <c:pt idx="460">
                  <c:v>1.1438438976290472E-25</c:v>
                </c:pt>
                <c:pt idx="461">
                  <c:v>8.7948561618543705E-26</c:v>
                </c:pt>
                <c:pt idx="462">
                  <c:v>6.7580171330892019E-26</c:v>
                </c:pt>
                <c:pt idx="463">
                  <c:v>5.1896539752494282E-26</c:v>
                </c:pt>
                <c:pt idx="464">
                  <c:v>3.9827778317483136E-26</c:v>
                </c:pt>
                <c:pt idx="465">
                  <c:v>3.0546561207428201E-26</c:v>
                </c:pt>
                <c:pt idx="466">
                  <c:v>2.3413543020687758E-26</c:v>
                </c:pt>
                <c:pt idx="467">
                  <c:v>1.7934964229204992E-26</c:v>
                </c:pt>
                <c:pt idx="468">
                  <c:v>1.3729744579530006E-26</c:v>
                </c:pt>
                <c:pt idx="469">
                  <c:v>1.0503957768890642E-26</c:v>
                </c:pt>
                <c:pt idx="470">
                  <c:v>8.0310446790450403E-27</c:v>
                </c:pt>
                <c:pt idx="471">
                  <c:v>6.1364850849981702E-27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Automated!$D$64</c:f>
              <c:strCache>
                <c:ptCount val="1"/>
                <c:pt idx="0">
                  <c:v>b</c:v>
                </c:pt>
              </c:strCache>
            </c:strRef>
          </c:tx>
          <c:spPr>
            <a:ln w="444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Automated!$B$65:$B$536</c:f>
              <c:numCache>
                <c:formatCode>0.0</c:formatCode>
                <c:ptCount val="47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</c:numCache>
            </c:numRef>
          </c:xVal>
          <c:yVal>
            <c:numRef>
              <c:f>Automated!$D$65:$D$536</c:f>
              <c:numCache>
                <c:formatCode>0.00</c:formatCode>
                <c:ptCount val="472"/>
                <c:pt idx="0">
                  <c:v>1.1737988394937866E-35</c:v>
                </c:pt>
                <c:pt idx="1">
                  <c:v>1.6038914947106206E-35</c:v>
                </c:pt>
                <c:pt idx="2">
                  <c:v>2.1902054680766364E-35</c:v>
                </c:pt>
                <c:pt idx="3">
                  <c:v>2.9889819978010855E-35</c:v>
                </c:pt>
                <c:pt idx="4">
                  <c:v>4.0765268370991128E-35</c:v>
                </c:pt>
                <c:pt idx="5">
                  <c:v>5.5563024522863645E-35</c:v>
                </c:pt>
                <c:pt idx="6">
                  <c:v>7.5685035060824241E-35</c:v>
                </c:pt>
                <c:pt idx="7">
                  <c:v>1.0302976771955045E-34</c:v>
                </c:pt>
                <c:pt idx="8">
                  <c:v>1.4016642315759581E-34</c:v>
                </c:pt>
                <c:pt idx="9">
                  <c:v>1.9056968981342702E-34</c:v>
                </c:pt>
                <c:pt idx="10">
                  <c:v>2.5893587740520877E-34</c:v>
                </c:pt>
                <c:pt idx="11">
                  <c:v>3.5160836383723814E-34</c:v>
                </c:pt>
                <c:pt idx="12">
                  <c:v>4.7714978365920408E-34</c:v>
                </c:pt>
                <c:pt idx="13">
                  <c:v>6.4711107288029071E-34</c:v>
                </c:pt>
                <c:pt idx="14">
                  <c:v>8.7706442774139983E-34</c:v>
                </c:pt>
                <c:pt idx="15">
                  <c:v>1.1879898468471142E-33</c:v>
                </c:pt>
                <c:pt idx="16">
                  <c:v>1.6081350836589374E-33</c:v>
                </c:pt>
                <c:pt idx="17">
                  <c:v>2.175509031172658E-33</c:v>
                </c:pt>
                <c:pt idx="18">
                  <c:v>2.9412220977274581E-33</c:v>
                </c:pt>
                <c:pt idx="19">
                  <c:v>3.9739583938259801E-33</c:v>
                </c:pt>
                <c:pt idx="20">
                  <c:v>5.3659593391576512E-33</c:v>
                </c:pt>
                <c:pt idx="21">
                  <c:v>7.2410243013600497E-33</c:v>
                </c:pt>
                <c:pt idx="22">
                  <c:v>9.7652012601917889E-33</c:v>
                </c:pt>
                <c:pt idx="23">
                  <c:v>1.3161062694240911E-32</c:v>
                </c:pt>
                <c:pt idx="24">
                  <c:v>1.7726756671070151E-32</c:v>
                </c:pt>
                <c:pt idx="25">
                  <c:v>2.3861413933219777E-32</c:v>
                </c:pt>
                <c:pt idx="26">
                  <c:v>3.20990095486903E-32</c:v>
                </c:pt>
                <c:pt idx="27">
                  <c:v>4.3153463226344033E-32</c:v>
                </c:pt>
                <c:pt idx="28">
                  <c:v>5.7978669431403745E-32</c:v>
                </c:pt>
                <c:pt idx="29">
                  <c:v>7.7848347744620119E-32</c:v>
                </c:pt>
                <c:pt idx="30">
                  <c:v>1.0446218861356616E-31</c:v>
                </c:pt>
                <c:pt idx="31">
                  <c:v>1.4008686219718639E-31</c:v>
                </c:pt>
                <c:pt idx="32">
                  <c:v>1.877432193124132E-31</c:v>
                </c:pt>
                <c:pt idx="33">
                  <c:v>2.5145465485053048E-31</c:v>
                </c:pt>
                <c:pt idx="34">
                  <c:v>3.3657640271748641E-31</c:v>
                </c:pt>
                <c:pt idx="35">
                  <c:v>4.5023185097869333E-31</c:v>
                </c:pt>
                <c:pt idx="36">
                  <c:v>6.0189028295982523E-31</c:v>
                </c:pt>
                <c:pt idx="37">
                  <c:v>8.0413138859569636E-31</c:v>
                </c:pt>
                <c:pt idx="38">
                  <c:v>1.0736562669840033E-30</c:v>
                </c:pt>
                <c:pt idx="39">
                  <c:v>1.432623523912918E-30</c:v>
                </c:pt>
                <c:pt idx="40">
                  <c:v>1.9104138528968008E-30</c:v>
                </c:pt>
                <c:pt idx="41">
                  <c:v>2.5459589979207811E-30</c:v>
                </c:pt>
                <c:pt idx="42">
                  <c:v>3.3908136098328346E-30</c:v>
                </c:pt>
                <c:pt idx="43">
                  <c:v>4.513204329129616E-30</c:v>
                </c:pt>
                <c:pt idx="44">
                  <c:v>6.0033635000213398E-30</c:v>
                </c:pt>
                <c:pt idx="45">
                  <c:v>7.9805505115880541E-30</c:v>
                </c:pt>
                <c:pt idx="46">
                  <c:v>1.0602288727467986E-29</c:v>
                </c:pt>
                <c:pt idx="47">
                  <c:v>1.4076509223114322E-29</c:v>
                </c:pt>
                <c:pt idx="48">
                  <c:v>1.8677505689708678E-29</c:v>
                </c:pt>
                <c:pt idx="49">
                  <c:v>2.476688294107127E-29</c:v>
                </c:pt>
                <c:pt idx="50">
                  <c:v>3.2821044015385071E-29</c:v>
                </c:pt>
                <c:pt idx="51">
                  <c:v>4.3467233244117398E-29</c:v>
                </c:pt>
                <c:pt idx="52">
                  <c:v>5.7530767721202659E-29</c:v>
                </c:pt>
                <c:pt idx="53">
                  <c:v>7.6096889904433519E-29</c:v>
                </c:pt>
                <c:pt idx="54">
                  <c:v>1.0059171470701731E-28</c:v>
                </c:pt>
                <c:pt idx="55">
                  <c:v>1.3288809665054483E-28</c:v>
                </c:pt>
                <c:pt idx="56">
                  <c:v>1.7544399856652897E-28</c:v>
                </c:pt>
                <c:pt idx="57">
                  <c:v>2.3148322194419921E-28</c:v>
                </c:pt>
                <c:pt idx="58">
                  <c:v>3.0523131393191425E-28</c:v>
                </c:pt>
                <c:pt idx="59">
                  <c:v>4.0222329535784524E-28</c:v>
                </c:pt>
                <c:pt idx="60">
                  <c:v>5.2970481337732714E-28</c:v>
                </c:pt>
                <c:pt idx="61">
                  <c:v>6.9715474053556179E-28</c:v>
                </c:pt>
                <c:pt idx="62">
                  <c:v>9.1696554275878565E-28</c:v>
                </c:pt>
                <c:pt idx="63">
                  <c:v>1.205328466994048E-27</c:v>
                </c:pt>
                <c:pt idx="64">
                  <c:v>1.5833844554576176E-27</c:v>
                </c:pt>
                <c:pt idx="65">
                  <c:v>2.0787195776948475E-27</c:v>
                </c:pt>
                <c:pt idx="66">
                  <c:v>2.7273068392611652E-27</c:v>
                </c:pt>
                <c:pt idx="67">
                  <c:v>3.5760259590054747E-27</c:v>
                </c:pt>
                <c:pt idx="68">
                  <c:v>4.6859310058543912E-27</c:v>
                </c:pt>
                <c:pt idx="69">
                  <c:v>6.1364850850046231E-27</c:v>
                </c:pt>
                <c:pt idx="70">
                  <c:v>8.0310446790534289E-27</c:v>
                </c:pt>
                <c:pt idx="71">
                  <c:v>1.0503957768901613E-26</c:v>
                </c:pt>
                <c:pt idx="72">
                  <c:v>1.3729744579544054E-26</c:v>
                </c:pt>
                <c:pt idx="73">
                  <c:v>1.7934964229223342E-26</c:v>
                </c:pt>
                <c:pt idx="74">
                  <c:v>2.3413543020711713E-26</c:v>
                </c:pt>
                <c:pt idx="75">
                  <c:v>3.05465612074588E-26</c:v>
                </c:pt>
                <c:pt idx="76">
                  <c:v>3.9827778317522752E-26</c:v>
                </c:pt>
                <c:pt idx="77">
                  <c:v>5.1896539752546272E-26</c:v>
                </c:pt>
                <c:pt idx="78">
                  <c:v>6.7580171330959231E-26</c:v>
                </c:pt>
                <c:pt idx="79">
                  <c:v>8.794856161863057E-26</c:v>
                </c:pt>
                <c:pt idx="80">
                  <c:v>1.1438438976301607E-25</c:v>
                </c:pt>
                <c:pt idx="81">
                  <c:v>1.486734241904265E-25</c:v>
                </c:pt>
                <c:pt idx="82">
                  <c:v>1.931205521628153E-25</c:v>
                </c:pt>
                <c:pt idx="83">
                  <c:v>2.5069877441853516E-25</c:v>
                </c:pt>
                <c:pt idx="84">
                  <c:v>3.2524040498096667E-25</c:v>
                </c:pt>
                <c:pt idx="85">
                  <c:v>4.2168227031760436E-25</c:v>
                </c:pt>
                <c:pt idx="86">
                  <c:v>5.4637995200000442E-25</c:v>
                </c:pt>
                <c:pt idx="87">
                  <c:v>7.0751024962479544E-25</c:v>
                </c:pt>
                <c:pt idx="88">
                  <c:v>9.1558629213881209E-25</c:v>
                </c:pt>
                <c:pt idx="89">
                  <c:v>1.1841163941884311E-24</c:v>
                </c:pt>
                <c:pt idx="90">
                  <c:v>1.530446216311726E-24</c:v>
                </c:pt>
                <c:pt idx="91">
                  <c:v>1.9768345188671312E-24</c:v>
                </c:pt>
                <c:pt idx="92">
                  <c:v>2.5518263985763985E-24</c:v>
                </c:pt>
                <c:pt idx="93">
                  <c:v>3.2920051181345377E-24</c:v>
                </c:pt>
                <c:pt idx="94">
                  <c:v>4.2442254336046326E-24</c:v>
                </c:pt>
                <c:pt idx="95">
                  <c:v>5.4684588865462092E-24</c:v>
                </c:pt>
                <c:pt idx="96">
                  <c:v>7.041416360690205E-24</c:v>
                </c:pt>
                <c:pt idx="97">
                  <c:v>9.0611571942424305E-24</c:v>
                </c:pt>
                <c:pt idx="98">
                  <c:v>1.165294965846547E-23</c:v>
                </c:pt>
                <c:pt idx="99">
                  <c:v>1.4976717634125057E-23</c:v>
                </c:pt>
                <c:pt idx="100">
                  <c:v>1.9236496566764957E-23</c:v>
                </c:pt>
                <c:pt idx="101">
                  <c:v>2.4692432928651856E-23</c:v>
                </c:pt>
                <c:pt idx="102">
                  <c:v>3.1676001304554501E-23</c:v>
                </c:pt>
                <c:pt idx="103">
                  <c:v>4.0609289162051711E-23</c:v>
                </c:pt>
                <c:pt idx="104">
                  <c:v>5.2029420505067657E-23</c:v>
                </c:pt>
                <c:pt idx="105">
                  <c:v>6.6619467359703494E-23</c:v>
                </c:pt>
                <c:pt idx="106">
                  <c:v>8.5247546656997428E-23</c:v>
                </c:pt>
                <c:pt idx="107">
                  <c:v>1.0901623733735119E-22</c:v>
                </c:pt>
                <c:pt idx="108">
                  <c:v>1.3932500056801034E-22</c:v>
                </c:pt>
                <c:pt idx="109">
                  <c:v>1.7794897244426515E-22</c:v>
                </c:pt>
                <c:pt idx="110">
                  <c:v>2.2713835779940535E-22</c:v>
                </c:pt>
                <c:pt idx="111">
                  <c:v>2.8974372851970434E-22</c:v>
                </c:pt>
                <c:pt idx="112">
                  <c:v>3.6937387317604265E-22</c:v>
                </c:pt>
                <c:pt idx="113">
                  <c:v>4.7059452283104723E-22</c:v>
                </c:pt>
                <c:pt idx="114">
                  <c:v>5.9917837246373741E-22</c:v>
                </c:pt>
                <c:pt idx="115">
                  <c:v>7.6241943015832849E-22</c:v>
                </c:pt>
                <c:pt idx="116">
                  <c:v>9.6952798293667829E-22</c:v>
                </c:pt>
                <c:pt idx="117">
                  <c:v>1.2321265248133807E-21</c:v>
                </c:pt>
                <c:pt idx="118">
                  <c:v>1.5648720423149477E-21</c:v>
                </c:pt>
                <c:pt idx="119">
                  <c:v>1.9862363340144992E-21</c:v>
                </c:pt>
                <c:pt idx="120">
                  <c:v>2.5194838485748238E-21</c:v>
                </c:pt>
                <c:pt idx="121">
                  <c:v>3.1938962246573871E-21</c:v>
                </c:pt>
                <c:pt idx="122">
                  <c:v>4.046304755407058E-21</c:v>
                </c:pt>
                <c:pt idx="123">
                  <c:v>5.1230069344629328E-21</c:v>
                </c:pt>
                <c:pt idx="124">
                  <c:v>6.4821617527505117E-21</c:v>
                </c:pt>
                <c:pt idx="125">
                  <c:v>8.1967813469530697E-21</c:v>
                </c:pt>
                <c:pt idx="126">
                  <c:v>1.0358464986739415E-20</c:v>
                </c:pt>
                <c:pt idx="127">
                  <c:v>1.3082056501428001E-20</c:v>
                </c:pt>
                <c:pt idx="128">
                  <c:v>1.6511449651847097E-20</c:v>
                </c:pt>
                <c:pt idx="129">
                  <c:v>2.0826819570096053E-20</c:v>
                </c:pt>
                <c:pt idx="130">
                  <c:v>2.6253624574924248E-20</c:v>
                </c:pt>
                <c:pt idx="131">
                  <c:v>3.3073804312380964E-20</c:v>
                </c:pt>
                <c:pt idx="132">
                  <c:v>4.1639700809494674E-20</c:v>
                </c:pt>
                <c:pt idx="133">
                  <c:v>5.239135299604142E-20</c:v>
                </c:pt>
                <c:pt idx="134">
                  <c:v>6.5877967846852477E-20</c:v>
                </c:pt>
                <c:pt idx="135">
                  <c:v>8.2784559004714478E-20</c:v>
                </c:pt>
                <c:pt idx="136">
                  <c:v>1.0396497447787015E-19</c:v>
                </c:pt>
                <c:pt idx="137">
                  <c:v>1.3048281842943673E-19</c:v>
                </c:pt>
                <c:pt idx="138">
                  <c:v>1.6366211997553547E-19</c:v>
                </c:pt>
                <c:pt idx="139">
                  <c:v>2.051500286516848E-19</c:v>
                </c:pt>
                <c:pt idx="140">
                  <c:v>2.5699433929170279E-19</c:v>
                </c:pt>
                <c:pt idx="141">
                  <c:v>3.2173928978809775E-19</c:v>
                </c:pt>
                <c:pt idx="142">
                  <c:v>4.0254385947036841E-19</c:v>
                </c:pt>
                <c:pt idx="143">
                  <c:v>5.0332775512700759E-19</c:v>
                </c:pt>
                <c:pt idx="144">
                  <c:v>6.2895144423780197E-19</c:v>
                </c:pt>
                <c:pt idx="145">
                  <c:v>7.8543802716615525E-19</c:v>
                </c:pt>
                <c:pt idx="146">
                  <c:v>9.8024648814095908E-19</c:v>
                </c:pt>
                <c:pt idx="147">
                  <c:v>1.2226079969985698E-18</c:v>
                </c:pt>
                <c:pt idx="148">
                  <c:v>1.5239395323904855E-18</c:v>
                </c:pt>
                <c:pt idx="149">
                  <c:v>1.898352262349388E-18</c:v>
                </c:pt>
                <c:pt idx="150">
                  <c:v>2.3632759704755284E-18</c:v>
                </c:pt>
                <c:pt idx="151">
                  <c:v>2.9402255014073847E-18</c:v>
                </c:pt>
                <c:pt idx="152">
                  <c:v>3.6557408937513073E-18</c:v>
                </c:pt>
                <c:pt idx="153">
                  <c:v>4.5425397846610642E-18</c:v>
                </c:pt>
                <c:pt idx="154">
                  <c:v>5.6409290638011428E-18</c:v>
                </c:pt>
                <c:pt idx="155">
                  <c:v>7.0005329338759809E-18</c:v>
                </c:pt>
                <c:pt idx="156">
                  <c:v>8.6824068714147177E-18</c:v>
                </c:pt>
                <c:pt idx="157">
                  <c:v>1.0761621921448448E-17</c:v>
                </c:pt>
                <c:pt idx="158">
                  <c:v>1.3330421839557481E-17</c:v>
                </c:pt>
                <c:pt idx="159">
                  <c:v>1.6502077458689076E-17</c:v>
                </c:pt>
                <c:pt idx="160">
                  <c:v>2.041558907917199E-17</c:v>
                </c:pt>
                <c:pt idx="161">
                  <c:v>2.5241419585353555E-17</c:v>
                </c:pt>
                <c:pt idx="162">
                  <c:v>3.1188479491765956E-17</c:v>
                </c:pt>
                <c:pt idx="163">
                  <c:v>3.8512631545267848E-17</c:v>
                </c:pt>
                <c:pt idx="164">
                  <c:v>4.7527038447695388E-17</c:v>
                </c:pt>
                <c:pt idx="165">
                  <c:v>5.8614744617603634E-17</c:v>
                </c:pt>
                <c:pt idx="166">
                  <c:v>7.2243963950742266E-17</c:v>
                </c:pt>
                <c:pt idx="167">
                  <c:v>8.8986642977812538E-17</c:v>
                </c:pt>
                <c:pt idx="168">
                  <c:v>1.0954098588772693E-16</c:v>
                </c:pt>
                <c:pt idx="169">
                  <c:v>1.3475876843800967E-16</c:v>
                </c:pt>
                <c:pt idx="170">
                  <c:v>1.6567843639920939E-16</c:v>
                </c:pt>
                <c:pt idx="171">
                  <c:v>2.0356518633672037E-16</c:v>
                </c:pt>
                <c:pt idx="172">
                  <c:v>2.4995946871241528E-16</c:v>
                </c:pt>
                <c:pt idx="173">
                  <c:v>3.0673564320198348E-16</c:v>
                </c:pt>
                <c:pt idx="174">
                  <c:v>3.7617286292703071E-16</c:v>
                </c:pt>
                <c:pt idx="175">
                  <c:v>4.6104067885414765E-16</c:v>
                </c:pt>
                <c:pt idx="176">
                  <c:v>5.6470235078855173E-16</c:v>
                </c:pt>
                <c:pt idx="177">
                  <c:v>6.9123944243389826E-16</c:v>
                </c:pt>
                <c:pt idx="178">
                  <c:v>8.4560198294463979E-16</c:v>
                </c:pt>
                <c:pt idx="179">
                  <c:v>1.0337893175995332E-15</c:v>
                </c:pt>
                <c:pt idx="180">
                  <c:v>1.2630677708841873E-15</c:v>
                </c:pt>
                <c:pt idx="181">
                  <c:v>1.5422324361527078E-15</c:v>
                </c:pt>
                <c:pt idx="182">
                  <c:v>1.8819218222577066E-15</c:v>
                </c:pt>
                <c:pt idx="183">
                  <c:v>2.2949957704877925E-15</c:v>
                </c:pt>
                <c:pt idx="184">
                  <c:v>2.796989053587914E-15</c:v>
                </c:pt>
                <c:pt idx="185">
                  <c:v>3.4066554399424641E-15</c:v>
                </c:pt>
                <c:pt idx="186">
                  <c:v>4.1466198176557314E-15</c:v>
                </c:pt>
                <c:pt idx="187">
                  <c:v>5.0441593045620753E-15</c:v>
                </c:pt>
                <c:pt idx="188">
                  <c:v>6.1321382142410383E-15</c:v>
                </c:pt>
                <c:pt idx="189">
                  <c:v>7.4501264141226692E-15</c:v>
                </c:pt>
                <c:pt idx="190">
                  <c:v>9.0457361277812933E-15</c:v>
                </c:pt>
                <c:pt idx="191">
                  <c:v>1.0976218749497862E-14</c:v>
                </c:pt>
                <c:pt idx="192">
                  <c:v>1.3310370930632453E-14</c:v>
                </c:pt>
                <c:pt idx="193">
                  <c:v>1.6130808269532948E-14</c:v>
                </c:pt>
                <c:pt idx="194">
                  <c:v>1.9536675629425269E-14</c:v>
                </c:pt>
                <c:pt idx="195">
                  <c:v>2.3646875701966643E-14</c:v>
                </c:pt>
                <c:pt idx="196">
                  <c:v>2.8603912254503834E-14</c:v>
                </c:pt>
                <c:pt idx="197">
                  <c:v>3.4578461927252638E-14</c:v>
                </c:pt>
                <c:pt idx="198">
                  <c:v>4.1774808925960274E-14</c:v>
                </c:pt>
                <c:pt idx="199">
                  <c:v>5.0437301002059783E-14</c:v>
                </c:pt>
                <c:pt idx="200">
                  <c:v>6.0858013325726982E-14</c:v>
                </c:pt>
                <c:pt idx="201">
                  <c:v>7.3385839934511249E-14</c:v>
                </c:pt>
                <c:pt idx="202">
                  <c:v>8.8437271190250158E-14</c:v>
                </c:pt>
                <c:pt idx="203">
                  <c:v>1.0650916103799576E-13</c:v>
                </c:pt>
                <c:pt idx="204">
                  <c:v>1.281938409199216E-13</c:v>
                </c:pt>
                <c:pt idx="205">
                  <c:v>1.5419699921345746E-13</c:v>
                </c:pt>
                <c:pt idx="206">
                  <c:v>1.8535881749261628E-13</c:v>
                </c:pt>
                <c:pt idx="207">
                  <c:v>2.2267893943800086E-13</c:v>
                </c:pt>
                <c:pt idx="208">
                  <c:v>2.6734594678855331E-13</c:v>
                </c:pt>
                <c:pt idx="209">
                  <c:v>3.2077213158025204E-13</c:v>
                </c:pt>
                <c:pt idx="210">
                  <c:v>3.8463448764033794E-13</c:v>
                </c:pt>
                <c:pt idx="211">
                  <c:v>4.6092299988009318E-13</c:v>
                </c:pt>
                <c:pt idx="212">
                  <c:v>5.5199749078431621E-13</c:v>
                </c:pt>
                <c:pt idx="213">
                  <c:v>6.6065449357553404E-13</c:v>
                </c:pt>
                <c:pt idx="214">
                  <c:v>7.9020586536731371E-13</c:v>
                </c:pt>
                <c:pt idx="215">
                  <c:v>9.4457113641608294E-13</c:v>
                </c:pt>
                <c:pt idx="216">
                  <c:v>1.1283859193014517E-12</c:v>
                </c:pt>
                <c:pt idx="217">
                  <c:v>1.3471290813492956E-12</c:v>
                </c:pt>
                <c:pt idx="218">
                  <c:v>1.6072718226885257E-12</c:v>
                </c:pt>
                <c:pt idx="219">
                  <c:v>1.9164523099581072E-12</c:v>
                </c:pt>
                <c:pt idx="220">
                  <c:v>2.2836801020913189E-12</c:v>
                </c:pt>
                <c:pt idx="221">
                  <c:v>2.7195752814881496E-12</c:v>
                </c:pt>
                <c:pt idx="222">
                  <c:v>3.2366479845800585E-12</c:v>
                </c:pt>
                <c:pt idx="223">
                  <c:v>3.849624925493275E-12</c:v>
                </c:pt>
                <c:pt idx="224">
                  <c:v>4.5758305425393194E-12</c:v>
                </c:pt>
                <c:pt idx="225">
                  <c:v>5.4356315892978803E-12</c:v>
                </c:pt>
                <c:pt idx="226">
                  <c:v>6.4529553624972322E-12</c:v>
                </c:pt>
                <c:pt idx="227">
                  <c:v>7.6558933331664693E-12</c:v>
                </c:pt>
                <c:pt idx="228">
                  <c:v>9.0774037544803073E-12</c:v>
                </c:pt>
                <c:pt idx="229">
                  <c:v>1.0756128892044149E-11</c:v>
                </c:pt>
                <c:pt idx="230">
                  <c:v>1.2737344897110432E-11</c:v>
                </c:pt>
                <c:pt idx="231">
                  <c:v>1.5074065062280025E-11</c:v>
                </c:pt>
                <c:pt idx="232">
                  <c:v>1.7828320309991962E-11</c:v>
                </c:pt>
                <c:pt idx="233">
                  <c:v>2.1072644320032362E-11</c:v>
                </c:pt>
                <c:pt idx="234">
                  <c:v>2.4891794763745168E-11</c:v>
                </c:pt>
                <c:pt idx="235">
                  <c:v>2.9384746747628882E-11</c:v>
                </c:pt>
                <c:pt idx="236">
                  <c:v>3.4666999854136627E-11</c:v>
                </c:pt>
                <c:pt idx="237">
                  <c:v>4.0873246188931571E-11</c:v>
                </c:pt>
                <c:pt idx="238">
                  <c:v>4.8160453698403113E-11</c:v>
                </c:pt>
                <c:pt idx="239">
                  <c:v>5.6711426817626489E-11</c:v>
                </c:pt>
                <c:pt idx="240">
                  <c:v>6.6738915369078885E-11</c:v>
                </c:pt>
                <c:pt idx="241">
                  <c:v>7.8490352692890207E-11</c:v>
                </c:pt>
                <c:pt idx="242">
                  <c:v>9.2253315403124997E-11</c:v>
                </c:pt>
                <c:pt idx="243">
                  <c:v>1.0836181010251647E-10</c:v>
                </c:pt>
                <c:pt idx="244">
                  <c:v>1.2720350704114226E-10</c:v>
                </c:pt>
                <c:pt idx="245">
                  <c:v>1.4922805728587661E-10</c:v>
                </c:pt>
                <c:pt idx="246">
                  <c:v>1.7495664871451684E-10</c:v>
                </c:pt>
                <c:pt idx="247">
                  <c:v>2.0499297732575966E-10</c:v>
                </c:pt>
                <c:pt idx="248">
                  <c:v>2.4003583425783906E-10</c:v>
                </c:pt>
                <c:pt idx="249">
                  <c:v>2.8089353586142003E-10</c:v>
                </c:pt>
                <c:pt idx="250">
                  <c:v>3.2850045453901536E-10</c:v>
                </c:pt>
                <c:pt idx="251">
                  <c:v>3.8393594224585273E-10</c:v>
                </c:pt>
                <c:pt idx="252">
                  <c:v>4.48445976991082E-10</c:v>
                </c:pt>
                <c:pt idx="253">
                  <c:v>5.2346790587599805E-10</c:v>
                </c:pt>
                <c:pt idx="254">
                  <c:v>6.1065870670184786E-10</c:v>
                </c:pt>
                <c:pt idx="255">
                  <c:v>7.1192724457430646E-10</c:v>
                </c:pt>
                <c:pt idx="256">
                  <c:v>8.294710608869412E-10</c:v>
                </c:pt>
                <c:pt idx="257">
                  <c:v>9.6581830031083458E-10</c:v>
                </c:pt>
                <c:pt idx="258">
                  <c:v>1.123875457753475E-9</c:v>
                </c:pt>
                <c:pt idx="259">
                  <c:v>1.3069817125576823E-9</c:v>
                </c:pt>
                <c:pt idx="260">
                  <c:v>1.5189707124560482E-9</c:v>
                </c:pt>
                <c:pt idx="261">
                  <c:v>1.7642407760367629E-9</c:v>
                </c:pt>
                <c:pt idx="262">
                  <c:v>2.0478346008701061E-9</c:v>
                </c:pt>
                <c:pt idx="263">
                  <c:v>2.3755296962568674E-9</c:v>
                </c:pt>
                <c:pt idx="264">
                  <c:v>2.7539409061710076E-9</c:v>
                </c:pt>
                <c:pt idx="265">
                  <c:v>3.1906365508846091E-9</c:v>
                </c:pt>
                <c:pt idx="266">
                  <c:v>3.6942698966205911E-9</c:v>
                </c:pt>
                <c:pt idx="267">
                  <c:v>4.2747278631594678E-9</c:v>
                </c:pt>
                <c:pt idx="268">
                  <c:v>4.9432991015619579E-9</c:v>
                </c:pt>
                <c:pt idx="269">
                  <c:v>5.7128638201547164E-9</c:v>
                </c:pt>
                <c:pt idx="270">
                  <c:v>6.5981080089275125E-9</c:v>
                </c:pt>
                <c:pt idx="271">
                  <c:v>7.6157650129577989E-9</c:v>
                </c:pt>
                <c:pt idx="272">
                  <c:v>8.7848877370525509E-9</c:v>
                </c:pt>
                <c:pt idx="273">
                  <c:v>1.0127155129327361E-8</c:v>
                </c:pt>
                <c:pt idx="274">
                  <c:v>1.166721699398763E-8</c:v>
                </c:pt>
                <c:pt idx="275">
                  <c:v>1.3433081626425166E-8</c:v>
                </c:pt>
                <c:pt idx="276">
                  <c:v>1.5456551250417251E-8</c:v>
                </c:pt>
                <c:pt idx="277">
                  <c:v>1.7773710771485425E-8</c:v>
                </c:pt>
                <c:pt idx="278">
                  <c:v>2.0425475946361568E-8</c:v>
                </c:pt>
                <c:pt idx="279">
                  <c:v>2.3458207710313307E-8</c:v>
                </c:pt>
                <c:pt idx="280">
                  <c:v>2.6924400106362925E-8</c:v>
                </c:pt>
                <c:pt idx="281">
                  <c:v>3.088345002804369E-8</c:v>
                </c:pt>
                <c:pt idx="282">
                  <c:v>3.5402517825409233E-8</c:v>
                </c:pt>
                <c:pt idx="283">
                  <c:v>4.0557488737979176E-8</c:v>
                </c:pt>
                <c:pt idx="284">
                  <c:v>4.6434046113890739E-8</c:v>
                </c:pt>
                <c:pt idx="285">
                  <c:v>5.312886845776683E-8</c:v>
                </c:pt>
                <c:pt idx="286">
                  <c:v>6.0750963527024281E-8</c:v>
                </c:pt>
                <c:pt idx="287">
                  <c:v>6.9423153974163512E-8</c:v>
                </c:pt>
                <c:pt idx="288">
                  <c:v>7.9283730417914036E-8</c:v>
                </c:pt>
                <c:pt idx="289">
                  <c:v>9.0488289326156097E-8</c:v>
                </c:pt>
                <c:pt idx="290">
                  <c:v>1.0321177471576922E-7</c:v>
                </c:pt>
                <c:pt idx="291">
                  <c:v>1.1765074442669054E-7</c:v>
                </c:pt>
                <c:pt idx="292">
                  <c:v>1.3402588361746583E-7</c:v>
                </c:pt>
                <c:pt idx="293">
                  <c:v>1.5258479016560057E-7</c:v>
                </c:pt>
                <c:pt idx="294">
                  <c:v>1.7360505884641678E-7</c:v>
                </c:pt>
                <c:pt idx="295">
                  <c:v>1.9739769351738771E-7</c:v>
                </c:pt>
                <c:pt idx="296">
                  <c:v>2.2431087905962647E-7</c:v>
                </c:pt>
                <c:pt idx="297">
                  <c:v>2.5473414753301831E-7</c:v>
                </c:pt>
                <c:pt idx="298">
                  <c:v>2.8910297589500128E-7</c:v>
                </c:pt>
                <c:pt idx="299">
                  <c:v>3.2790385572382414E-7</c:v>
                </c:pt>
                <c:pt idx="300">
                  <c:v>3.7167987868364711E-7</c:v>
                </c:pt>
                <c:pt idx="301">
                  <c:v>4.210368849793011E-7</c:v>
                </c:pt>
                <c:pt idx="302">
                  <c:v>4.7665022578079671E-7</c:v>
                </c:pt>
                <c:pt idx="303">
                  <c:v>5.3927219455921814E-7</c:v>
                </c:pt>
                <c:pt idx="304">
                  <c:v>6.0974018647346044E-7</c:v>
                </c:pt>
                <c:pt idx="305">
                  <c:v>6.8898564938763015E-7</c:v>
                </c:pt>
                <c:pt idx="306">
                  <c:v>7.7804389478739091E-7</c:v>
                </c:pt>
                <c:pt idx="307">
                  <c:v>8.7806484180474732E-7</c:v>
                </c:pt>
                <c:pt idx="308">
                  <c:v>9.9032477275821767E-7</c:v>
                </c:pt>
                <c:pt idx="309">
                  <c:v>1.1162391840713859E-6</c:v>
                </c:pt>
                <c:pt idx="310">
                  <c:v>1.2573768221483661E-6</c:v>
                </c:pt>
                <c:pt idx="311">
                  <c:v>1.4154749997589988E-6</c:v>
                </c:pt>
                <c:pt idx="312">
                  <c:v>1.5924562947171005E-6</c:v>
                </c:pt>
                <c:pt idx="313">
                  <c:v>1.7904467391173474E-6</c:v>
                </c:pt>
                <c:pt idx="314">
                  <c:v>2.011795614123488E-6</c:v>
                </c:pt>
                <c:pt idx="315">
                  <c:v>2.2590969722633088E-6</c:v>
                </c:pt>
                <c:pt idx="316">
                  <c:v>2.535213016372208E-6</c:v>
                </c:pt>
                <c:pt idx="317">
                  <c:v>2.8432994717222551E-6</c:v>
                </c:pt>
                <c:pt idx="318">
                  <c:v>3.1868330954590228E-6</c:v>
                </c:pt>
                <c:pt idx="319">
                  <c:v>3.5696414752226912E-6</c:v>
                </c:pt>
                <c:pt idx="320">
                  <c:v>3.9959352767271996E-6</c:v>
                </c:pt>
                <c:pt idx="321">
                  <c:v>4.470343108082021E-6</c:v>
                </c:pt>
                <c:pt idx="322">
                  <c:v>4.9979491767317447E-6</c:v>
                </c:pt>
                <c:pt idx="323">
                  <c:v>5.5843339230201682E-6</c:v>
                </c:pt>
                <c:pt idx="324">
                  <c:v>6.2356178225147018E-6</c:v>
                </c:pt>
                <c:pt idx="325">
                  <c:v>6.9585085573051783E-6</c:v>
                </c:pt>
                <c:pt idx="326">
                  <c:v>7.7603517644641793E-6</c:v>
                </c:pt>
                <c:pt idx="327">
                  <c:v>8.6491855776640618E-6</c:v>
                </c:pt>
                <c:pt idx="328">
                  <c:v>9.6337991855238017E-6</c:v>
                </c:pt>
                <c:pt idx="329">
                  <c:v>1.0723795637534066E-5</c:v>
                </c:pt>
                <c:pt idx="330">
                  <c:v>1.1929659135303759E-5</c:v>
                </c:pt>
                <c:pt idx="331">
                  <c:v>1.3262827053301366E-5</c:v>
                </c:pt>
                <c:pt idx="332">
                  <c:v>1.4735766939138077E-5</c:v>
                </c:pt>
                <c:pt idx="333">
                  <c:v>1.6362058748658655E-5</c:v>
                </c:pt>
                <c:pt idx="334">
                  <c:v>1.8156482575566984E-5</c:v>
                </c:pt>
                <c:pt idx="335">
                  <c:v>2.0135112138902828E-5</c:v>
                </c:pt>
                <c:pt idx="336">
                  <c:v>2.2315414294287948E-5</c:v>
                </c:pt>
                <c:pt idx="337">
                  <c:v>2.4716354836347559E-5</c:v>
                </c:pt>
                <c:pt idx="338">
                  <c:v>2.7358510859955969E-5</c:v>
                </c:pt>
                <c:pt idx="339">
                  <c:v>3.0264189946817603E-5</c:v>
                </c:pt>
                <c:pt idx="340">
                  <c:v>3.3457556441228471E-5</c:v>
                </c:pt>
                <c:pt idx="341">
                  <c:v>3.6964765074526282E-5</c:v>
                </c:pt>
                <c:pt idx="342">
                  <c:v>4.0814102191569239E-5</c:v>
                </c:pt>
                <c:pt idx="343">
                  <c:v>4.5036134824431798E-5</c:v>
                </c:pt>
                <c:pt idx="344">
                  <c:v>4.9663867848203764E-5</c:v>
                </c:pt>
                <c:pt idx="345">
                  <c:v>5.4732909441164693E-5</c:v>
                </c:pt>
                <c:pt idx="346">
                  <c:v>6.0281645056511211E-5</c:v>
                </c:pt>
                <c:pt idx="347">
                  <c:v>6.6351420095071281E-5</c:v>
                </c:pt>
                <c:pt idx="348">
                  <c:v>7.2986731447880612E-5</c:v>
                </c:pt>
                <c:pt idx="349">
                  <c:v>8.0235428053952235E-5</c:v>
                </c:pt>
                <c:pt idx="350">
                  <c:v>8.8148920591880135E-5</c:v>
                </c:pt>
                <c:pt idx="351">
                  <c:v>9.6782400393917968E-5</c:v>
                </c:pt>
                <c:pt idx="352">
                  <c:v>1.061950676377105E-4</c:v>
                </c:pt>
                <c:pt idx="353">
                  <c:v>1.1645036883378397E-4</c:v>
                </c:pt>
                <c:pt idx="354">
                  <c:v>1.2761624358607348E-4</c:v>
                </c:pt>
                <c:pt idx="355">
                  <c:v>1.3976538055807087E-4</c:v>
                </c:pt>
                <c:pt idx="356">
                  <c:v>1.5297548252847558E-4</c:v>
                </c:pt>
                <c:pt idx="357">
                  <c:v>1.6732954036744989E-4</c:v>
                </c:pt>
                <c:pt idx="358">
                  <c:v>1.8291611570761638E-4</c:v>
                </c:pt>
                <c:pt idx="359">
                  <c:v>1.9982963202273076E-4</c:v>
                </c:pt>
                <c:pt idx="360">
                  <c:v>2.1817067376148614E-4</c:v>
                </c:pt>
                <c:pt idx="361">
                  <c:v>2.3804629311411767E-4</c:v>
                </c:pt>
                <c:pt idx="362">
                  <c:v>2.5957032391540745E-4</c:v>
                </c:pt>
                <c:pt idx="363">
                  <c:v>2.8286370210936165E-4</c:v>
                </c:pt>
                <c:pt idx="364">
                  <c:v>3.0805479211831955E-4</c:v>
                </c:pt>
                <c:pt idx="365">
                  <c:v>3.352797183726647E-4</c:v>
                </c:pt>
                <c:pt idx="366">
                  <c:v>3.646827011667629E-4</c:v>
                </c:pt>
                <c:pt idx="367">
                  <c:v>3.9641639591244694E-4</c:v>
                </c:pt>
                <c:pt idx="368">
                  <c:v>4.3064223476350981E-4</c:v>
                </c:pt>
                <c:pt idx="369">
                  <c:v>4.6753076948350975E-4</c:v>
                </c:pt>
                <c:pt idx="370">
                  <c:v>5.0726201432504741E-4</c:v>
                </c:pt>
                <c:pt idx="371">
                  <c:v>5.5002578758189672E-4</c:v>
                </c:pt>
                <c:pt idx="372">
                  <c:v>5.9602205036633391E-4</c:v>
                </c:pt>
                <c:pt idx="373">
                  <c:v>6.4546124105318745E-4</c:v>
                </c:pt>
                <c:pt idx="374">
                  <c:v>6.9856460372000567E-4</c:v>
                </c:pt>
                <c:pt idx="375">
                  <c:v>7.5556450879984407E-4</c:v>
                </c:pt>
                <c:pt idx="376">
                  <c:v>8.1670476405014728E-4</c:v>
                </c:pt>
                <c:pt idx="377">
                  <c:v>8.8224091382862069E-4</c:v>
                </c:pt>
                <c:pt idx="378">
                  <c:v>9.5244052455564548E-4</c:v>
                </c:pt>
                <c:pt idx="379">
                  <c:v>1.0275834541333491E-3</c:v>
                </c:pt>
                <c:pt idx="380">
                  <c:v>1.1079621029847263E-3</c:v>
                </c:pt>
                <c:pt idx="381">
                  <c:v>1.1938816442731315E-3</c:v>
                </c:pt>
                <c:pt idx="382">
                  <c:v>1.2856602307637439E-3</c:v>
                </c:pt>
                <c:pt idx="383">
                  <c:v>1.383629175695402E-3</c:v>
                </c:pt>
                <c:pt idx="384">
                  <c:v>1.488133104944261E-3</c:v>
                </c:pt>
                <c:pt idx="385">
                  <c:v>1.5995300776812074E-3</c:v>
                </c:pt>
                <c:pt idx="386">
                  <c:v>1.7181916726538345E-3</c:v>
                </c:pt>
                <c:pt idx="387">
                  <c:v>1.8445030371620624E-3</c:v>
                </c:pt>
                <c:pt idx="388">
                  <c:v>1.9788628957453803E-3</c:v>
                </c:pt>
                <c:pt idx="389">
                  <c:v>2.1216835155600956E-3</c:v>
                </c:pt>
                <c:pt idx="390">
                  <c:v>2.2733906253982073E-3</c:v>
                </c:pt>
                <c:pt idx="391">
                  <c:v>2.4344232852864735E-3</c:v>
                </c:pt>
                <c:pt idx="392">
                  <c:v>2.6052337036061531E-3</c:v>
                </c:pt>
                <c:pt idx="393">
                  <c:v>2.7862869986917389E-3</c:v>
                </c:pt>
                <c:pt idx="394">
                  <c:v>2.9780609019018659E-3</c:v>
                </c:pt>
                <c:pt idx="395">
                  <c:v>3.1810453992084657E-3</c:v>
                </c:pt>
                <c:pt idx="396">
                  <c:v>3.3957423084220503E-3</c:v>
                </c:pt>
                <c:pt idx="397">
                  <c:v>3.6226647892627982E-3</c:v>
                </c:pt>
                <c:pt idx="398">
                  <c:v>3.8623367835995208E-3</c:v>
                </c:pt>
                <c:pt idx="399">
                  <c:v>4.1152923833125887E-3</c:v>
                </c:pt>
                <c:pt idx="400">
                  <c:v>4.3820751233929521E-3</c:v>
                </c:pt>
                <c:pt idx="401">
                  <c:v>4.6632371980683419E-3</c:v>
                </c:pt>
                <c:pt idx="402">
                  <c:v>4.9593385979497468E-3</c:v>
                </c:pt>
                <c:pt idx="403">
                  <c:v>5.2709461664169942E-3</c:v>
                </c:pt>
                <c:pt idx="404">
                  <c:v>5.5986325737117475E-3</c:v>
                </c:pt>
                <c:pt idx="405">
                  <c:v>5.942975207479528E-3</c:v>
                </c:pt>
                <c:pt idx="406">
                  <c:v>6.3045549787997344E-3</c:v>
                </c:pt>
                <c:pt idx="407">
                  <c:v>6.6839550430632562E-3</c:v>
                </c:pt>
                <c:pt idx="408">
                  <c:v>7.0817594354015551E-3</c:v>
                </c:pt>
                <c:pt idx="409">
                  <c:v>7.4985516207376523E-3</c:v>
                </c:pt>
                <c:pt idx="410">
                  <c:v>7.9349129589182509E-3</c:v>
                </c:pt>
                <c:pt idx="411">
                  <c:v>8.3914210857958544E-3</c:v>
                </c:pt>
                <c:pt idx="412">
                  <c:v>8.8686482115594E-3</c:v>
                </c:pt>
                <c:pt idx="413">
                  <c:v>9.367159338060059E-3</c:v>
                </c:pt>
                <c:pt idx="414">
                  <c:v>9.8875103973442464E-3</c:v>
                </c:pt>
                <c:pt idx="415">
                  <c:v>1.0430246314086421E-2</c:v>
                </c:pt>
                <c:pt idx="416">
                  <c:v>1.0995898995108654E-2</c:v>
                </c:pt>
                <c:pt idx="417">
                  <c:v>1.1584985249679249E-2</c:v>
                </c:pt>
                <c:pt idx="418">
                  <c:v>1.2198004644797719E-2</c:v>
                </c:pt>
                <c:pt idx="419">
                  <c:v>1.2835437300194479E-2</c:v>
                </c:pt>
                <c:pt idx="420">
                  <c:v>1.3497741628299219E-2</c:v>
                </c:pt>
                <c:pt idx="421">
                  <c:v>1.4185352024958301E-2</c:v>
                </c:pt>
                <c:pt idx="422">
                  <c:v>1.4898676517206411E-2</c:v>
                </c:pt>
                <c:pt idx="423">
                  <c:v>1.5638094374917488E-2</c:v>
                </c:pt>
                <c:pt idx="424">
                  <c:v>1.640395369367174E-2</c:v>
                </c:pt>
                <c:pt idx="425">
                  <c:v>1.7196568956675668E-2</c:v>
                </c:pt>
                <c:pt idx="426">
                  <c:v>1.8016218584057293E-2</c:v>
                </c:pt>
                <c:pt idx="427">
                  <c:v>1.8863142478325448E-2</c:v>
                </c:pt>
                <c:pt idx="428">
                  <c:v>1.9737539575226545E-2</c:v>
                </c:pt>
                <c:pt idx="429">
                  <c:v>2.0639565409651017E-2</c:v>
                </c:pt>
                <c:pt idx="430">
                  <c:v>2.1569329706631099E-2</c:v>
                </c:pt>
                <c:pt idx="431">
                  <c:v>2.2526894007827852E-2</c:v>
                </c:pt>
                <c:pt idx="432">
                  <c:v>2.3512269344225172E-2</c:v>
                </c:pt>
                <c:pt idx="433">
                  <c:v>2.4525413966028E-2</c:v>
                </c:pt>
                <c:pt idx="434">
                  <c:v>2.5566231140998156E-2</c:v>
                </c:pt>
                <c:pt idx="435">
                  <c:v>2.6634567032650033E-2</c:v>
                </c:pt>
                <c:pt idx="436">
                  <c:v>2.7730208669867768E-2</c:v>
                </c:pt>
                <c:pt idx="437">
                  <c:v>2.8852882019591485E-2</c:v>
                </c:pt>
                <c:pt idx="438">
                  <c:v>3.0002250174250497E-2</c:v>
                </c:pt>
                <c:pt idx="439">
                  <c:v>3.1177911665593507E-2</c:v>
                </c:pt>
                <c:pt idx="440">
                  <c:v>3.2379398916477245E-2</c:v>
                </c:pt>
                <c:pt idx="441">
                  <c:v>3.3606176842024195E-2</c:v>
                </c:pt>
                <c:pt idx="442">
                  <c:v>3.4857641611344595E-2</c:v>
                </c:pt>
                <c:pt idx="443">
                  <c:v>3.6133119580737845E-2</c:v>
                </c:pt>
                <c:pt idx="444">
                  <c:v>3.7431866408940945E-2</c:v>
                </c:pt>
                <c:pt idx="445">
                  <c:v>3.8753066364578134E-2</c:v>
                </c:pt>
                <c:pt idx="446">
                  <c:v>4.0095831835484826E-2</c:v>
                </c:pt>
                <c:pt idx="447">
                  <c:v>4.1459203049031203E-2</c:v>
                </c:pt>
                <c:pt idx="448">
                  <c:v>4.2842148011956946E-2</c:v>
                </c:pt>
                <c:pt idx="449">
                  <c:v>4.4243562677550113E-2</c:v>
                </c:pt>
                <c:pt idx="450">
                  <c:v>4.5662271347260752E-2</c:v>
                </c:pt>
                <c:pt idx="451">
                  <c:v>4.7097027313036936E-2</c:v>
                </c:pt>
                <c:pt idx="452">
                  <c:v>4.8546513745808664E-2</c:v>
                </c:pt>
                <c:pt idx="453">
                  <c:v>5.0009344834627427E-2</c:v>
                </c:pt>
                <c:pt idx="454">
                  <c:v>5.1484067179999246E-2</c:v>
                </c:pt>
                <c:pt idx="455">
                  <c:v>5.2969161443930483E-2</c:v>
                </c:pt>
                <c:pt idx="456">
                  <c:v>5.4463044258143294E-2</c:v>
                </c:pt>
                <c:pt idx="457">
                  <c:v>5.5964070390815586E-2</c:v>
                </c:pt>
                <c:pt idx="458">
                  <c:v>5.7470535171064013E-2</c:v>
                </c:pt>
                <c:pt idx="459">
                  <c:v>5.8980677169223908E-2</c:v>
                </c:pt>
                <c:pt idx="460">
                  <c:v>6.0492681129791642E-2</c:v>
                </c:pt>
                <c:pt idx="461">
                  <c:v>6.2004681152690096E-2</c:v>
                </c:pt>
                <c:pt idx="462">
                  <c:v>6.3514764117303085E-2</c:v>
                </c:pt>
                <c:pt idx="463">
                  <c:v>6.5020973342504756E-2</c:v>
                </c:pt>
                <c:pt idx="464">
                  <c:v>6.6521312474694547E-2</c:v>
                </c:pt>
                <c:pt idx="465">
                  <c:v>6.8013749594641695E-2</c:v>
                </c:pt>
                <c:pt idx="466">
                  <c:v>6.9496221532754907E-2</c:v>
                </c:pt>
                <c:pt idx="467">
                  <c:v>7.0966638381227576E-2</c:v>
                </c:pt>
                <c:pt idx="468">
                  <c:v>7.24228881903764E-2</c:v>
                </c:pt>
                <c:pt idx="469">
                  <c:v>7.3862841835396417E-2</c:v>
                </c:pt>
                <c:pt idx="470">
                  <c:v>7.5284358038706714E-2</c:v>
                </c:pt>
                <c:pt idx="471">
                  <c:v>7.6685288532065535E-2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84736"/>
        <c:axId val="138502912"/>
      </c:scatterChart>
      <c:valAx>
        <c:axId val="1384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502912"/>
        <c:crosses val="autoZero"/>
        <c:crossBetween val="midCat"/>
      </c:valAx>
      <c:valAx>
        <c:axId val="13850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4847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Number of butterflies with wing size 'x' mm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'Single Gaussian'!$G$8:$AL$8</c:f>
              <c:numCache>
                <c:formatCode>General</c:formatCode>
                <c:ptCount val="3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</c:numCache>
            </c:numRef>
          </c:cat>
          <c:val>
            <c:numRef>
              <c:f>'Single Gaussian'!$G$5:$AL$5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9">
                  <c:v>13</c:v>
                </c:pt>
                <c:pt idx="10">
                  <c:v>21</c:v>
                </c:pt>
                <c:pt idx="11">
                  <c:v>29</c:v>
                </c:pt>
                <c:pt idx="12">
                  <c:v>39</c:v>
                </c:pt>
                <c:pt idx="13">
                  <c:v>47</c:v>
                </c:pt>
                <c:pt idx="14">
                  <c:v>53</c:v>
                </c:pt>
                <c:pt idx="15">
                  <c:v>55</c:v>
                </c:pt>
                <c:pt idx="16">
                  <c:v>53</c:v>
                </c:pt>
                <c:pt idx="17">
                  <c:v>47</c:v>
                </c:pt>
                <c:pt idx="18">
                  <c:v>39</c:v>
                </c:pt>
                <c:pt idx="19">
                  <c:v>29</c:v>
                </c:pt>
                <c:pt idx="20">
                  <c:v>21</c:v>
                </c:pt>
                <c:pt idx="21">
                  <c:v>13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37543680"/>
        <c:axId val="137545600"/>
      </c:barChart>
      <c:catAx>
        <c:axId val="13754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1400" b="1" i="0" baseline="0">
                    <a:effectLst/>
                  </a:rPr>
                  <a:t>Wing size in mm</a:t>
                </a:r>
                <a:endParaRPr lang="en-GB" sz="8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100"/>
            </a:pPr>
            <a:endParaRPr lang="en-US"/>
          </a:p>
        </c:txPr>
        <c:crossAx val="137545600"/>
        <c:crosses val="autoZero"/>
        <c:auto val="1"/>
        <c:lblAlgn val="ctr"/>
        <c:lblOffset val="100"/>
        <c:noMultiLvlLbl val="0"/>
      </c:catAx>
      <c:valAx>
        <c:axId val="13754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7543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butterflies with wing size 'x' mm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Problem!$J$6:$AL$6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</c:numCache>
            </c:numRef>
          </c:cat>
          <c:val>
            <c:numRef>
              <c:f>Problem!$J$4:$AL$4</c:f>
              <c:numCache>
                <c:formatCode>General</c:formatCode>
                <c:ptCount val="29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46"/>
        <c:axId val="136427008"/>
        <c:axId val="136428928"/>
      </c:barChart>
      <c:catAx>
        <c:axId val="136427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Wing size in mm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136428928"/>
        <c:crosses val="autoZero"/>
        <c:auto val="1"/>
        <c:lblAlgn val="ctr"/>
        <c:lblOffset val="100"/>
        <c:noMultiLvlLbl val="0"/>
      </c:catAx>
      <c:valAx>
        <c:axId val="136428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6427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Problem!$I$4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cat>
            <c:numRef>
              <c:f>Problem!$J$5:$AO$5</c:f>
              <c:numCache>
                <c:formatCode>General</c:formatCode>
                <c:ptCount val="32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  <c:pt idx="31">
                  <c:v>165</c:v>
                </c:pt>
              </c:numCache>
            </c:numRef>
          </c:cat>
          <c:val>
            <c:numRef>
              <c:f>Problem!$J$4:$AO$4</c:f>
              <c:numCache>
                <c:formatCode>General</c:formatCode>
                <c:ptCount val="32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952"/>
        <c:axId val="137327744"/>
      </c:lineChart>
      <c:catAx>
        <c:axId val="13732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327744"/>
        <c:crosses val="autoZero"/>
        <c:auto val="1"/>
        <c:lblAlgn val="ctr"/>
        <c:lblOffset val="100"/>
        <c:noMultiLvlLbl val="0"/>
      </c:catAx>
      <c:valAx>
        <c:axId val="13732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325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Number of butterflies with wing size 'x' mm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Problem!$J$6:$AL$6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</c:numCache>
            </c:numRef>
          </c:cat>
          <c:val>
            <c:numRef>
              <c:f>Problem!$J$4:$AL$4</c:f>
              <c:numCache>
                <c:formatCode>General</c:formatCode>
                <c:ptCount val="29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27</c:v>
                </c:pt>
                <c:pt idx="14">
                  <c:v>25</c:v>
                </c:pt>
                <c:pt idx="15">
                  <c:v>22</c:v>
                </c:pt>
                <c:pt idx="16">
                  <c:v>19</c:v>
                </c:pt>
                <c:pt idx="17">
                  <c:v>39</c:v>
                </c:pt>
                <c:pt idx="18">
                  <c:v>49</c:v>
                </c:pt>
                <c:pt idx="19">
                  <c:v>63</c:v>
                </c:pt>
                <c:pt idx="20">
                  <c:v>62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46"/>
        <c:axId val="137351552"/>
        <c:axId val="137353472"/>
      </c:barChart>
      <c:catAx>
        <c:axId val="137351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Wing size in mm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137353472"/>
        <c:crosses val="autoZero"/>
        <c:auto val="1"/>
        <c:lblAlgn val="ctr"/>
        <c:lblOffset val="100"/>
        <c:noMultiLvlLbl val="0"/>
      </c:catAx>
      <c:valAx>
        <c:axId val="13735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7351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Number of butterflies with wing size 'x' mm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cat>
            <c:numRef>
              <c:f>Problem!$J$6:$AL$6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</c:numCache>
            </c:numRef>
          </c:cat>
          <c:val>
            <c:numRef>
              <c:f>Problem!$J$7:$AL$7</c:f>
              <c:numCache>
                <c:formatCode>General</c:formatCode>
                <c:ptCount val="29"/>
                <c:pt idx="0">
                  <c:v>3</c:v>
                </c:pt>
                <c:pt idx="1">
                  <c:v>9</c:v>
                </c:pt>
                <c:pt idx="2">
                  <c:v>7</c:v>
                </c:pt>
                <c:pt idx="3">
                  <c:v>20</c:v>
                </c:pt>
                <c:pt idx="4">
                  <c:v>27</c:v>
                </c:pt>
                <c:pt idx="5">
                  <c:v>34</c:v>
                </c:pt>
                <c:pt idx="6">
                  <c:v>45</c:v>
                </c:pt>
                <c:pt idx="7">
                  <c:v>52</c:v>
                </c:pt>
                <c:pt idx="8">
                  <c:v>47</c:v>
                </c:pt>
                <c:pt idx="9">
                  <c:v>54</c:v>
                </c:pt>
                <c:pt idx="10">
                  <c:v>39</c:v>
                </c:pt>
                <c:pt idx="11">
                  <c:v>49</c:v>
                </c:pt>
                <c:pt idx="12">
                  <c:v>29</c:v>
                </c:pt>
                <c:pt idx="13">
                  <c:v>25</c:v>
                </c:pt>
                <c:pt idx="14">
                  <c:v>22</c:v>
                </c:pt>
                <c:pt idx="15">
                  <c:v>13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Problem!$J$8:$AO$8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9</c:v>
                </c:pt>
                <c:pt idx="16">
                  <c:v>14</c:v>
                </c:pt>
                <c:pt idx="17">
                  <c:v>35</c:v>
                </c:pt>
                <c:pt idx="18">
                  <c:v>46</c:v>
                </c:pt>
                <c:pt idx="19">
                  <c:v>63</c:v>
                </c:pt>
                <c:pt idx="20">
                  <c:v>61</c:v>
                </c:pt>
                <c:pt idx="21">
                  <c:v>74</c:v>
                </c:pt>
                <c:pt idx="22">
                  <c:v>61</c:v>
                </c:pt>
                <c:pt idx="23">
                  <c:v>54</c:v>
                </c:pt>
                <c:pt idx="24">
                  <c:v>34</c:v>
                </c:pt>
                <c:pt idx="25">
                  <c:v>24</c:v>
                </c:pt>
                <c:pt idx="26">
                  <c:v>6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46"/>
        <c:axId val="137396992"/>
        <c:axId val="137398912"/>
      </c:barChart>
      <c:catAx>
        <c:axId val="137396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Wing size in mm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137398912"/>
        <c:crosses val="autoZero"/>
        <c:auto val="1"/>
        <c:lblAlgn val="ctr"/>
        <c:lblOffset val="100"/>
        <c:noMultiLvlLbl val="0"/>
      </c:catAx>
      <c:valAx>
        <c:axId val="137398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Number of butterflys observed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7396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0" fmlaLink="$H$6" max="150" min="1" page="10"/>
</file>

<file path=xl/ctrlProps/ctrlProp2.xml><?xml version="1.0" encoding="utf-8"?>
<formControlPr xmlns="http://schemas.microsoft.com/office/spreadsheetml/2009/9/main" objectType="Scroll" dx="20" fmlaLink="$I$6" max="50" min="1" page="5"/>
</file>

<file path=xl/ctrlProps/ctrlProp3.xml><?xml version="1.0" encoding="utf-8"?>
<formControlPr xmlns="http://schemas.microsoft.com/office/spreadsheetml/2009/9/main" objectType="Scroll" dx="20" fmlaLink="$J$6" max="150" min="1" page="10"/>
</file>

<file path=xl/ctrlProps/ctrlProp4.xml><?xml version="1.0" encoding="utf-8"?>
<formControlPr xmlns="http://schemas.microsoft.com/office/spreadsheetml/2009/9/main" objectType="Scroll" dx="20" fmlaLink="$K$6" max="50" min="1" page="10"/>
</file>

<file path=xl/ctrlProps/ctrlProp5.xml><?xml version="1.0" encoding="utf-8"?>
<formControlPr xmlns="http://schemas.microsoft.com/office/spreadsheetml/2009/9/main" objectType="Scroll" dx="20" fmlaLink="$J$6" max="150" min="1" page="10"/>
</file>

<file path=xl/ctrlProps/ctrlProp6.xml><?xml version="1.0" encoding="utf-8"?>
<formControlPr xmlns="http://schemas.microsoft.com/office/spreadsheetml/2009/9/main" objectType="Scroll" dx="20" fmlaLink="$K$6" max="50" min="1" page="5"/>
</file>

<file path=xl/ctrlProps/ctrlProp7.xml><?xml version="1.0" encoding="utf-8"?>
<formControlPr xmlns="http://schemas.microsoft.com/office/spreadsheetml/2009/9/main" objectType="Scroll" dx="20" fmlaLink="$L$6" max="150" min="1" page="10" val="4"/>
</file>

<file path=xl/ctrlProps/ctrlProp8.xml><?xml version="1.0" encoding="utf-8"?>
<formControlPr xmlns="http://schemas.microsoft.com/office/spreadsheetml/2009/9/main" objectType="Scroll" dx="20" fmlaLink="$M$6" max="50" min="1" page="10"/>
</file>

<file path=xl/ctrlProps/ctrlProp9.xml><?xml version="1.0" encoding="utf-8"?>
<formControlPr xmlns="http://schemas.microsoft.com/office/spreadsheetml/2009/9/main" objectType="Scroll" dx="20" fmlaLink="$I$27" max="100" min="1" page="10"/>
</file>

<file path=xl/ctrlProps/ctrlProp10.xml><?xml version="1.0" encoding="utf-8"?>
<formControlPr xmlns="http://schemas.microsoft.com/office/spreadsheetml/2009/9/main" objectType="Scroll" dx="20" fmlaLink="$D$39" max="125" min="1" page="10"/>
</file>

<file path=xl/ctrlProps/ctrlProp11.xml><?xml version="1.0" encoding="utf-8"?>
<formControlPr xmlns="http://schemas.microsoft.com/office/spreadsheetml/2009/9/main" objectType="Scroll" dx="20" fmlaLink="$E$39" max="100" min="1" page="5"/>
</file>

<file path=xl/ctrlProps/ctrlProp12.xml><?xml version="1.0" encoding="utf-8"?>
<formControlPr xmlns="http://schemas.microsoft.com/office/spreadsheetml/2009/9/main" objectType="Scroll" dx="20" fmlaLink="$F$39" max="125" min="1" page="10"/>
</file>

<file path=xl/ctrlProps/ctrlProp13.xml><?xml version="1.0" encoding="utf-8"?>
<formControlPr xmlns="http://schemas.microsoft.com/office/spreadsheetml/2009/9/main" objectType="Scroll" dx="20" fmlaLink="$G$39" max="100" min="1" page="10" val="5"/>
</file>

<file path=xl/ctrlProps/ctrlProp14.xml><?xml version="1.0" encoding="utf-8"?>
<formControlPr xmlns="http://schemas.microsoft.com/office/spreadsheetml/2009/9/main" objectType="Scroll" dx="20" fmlaLink="$C$39" max="100" min="1" page="1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25401</xdr:colOff>
      <xdr:row>13</xdr:row>
      <xdr:rowOff>170026</xdr:rowOff>
    </xdr:from>
    <xdr:to>
      <xdr:col>24</xdr:col>
      <xdr:colOff>155346</xdr:colOff>
      <xdr:row>28</xdr:row>
      <xdr:rowOff>112754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332659</xdr:colOff>
      <xdr:row>13</xdr:row>
      <xdr:rowOff>170026</xdr:rowOff>
    </xdr:from>
    <xdr:to>
      <xdr:col>38</xdr:col>
      <xdr:colOff>113163</xdr:colOff>
      <xdr:row>28</xdr:row>
      <xdr:rowOff>112754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133350</xdr:rowOff>
        </xdr:from>
        <xdr:to>
          <xdr:col>7</xdr:col>
          <xdr:colOff>542925</xdr:colOff>
          <xdr:row>23</xdr:row>
          <xdr:rowOff>133350</xdr:rowOff>
        </xdr:to>
        <xdr:sp macro="" textlink="">
          <xdr:nvSpPr>
            <xdr:cNvPr id="9217" name="Scroll Bar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8</xdr:row>
          <xdr:rowOff>133350</xdr:rowOff>
        </xdr:from>
        <xdr:to>
          <xdr:col>8</xdr:col>
          <xdr:colOff>514350</xdr:colOff>
          <xdr:row>23</xdr:row>
          <xdr:rowOff>133350</xdr:rowOff>
        </xdr:to>
        <xdr:sp macro="" textlink="">
          <xdr:nvSpPr>
            <xdr:cNvPr id="9218" name="Scroll Bar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8</xdr:row>
          <xdr:rowOff>133350</xdr:rowOff>
        </xdr:from>
        <xdr:to>
          <xdr:col>9</xdr:col>
          <xdr:colOff>552450</xdr:colOff>
          <xdr:row>23</xdr:row>
          <xdr:rowOff>133350</xdr:rowOff>
        </xdr:to>
        <xdr:sp macro="" textlink="">
          <xdr:nvSpPr>
            <xdr:cNvPr id="9219" name="Scroll Bar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133350</xdr:rowOff>
        </xdr:from>
        <xdr:to>
          <xdr:col>10</xdr:col>
          <xdr:colOff>542925</xdr:colOff>
          <xdr:row>23</xdr:row>
          <xdr:rowOff>133350</xdr:rowOff>
        </xdr:to>
        <xdr:sp macro="" textlink="">
          <xdr:nvSpPr>
            <xdr:cNvPr id="9220" name="Scroll Bar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63</xdr:col>
      <xdr:colOff>47720</xdr:colOff>
      <xdr:row>17</xdr:row>
      <xdr:rowOff>132079</xdr:rowOff>
    </xdr:from>
    <xdr:to>
      <xdr:col>72</xdr:col>
      <xdr:colOff>447508</xdr:colOff>
      <xdr:row>32</xdr:row>
      <xdr:rowOff>76809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776679" y="3628812"/>
          <a:ext cx="5888570" cy="29927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63501</xdr:colOff>
      <xdr:row>13</xdr:row>
      <xdr:rowOff>93826</xdr:rowOff>
    </xdr:from>
    <xdr:to>
      <xdr:col>35</xdr:col>
      <xdr:colOff>193446</xdr:colOff>
      <xdr:row>28</xdr:row>
      <xdr:rowOff>36554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285034</xdr:colOff>
      <xdr:row>13</xdr:row>
      <xdr:rowOff>93826</xdr:rowOff>
    </xdr:from>
    <xdr:to>
      <xdr:col>47</xdr:col>
      <xdr:colOff>141738</xdr:colOff>
      <xdr:row>28</xdr:row>
      <xdr:rowOff>36554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8</xdr:row>
          <xdr:rowOff>133350</xdr:rowOff>
        </xdr:from>
        <xdr:to>
          <xdr:col>9</xdr:col>
          <xdr:colOff>542925</xdr:colOff>
          <xdr:row>22</xdr:row>
          <xdr:rowOff>180975</xdr:rowOff>
        </xdr:to>
        <xdr:sp macro="" textlink="">
          <xdr:nvSpPr>
            <xdr:cNvPr id="13313" name="Scroll Bar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8</xdr:row>
          <xdr:rowOff>133350</xdr:rowOff>
        </xdr:from>
        <xdr:to>
          <xdr:col>10</xdr:col>
          <xdr:colOff>514350</xdr:colOff>
          <xdr:row>22</xdr:row>
          <xdr:rowOff>171450</xdr:rowOff>
        </xdr:to>
        <xdr:sp macro="" textlink="">
          <xdr:nvSpPr>
            <xdr:cNvPr id="13314" name="Scroll Bar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8</xdr:row>
          <xdr:rowOff>133350</xdr:rowOff>
        </xdr:from>
        <xdr:to>
          <xdr:col>11</xdr:col>
          <xdr:colOff>552450</xdr:colOff>
          <xdr:row>22</xdr:row>
          <xdr:rowOff>171450</xdr:rowOff>
        </xdr:to>
        <xdr:sp macro="" textlink="">
          <xdr:nvSpPr>
            <xdr:cNvPr id="13315" name="Scroll Bar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8</xdr:row>
          <xdr:rowOff>133350</xdr:rowOff>
        </xdr:from>
        <xdr:to>
          <xdr:col>12</xdr:col>
          <xdr:colOff>542925</xdr:colOff>
          <xdr:row>22</xdr:row>
          <xdr:rowOff>180975</xdr:rowOff>
        </xdr:to>
        <xdr:sp macro="" textlink="">
          <xdr:nvSpPr>
            <xdr:cNvPr id="13316" name="Scroll Bar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69</xdr:col>
      <xdr:colOff>336664</xdr:colOff>
      <xdr:row>21</xdr:row>
      <xdr:rowOff>78654</xdr:rowOff>
    </xdr:from>
    <xdr:to>
      <xdr:col>79</xdr:col>
      <xdr:colOff>129234</xdr:colOff>
      <xdr:row>36</xdr:row>
      <xdr:rowOff>122428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78689" y="4698279"/>
          <a:ext cx="5888570" cy="30727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8</xdr:row>
          <xdr:rowOff>123825</xdr:rowOff>
        </xdr:from>
        <xdr:to>
          <xdr:col>8</xdr:col>
          <xdr:colOff>209550</xdr:colOff>
          <xdr:row>22</xdr:row>
          <xdr:rowOff>171450</xdr:rowOff>
        </xdr:to>
        <xdr:sp macro="" textlink="">
          <xdr:nvSpPr>
            <xdr:cNvPr id="13317" name="Scroll Bar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13</xdr:col>
      <xdr:colOff>247650</xdr:colOff>
      <xdr:row>13</xdr:row>
      <xdr:rowOff>93826</xdr:rowOff>
    </xdr:from>
    <xdr:to>
      <xdr:col>22</xdr:col>
      <xdr:colOff>291870</xdr:colOff>
      <xdr:row>28</xdr:row>
      <xdr:rowOff>36554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246017</xdr:colOff>
      <xdr:row>18</xdr:row>
      <xdr:rowOff>46537</xdr:rowOff>
    </xdr:from>
    <xdr:to>
      <xdr:col>14</xdr:col>
      <xdr:colOff>550817</xdr:colOff>
      <xdr:row>33</xdr:row>
      <xdr:rowOff>62592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482297</xdr:colOff>
      <xdr:row>1</xdr:row>
      <xdr:rowOff>426900</xdr:rowOff>
    </xdr:from>
    <xdr:to>
      <xdr:col>22</xdr:col>
      <xdr:colOff>413658</xdr:colOff>
      <xdr:row>17</xdr:row>
      <xdr:rowOff>119741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276225</xdr:colOff>
      <xdr:row>1</xdr:row>
      <xdr:rowOff>417195</xdr:rowOff>
    </xdr:from>
    <xdr:to>
      <xdr:col>14</xdr:col>
      <xdr:colOff>581025</xdr:colOff>
      <xdr:row>16</xdr:row>
      <xdr:rowOff>106680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21</xdr:row>
          <xdr:rowOff>133350</xdr:rowOff>
        </xdr:from>
        <xdr:to>
          <xdr:col>3</xdr:col>
          <xdr:colOff>619125</xdr:colOff>
          <xdr:row>36</xdr:row>
          <xdr:rowOff>9524</xdr:rowOff>
        </xdr:to>
        <xdr:sp macro="" textlink="">
          <xdr:nvSpPr>
            <xdr:cNvPr id="17409" name="Scroll Bar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21</xdr:row>
          <xdr:rowOff>114300</xdr:rowOff>
        </xdr:from>
        <xdr:to>
          <xdr:col>4</xdr:col>
          <xdr:colOff>685800</xdr:colOff>
          <xdr:row>35</xdr:row>
          <xdr:rowOff>161924</xdr:rowOff>
        </xdr:to>
        <xdr:sp macro="" textlink="">
          <xdr:nvSpPr>
            <xdr:cNvPr id="17410" name="Scroll Bar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21</xdr:row>
          <xdr:rowOff>114300</xdr:rowOff>
        </xdr:from>
        <xdr:to>
          <xdr:col>5</xdr:col>
          <xdr:colOff>733425</xdr:colOff>
          <xdr:row>35</xdr:row>
          <xdr:rowOff>161924</xdr:rowOff>
        </xdr:to>
        <xdr:sp macro="" textlink="">
          <xdr:nvSpPr>
            <xdr:cNvPr id="17411" name="Scroll Bar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21</xdr:row>
          <xdr:rowOff>114300</xdr:rowOff>
        </xdr:from>
        <xdr:to>
          <xdr:col>6</xdr:col>
          <xdr:colOff>542925</xdr:colOff>
          <xdr:row>35</xdr:row>
          <xdr:rowOff>171449</xdr:rowOff>
        </xdr:to>
        <xdr:sp macro="" textlink="">
          <xdr:nvSpPr>
            <xdr:cNvPr id="17412" name="Scroll Bar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21</xdr:row>
          <xdr:rowOff>95250</xdr:rowOff>
        </xdr:from>
        <xdr:to>
          <xdr:col>2</xdr:col>
          <xdr:colOff>114300</xdr:colOff>
          <xdr:row>35</xdr:row>
          <xdr:rowOff>152399</xdr:rowOff>
        </xdr:to>
        <xdr:sp macro="" textlink="">
          <xdr:nvSpPr>
            <xdr:cNvPr id="17413" name="Scroll Bar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33</xdr:col>
      <xdr:colOff>62594</xdr:colOff>
      <xdr:row>13</xdr:row>
      <xdr:rowOff>51593</xdr:rowOff>
    </xdr:from>
    <xdr:to>
      <xdr:col>40</xdr:col>
      <xdr:colOff>26394</xdr:colOff>
      <xdr:row>29</xdr:row>
      <xdr:rowOff>56042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535244" y="2705099"/>
          <a:ext cx="4231000" cy="28865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16327</xdr:colOff>
      <xdr:row>28</xdr:row>
      <xdr:rowOff>29029</xdr:rowOff>
    </xdr:from>
    <xdr:to>
      <xdr:col>16</xdr:col>
      <xdr:colOff>25400</xdr:colOff>
      <xdr:row>47</xdr:row>
      <xdr:rowOff>121557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12</xdr:row>
      <xdr:rowOff>25400</xdr:rowOff>
    </xdr:from>
    <xdr:to>
      <xdr:col>16</xdr:col>
      <xdr:colOff>57150</xdr:colOff>
      <xdr:row>26</xdr:row>
      <xdr:rowOff>165100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1143000</xdr:colOff>
          <xdr:row>3</xdr:row>
          <xdr:rowOff>57150</xdr:rowOff>
        </xdr:from>
        <xdr:to>
          <xdr:col>8</xdr:col>
          <xdr:colOff>504825</xdr:colOff>
          <xdr:row>8</xdr:row>
          <xdr:rowOff>19050</xdr:rowOff>
        </xdr:to>
        <xdr:sp macro="" textlink="">
          <xdr:nvSpPr>
            <xdr:cNvPr id="19485" name="Button 29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model by 1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57150</xdr:rowOff>
        </xdr:from>
        <xdr:to>
          <xdr:col>10</xdr:col>
          <xdr:colOff>933450</xdr:colOff>
          <xdr:row>8</xdr:row>
          <xdr:rowOff>19050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3</xdr:row>
      <xdr:rowOff>233796</xdr:rowOff>
    </xdr:from>
    <xdr:to>
      <xdr:col>2</xdr:col>
      <xdr:colOff>646481</xdr:colOff>
      <xdr:row>9</xdr:row>
      <xdr:rowOff>82402</xdr:rowOff>
    </xdr:to>
    <xdr:grpSp>
      <xdr:nvGrpSpPr>
        <xdr:cNvPr id="7" name="Group 6"/>
        <xdr:cNvGrpSpPr/>
      </xdr:nvGrpSpPr>
      <xdr:grpSpPr>
        <a:xfrm>
          <a:off x="95250" y="1027546"/>
          <a:ext cx="3678606" cy="1531356"/>
          <a:chOff x="95250" y="1021773"/>
          <a:chExt cx="3677163" cy="1355288"/>
        </a:xfrm>
      </xdr:grpSpPr>
      <xdr:pic>
        <xdr:nvPicPr>
          <xdr:cNvPr id="5" name="Picture 4" descr="Screen Clipping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1376796"/>
            <a:ext cx="3677163" cy="1000265"/>
          </a:xfrm>
          <a:prstGeom prst="rect">
            <a:avLst/>
          </a:prstGeom>
          <a:ln>
            <a:solidFill>
              <a:schemeClr val="tx2">
                <a:lumMod val="75000"/>
              </a:schemeClr>
            </a:solidFill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sp macro="" textlink="">
        <xdr:nvSpPr>
          <xdr:cNvPr id="6" name="TextBox 5"/>
          <xdr:cNvSpPr txBox="1"/>
        </xdr:nvSpPr>
        <xdr:spPr>
          <a:xfrm>
            <a:off x="103909" y="1021773"/>
            <a:ext cx="3662795" cy="3203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400" b="1"/>
              <a:t>Gaussian Function</a:t>
            </a:r>
          </a:p>
        </xdr:txBody>
      </xdr:sp>
    </xdr:grpSp>
    <xdr:clientData/>
  </xdr:twoCellAnchor>
  <xdr:twoCellAnchor>
    <xdr:from>
      <xdr:col>2</xdr:col>
      <xdr:colOff>646481</xdr:colOff>
      <xdr:row>7</xdr:row>
      <xdr:rowOff>150061</xdr:rowOff>
    </xdr:from>
    <xdr:to>
      <xdr:col>3</xdr:col>
      <xdr:colOff>251113</xdr:colOff>
      <xdr:row>8</xdr:row>
      <xdr:rowOff>138546</xdr:rowOff>
    </xdr:to>
    <xdr:cxnSp macro="">
      <xdr:nvCxnSpPr>
        <xdr:cNvPr id="9" name="Straight Arrow Connector 8"/>
        <xdr:cNvCxnSpPr>
          <a:stCxn id="5" idx="3"/>
        </xdr:cNvCxnSpPr>
      </xdr:nvCxnSpPr>
      <xdr:spPr>
        <a:xfrm>
          <a:off x="3772413" y="1942493"/>
          <a:ext cx="461882" cy="343508"/>
        </a:xfrm>
        <a:prstGeom prst="straightConnector1">
          <a:avLst/>
        </a:prstGeom>
        <a:ln w="57150">
          <a:solidFill>
            <a:schemeClr val="tx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646481</xdr:colOff>
      <xdr:row>7</xdr:row>
      <xdr:rowOff>150061</xdr:rowOff>
    </xdr:from>
    <xdr:to>
      <xdr:col>3</xdr:col>
      <xdr:colOff>285750</xdr:colOff>
      <xdr:row>13</xdr:row>
      <xdr:rowOff>0</xdr:rowOff>
    </xdr:to>
    <xdr:cxnSp macro="">
      <xdr:nvCxnSpPr>
        <xdr:cNvPr id="12" name="Straight Arrow Connector 11"/>
        <xdr:cNvCxnSpPr>
          <a:stCxn id="5" idx="3"/>
        </xdr:cNvCxnSpPr>
      </xdr:nvCxnSpPr>
      <xdr:spPr>
        <a:xfrm>
          <a:off x="3772413" y="1942493"/>
          <a:ext cx="496519" cy="1399916"/>
        </a:xfrm>
        <a:prstGeom prst="straightConnector1">
          <a:avLst/>
        </a:prstGeom>
        <a:ln w="57150">
          <a:solidFill>
            <a:schemeClr val="tx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121227</xdr:colOff>
      <xdr:row>11</xdr:row>
      <xdr:rowOff>0</xdr:rowOff>
    </xdr:from>
    <xdr:to>
      <xdr:col>4</xdr:col>
      <xdr:colOff>476250</xdr:colOff>
      <xdr:row>13</xdr:row>
      <xdr:rowOff>34636</xdr:rowOff>
    </xdr:to>
    <xdr:cxnSp macro="">
      <xdr:nvCxnSpPr>
        <xdr:cNvPr id="15" name="Straight Arrow Connector 14"/>
        <xdr:cNvCxnSpPr/>
      </xdr:nvCxnSpPr>
      <xdr:spPr>
        <a:xfrm>
          <a:off x="4104409" y="2840182"/>
          <a:ext cx="1749136" cy="536863"/>
        </a:xfrm>
        <a:prstGeom prst="straightConnector1">
          <a:avLst/>
        </a:prstGeom>
        <a:ln w="57150">
          <a:solidFill>
            <a:schemeClr val="tx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701040</xdr:colOff>
      <xdr:row>9</xdr:row>
      <xdr:rowOff>3810</xdr:rowOff>
    </xdr:from>
    <xdr:to>
      <xdr:col>18</xdr:col>
      <xdr:colOff>161580</xdr:colOff>
      <xdr:row>25</xdr:row>
      <xdr:rowOff>175260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156210</xdr:rowOff>
    </xdr:from>
    <xdr:to>
      <xdr:col>25</xdr:col>
      <xdr:colOff>304800</xdr:colOff>
      <xdr:row>22</xdr:row>
      <xdr:rowOff>128210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259080</xdr:colOff>
      <xdr:row>8</xdr:row>
      <xdr:rowOff>181610</xdr:rowOff>
    </xdr:from>
    <xdr:to>
      <xdr:col>40</xdr:col>
      <xdr:colOff>30479</xdr:colOff>
      <xdr:row>22</xdr:row>
      <xdr:rowOff>153610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524933</xdr:colOff>
      <xdr:row>8</xdr:row>
      <xdr:rowOff>91440</xdr:rowOff>
    </xdr:from>
    <xdr:to>
      <xdr:col>48</xdr:col>
      <xdr:colOff>541733</xdr:colOff>
      <xdr:row>22</xdr:row>
      <xdr:rowOff>124200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423332</xdr:colOff>
      <xdr:row>8</xdr:row>
      <xdr:rowOff>101599</xdr:rowOff>
    </xdr:from>
    <xdr:to>
      <xdr:col>56</xdr:col>
      <xdr:colOff>440132</xdr:colOff>
      <xdr:row>22</xdr:row>
      <xdr:rowOff>119932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AR504"/>
  <sheetViews>
    <sheetView showGridLines="0" topLeftCell="H1" zoomScale="80" zoomScaleNormal="80" workbookViewId="0">
      <selection activeCell="M55" sqref="M55"/>
    </sheetView>
  </sheetViews>
  <sheetFormatPr defaultRowHeight="15" x14ac:dyDescent="0.25"/>
  <cols>
    <col min="1" max="5" width="15.28515625" hidden="1" customWidth="1"/>
    <col min="6" max="6" width="19.7109375" hidden="1" customWidth="1"/>
    <col min="7" max="7" width="15.140625" hidden="1" customWidth="1"/>
    <col min="8" max="11" width="9.28515625" customWidth="1"/>
    <col min="12" max="12" width="19.140625" customWidth="1"/>
    <col min="13" max="44" width="5" customWidth="1"/>
  </cols>
  <sheetData>
    <row r="2" spans="2:44" ht="21" x14ac:dyDescent="0.4">
      <c r="C2" s="30" t="s">
        <v>16</v>
      </c>
      <c r="D2" s="16"/>
      <c r="E2" s="15"/>
      <c r="G2" s="16"/>
      <c r="H2" s="58" t="s">
        <v>33</v>
      </c>
      <c r="I2" s="16"/>
      <c r="J2" s="16"/>
      <c r="M2" s="55" t="s">
        <v>34</v>
      </c>
    </row>
    <row r="3" spans="2:44" thickBot="1" x14ac:dyDescent="0.35">
      <c r="C3" s="16" t="s">
        <v>10</v>
      </c>
      <c r="D3" s="16" t="s">
        <v>11</v>
      </c>
      <c r="G3" s="16"/>
      <c r="H3" s="16"/>
      <c r="I3" s="16"/>
      <c r="J3" s="16"/>
      <c r="M3" s="15" t="s">
        <v>14</v>
      </c>
    </row>
    <row r="4" spans="2:44" ht="19.899999999999999" customHeight="1" x14ac:dyDescent="0.3">
      <c r="B4" s="15" t="s">
        <v>7</v>
      </c>
      <c r="C4" s="18">
        <v>50</v>
      </c>
      <c r="D4" s="18">
        <v>110</v>
      </c>
      <c r="H4" s="162" t="s">
        <v>38</v>
      </c>
      <c r="I4" s="163"/>
      <c r="J4" s="162" t="s">
        <v>39</v>
      </c>
      <c r="K4" s="163"/>
      <c r="L4" s="16" t="s">
        <v>41</v>
      </c>
      <c r="M4" s="13">
        <f t="shared" ref="M4:AR4" si="0">M8+M7</f>
        <v>3</v>
      </c>
      <c r="N4" s="13">
        <f t="shared" si="0"/>
        <v>9</v>
      </c>
      <c r="O4" s="13">
        <f t="shared" si="0"/>
        <v>7</v>
      </c>
      <c r="P4" s="13">
        <f t="shared" si="0"/>
        <v>20</v>
      </c>
      <c r="Q4" s="13">
        <f t="shared" si="0"/>
        <v>27</v>
      </c>
      <c r="R4" s="13">
        <f t="shared" si="0"/>
        <v>34</v>
      </c>
      <c r="S4" s="13">
        <f t="shared" si="0"/>
        <v>45</v>
      </c>
      <c r="T4" s="13">
        <f t="shared" si="0"/>
        <v>52</v>
      </c>
      <c r="U4" s="13">
        <f t="shared" si="0"/>
        <v>47</v>
      </c>
      <c r="V4" s="13">
        <f t="shared" si="0"/>
        <v>54</v>
      </c>
      <c r="W4" s="13">
        <f t="shared" si="0"/>
        <v>39</v>
      </c>
      <c r="X4" s="13">
        <f t="shared" si="0"/>
        <v>49</v>
      </c>
      <c r="Y4" s="13">
        <f t="shared" si="0"/>
        <v>29</v>
      </c>
      <c r="Z4" s="13">
        <f t="shared" si="0"/>
        <v>27</v>
      </c>
      <c r="AA4" s="13">
        <f t="shared" si="0"/>
        <v>25</v>
      </c>
      <c r="AB4" s="13">
        <f t="shared" si="0"/>
        <v>22</v>
      </c>
      <c r="AC4" s="13">
        <f t="shared" si="0"/>
        <v>19</v>
      </c>
      <c r="AD4" s="13">
        <f t="shared" si="0"/>
        <v>39</v>
      </c>
      <c r="AE4" s="13">
        <f t="shared" si="0"/>
        <v>49</v>
      </c>
      <c r="AF4" s="13">
        <f t="shared" si="0"/>
        <v>63</v>
      </c>
      <c r="AG4" s="13">
        <f t="shared" si="0"/>
        <v>62</v>
      </c>
      <c r="AH4" s="13">
        <f t="shared" si="0"/>
        <v>74</v>
      </c>
      <c r="AI4" s="13">
        <f t="shared" si="0"/>
        <v>61</v>
      </c>
      <c r="AJ4" s="13">
        <f t="shared" si="0"/>
        <v>54</v>
      </c>
      <c r="AK4" s="13">
        <f t="shared" si="0"/>
        <v>34</v>
      </c>
      <c r="AL4" s="13">
        <f t="shared" si="0"/>
        <v>24</v>
      </c>
      <c r="AM4" s="13">
        <f t="shared" si="0"/>
        <v>6</v>
      </c>
      <c r="AN4" s="13">
        <f t="shared" si="0"/>
        <v>3</v>
      </c>
      <c r="AO4" s="13">
        <f t="shared" si="0"/>
        <v>2</v>
      </c>
      <c r="AP4" s="13">
        <f t="shared" si="0"/>
        <v>0</v>
      </c>
      <c r="AQ4" s="13">
        <f t="shared" si="0"/>
        <v>0</v>
      </c>
      <c r="AR4" s="13">
        <f t="shared" si="0"/>
        <v>0</v>
      </c>
    </row>
    <row r="5" spans="2:44" ht="19.899999999999999" customHeight="1" x14ac:dyDescent="0.3">
      <c r="B5" s="15" t="s">
        <v>8</v>
      </c>
      <c r="C5" s="18">
        <v>18</v>
      </c>
      <c r="D5" s="18">
        <v>13</v>
      </c>
      <c r="H5" s="26" t="s">
        <v>7</v>
      </c>
      <c r="I5" s="27" t="s">
        <v>8</v>
      </c>
      <c r="J5" s="26" t="s">
        <v>7</v>
      </c>
      <c r="K5" s="27" t="s">
        <v>8</v>
      </c>
      <c r="L5" s="16" t="s">
        <v>13</v>
      </c>
      <c r="M5" s="13">
        <f t="shared" ref="M5:AR5" si="1">M6+step</f>
        <v>10</v>
      </c>
      <c r="N5" s="13">
        <f t="shared" si="1"/>
        <v>15</v>
      </c>
      <c r="O5" s="13">
        <f t="shared" si="1"/>
        <v>20</v>
      </c>
      <c r="P5" s="13">
        <f t="shared" si="1"/>
        <v>25</v>
      </c>
      <c r="Q5" s="13">
        <f t="shared" si="1"/>
        <v>30</v>
      </c>
      <c r="R5" s="13">
        <f t="shared" si="1"/>
        <v>35</v>
      </c>
      <c r="S5" s="13">
        <f t="shared" si="1"/>
        <v>40</v>
      </c>
      <c r="T5" s="13">
        <f t="shared" si="1"/>
        <v>45</v>
      </c>
      <c r="U5" s="13">
        <f t="shared" si="1"/>
        <v>50</v>
      </c>
      <c r="V5" s="13">
        <f t="shared" si="1"/>
        <v>55</v>
      </c>
      <c r="W5" s="13">
        <f t="shared" si="1"/>
        <v>60</v>
      </c>
      <c r="X5" s="13">
        <f t="shared" si="1"/>
        <v>65</v>
      </c>
      <c r="Y5" s="13">
        <f t="shared" si="1"/>
        <v>70</v>
      </c>
      <c r="Z5" s="13">
        <f t="shared" si="1"/>
        <v>75</v>
      </c>
      <c r="AA5" s="13">
        <f t="shared" si="1"/>
        <v>80</v>
      </c>
      <c r="AB5" s="13">
        <f t="shared" si="1"/>
        <v>85</v>
      </c>
      <c r="AC5" s="13">
        <f t="shared" si="1"/>
        <v>90</v>
      </c>
      <c r="AD5" s="13">
        <f t="shared" si="1"/>
        <v>95</v>
      </c>
      <c r="AE5" s="13">
        <f t="shared" si="1"/>
        <v>100</v>
      </c>
      <c r="AF5" s="13">
        <f t="shared" si="1"/>
        <v>105</v>
      </c>
      <c r="AG5" s="13">
        <f t="shared" si="1"/>
        <v>110</v>
      </c>
      <c r="AH5" s="13">
        <f t="shared" si="1"/>
        <v>115</v>
      </c>
      <c r="AI5" s="13">
        <f t="shared" si="1"/>
        <v>120</v>
      </c>
      <c r="AJ5" s="13">
        <f t="shared" si="1"/>
        <v>125</v>
      </c>
      <c r="AK5" s="13">
        <f t="shared" si="1"/>
        <v>130</v>
      </c>
      <c r="AL5" s="13">
        <f t="shared" si="1"/>
        <v>135</v>
      </c>
      <c r="AM5" s="13">
        <f t="shared" si="1"/>
        <v>140</v>
      </c>
      <c r="AN5" s="13">
        <f t="shared" si="1"/>
        <v>145</v>
      </c>
      <c r="AO5" s="13">
        <f t="shared" si="1"/>
        <v>150</v>
      </c>
      <c r="AP5" s="13">
        <f t="shared" si="1"/>
        <v>155</v>
      </c>
      <c r="AQ5" s="13">
        <f t="shared" si="1"/>
        <v>160</v>
      </c>
      <c r="AR5" s="13">
        <f t="shared" si="1"/>
        <v>165</v>
      </c>
    </row>
    <row r="6" spans="2:44" ht="19.899999999999999" customHeight="1" x14ac:dyDescent="0.3">
      <c r="B6" s="15" t="s">
        <v>9</v>
      </c>
      <c r="C6" s="18">
        <v>5</v>
      </c>
      <c r="D6" s="7"/>
      <c r="G6" s="7"/>
      <c r="H6" s="28">
        <v>1</v>
      </c>
      <c r="I6" s="29">
        <v>1</v>
      </c>
      <c r="J6" s="28">
        <v>1</v>
      </c>
      <c r="K6" s="29">
        <v>1</v>
      </c>
      <c r="L6" s="16" t="s">
        <v>12</v>
      </c>
      <c r="M6" s="13">
        <v>5</v>
      </c>
      <c r="N6" s="13">
        <f t="shared" ref="N6:AR6" si="2">M6+step</f>
        <v>10</v>
      </c>
      <c r="O6" s="13">
        <f t="shared" si="2"/>
        <v>15</v>
      </c>
      <c r="P6" s="13">
        <f t="shared" si="2"/>
        <v>20</v>
      </c>
      <c r="Q6" s="13">
        <f t="shared" si="2"/>
        <v>25</v>
      </c>
      <c r="R6" s="13">
        <f t="shared" si="2"/>
        <v>30</v>
      </c>
      <c r="S6" s="13">
        <f t="shared" si="2"/>
        <v>35</v>
      </c>
      <c r="T6" s="13">
        <f t="shared" si="2"/>
        <v>40</v>
      </c>
      <c r="U6" s="13">
        <f t="shared" si="2"/>
        <v>45</v>
      </c>
      <c r="V6" s="13">
        <f t="shared" si="2"/>
        <v>50</v>
      </c>
      <c r="W6" s="13">
        <f t="shared" si="2"/>
        <v>55</v>
      </c>
      <c r="X6" s="13">
        <f t="shared" si="2"/>
        <v>60</v>
      </c>
      <c r="Y6" s="13">
        <f t="shared" si="2"/>
        <v>65</v>
      </c>
      <c r="Z6" s="13">
        <f t="shared" si="2"/>
        <v>70</v>
      </c>
      <c r="AA6" s="13">
        <f t="shared" si="2"/>
        <v>75</v>
      </c>
      <c r="AB6" s="13">
        <f t="shared" si="2"/>
        <v>80</v>
      </c>
      <c r="AC6" s="13">
        <f t="shared" si="2"/>
        <v>85</v>
      </c>
      <c r="AD6" s="13">
        <f t="shared" si="2"/>
        <v>90</v>
      </c>
      <c r="AE6" s="13">
        <f t="shared" si="2"/>
        <v>95</v>
      </c>
      <c r="AF6" s="13">
        <f t="shared" si="2"/>
        <v>100</v>
      </c>
      <c r="AG6" s="13">
        <f t="shared" si="2"/>
        <v>105</v>
      </c>
      <c r="AH6" s="13">
        <f t="shared" si="2"/>
        <v>110</v>
      </c>
      <c r="AI6" s="13">
        <f t="shared" si="2"/>
        <v>115</v>
      </c>
      <c r="AJ6" s="13">
        <f t="shared" si="2"/>
        <v>120</v>
      </c>
      <c r="AK6" s="13">
        <f t="shared" si="2"/>
        <v>125</v>
      </c>
      <c r="AL6" s="13">
        <f t="shared" si="2"/>
        <v>130</v>
      </c>
      <c r="AM6" s="13">
        <f t="shared" si="2"/>
        <v>135</v>
      </c>
      <c r="AN6" s="13">
        <f t="shared" si="2"/>
        <v>140</v>
      </c>
      <c r="AO6" s="13">
        <f t="shared" si="2"/>
        <v>145</v>
      </c>
      <c r="AP6" s="13">
        <f t="shared" si="2"/>
        <v>150</v>
      </c>
      <c r="AQ6" s="13">
        <f t="shared" si="2"/>
        <v>155</v>
      </c>
      <c r="AR6" s="13">
        <f t="shared" si="2"/>
        <v>160</v>
      </c>
    </row>
    <row r="7" spans="2:44" ht="19.899999999999999" hidden="1" customHeight="1" x14ac:dyDescent="0.3">
      <c r="H7" s="21"/>
      <c r="I7" s="22"/>
      <c r="J7" s="21"/>
      <c r="K7" s="8"/>
      <c r="L7" s="5" t="s">
        <v>10</v>
      </c>
      <c r="M7" s="3">
        <f>COUNTIFS($E$14:$E$504,"&gt;"&amp;M$6,$E$14:$E$504,"&lt;="&amp;M$5)</f>
        <v>3</v>
      </c>
      <c r="N7" s="3">
        <f t="shared" ref="N7:AR7" si="3">COUNTIFS($E$14:$E$504,"&gt;"&amp;N$6,$E$14:$E$504,"&lt;="&amp;N$5)</f>
        <v>9</v>
      </c>
      <c r="O7" s="3">
        <f t="shared" si="3"/>
        <v>7</v>
      </c>
      <c r="P7" s="3">
        <f t="shared" si="3"/>
        <v>20</v>
      </c>
      <c r="Q7" s="3">
        <f t="shared" si="3"/>
        <v>27</v>
      </c>
      <c r="R7" s="3">
        <f t="shared" si="3"/>
        <v>34</v>
      </c>
      <c r="S7" s="3">
        <f t="shared" si="3"/>
        <v>45</v>
      </c>
      <c r="T7" s="3">
        <f t="shared" si="3"/>
        <v>52</v>
      </c>
      <c r="U7" s="3">
        <f t="shared" si="3"/>
        <v>47</v>
      </c>
      <c r="V7" s="3">
        <f t="shared" si="3"/>
        <v>54</v>
      </c>
      <c r="W7" s="3">
        <f t="shared" si="3"/>
        <v>39</v>
      </c>
      <c r="X7" s="3">
        <f t="shared" si="3"/>
        <v>49</v>
      </c>
      <c r="Y7" s="3">
        <f t="shared" si="3"/>
        <v>29</v>
      </c>
      <c r="Z7" s="3">
        <f t="shared" si="3"/>
        <v>25</v>
      </c>
      <c r="AA7" s="3">
        <f t="shared" si="3"/>
        <v>22</v>
      </c>
      <c r="AB7" s="3">
        <f t="shared" si="3"/>
        <v>13</v>
      </c>
      <c r="AC7" s="3">
        <f t="shared" si="3"/>
        <v>5</v>
      </c>
      <c r="AD7" s="3">
        <f t="shared" si="3"/>
        <v>4</v>
      </c>
      <c r="AE7" s="3">
        <f t="shared" si="3"/>
        <v>3</v>
      </c>
      <c r="AF7" s="3">
        <f t="shared" si="3"/>
        <v>0</v>
      </c>
      <c r="AG7" s="3">
        <f t="shared" si="3"/>
        <v>1</v>
      </c>
      <c r="AH7" s="3">
        <f t="shared" si="3"/>
        <v>0</v>
      </c>
      <c r="AI7" s="3">
        <f t="shared" si="3"/>
        <v>0</v>
      </c>
      <c r="AJ7" s="3">
        <f t="shared" si="3"/>
        <v>0</v>
      </c>
      <c r="AK7" s="3">
        <f t="shared" si="3"/>
        <v>0</v>
      </c>
      <c r="AL7" s="3">
        <f t="shared" si="3"/>
        <v>0</v>
      </c>
      <c r="AM7" s="3">
        <f t="shared" si="3"/>
        <v>0</v>
      </c>
      <c r="AN7" s="3">
        <f t="shared" si="3"/>
        <v>0</v>
      </c>
      <c r="AO7" s="3">
        <f t="shared" si="3"/>
        <v>0</v>
      </c>
      <c r="AP7" s="3">
        <f t="shared" si="3"/>
        <v>0</v>
      </c>
      <c r="AQ7" s="3">
        <f t="shared" si="3"/>
        <v>0</v>
      </c>
      <c r="AR7" s="3">
        <f t="shared" si="3"/>
        <v>0</v>
      </c>
    </row>
    <row r="8" spans="2:44" ht="19.899999999999999" hidden="1" customHeight="1" thickBot="1" x14ac:dyDescent="0.3">
      <c r="H8" s="21"/>
      <c r="I8" s="22"/>
      <c r="J8" s="21"/>
      <c r="K8" s="8"/>
      <c r="L8" s="5" t="s">
        <v>11</v>
      </c>
      <c r="M8" s="3">
        <f>COUNTIFS($F$14:$F$504,"&gt;"&amp;M$6,$F$14:$F$504,"&lt;="&amp;M$5)</f>
        <v>0</v>
      </c>
      <c r="N8" s="3">
        <f t="shared" ref="N8:AR8" si="4">COUNTIFS($F$14:$F$504,"&gt;"&amp;N$6,$F$14:$F$504,"&lt;="&amp;N$5)</f>
        <v>0</v>
      </c>
      <c r="O8" s="3">
        <f t="shared" si="4"/>
        <v>0</v>
      </c>
      <c r="P8" s="3">
        <f t="shared" si="4"/>
        <v>0</v>
      </c>
      <c r="Q8" s="3">
        <f t="shared" si="4"/>
        <v>0</v>
      </c>
      <c r="R8" s="3">
        <f t="shared" si="4"/>
        <v>0</v>
      </c>
      <c r="S8" s="3">
        <f t="shared" si="4"/>
        <v>0</v>
      </c>
      <c r="T8" s="3">
        <f t="shared" si="4"/>
        <v>0</v>
      </c>
      <c r="U8" s="3">
        <f t="shared" si="4"/>
        <v>0</v>
      </c>
      <c r="V8" s="3">
        <f t="shared" si="4"/>
        <v>0</v>
      </c>
      <c r="W8" s="3">
        <f t="shared" si="4"/>
        <v>0</v>
      </c>
      <c r="X8" s="3">
        <f t="shared" si="4"/>
        <v>0</v>
      </c>
      <c r="Y8" s="3">
        <f t="shared" si="4"/>
        <v>0</v>
      </c>
      <c r="Z8" s="3">
        <f t="shared" si="4"/>
        <v>2</v>
      </c>
      <c r="AA8" s="3">
        <f t="shared" si="4"/>
        <v>3</v>
      </c>
      <c r="AB8" s="3">
        <f t="shared" si="4"/>
        <v>9</v>
      </c>
      <c r="AC8" s="3">
        <f t="shared" si="4"/>
        <v>14</v>
      </c>
      <c r="AD8" s="3">
        <f t="shared" si="4"/>
        <v>35</v>
      </c>
      <c r="AE8" s="3">
        <f t="shared" si="4"/>
        <v>46</v>
      </c>
      <c r="AF8" s="3">
        <f t="shared" si="4"/>
        <v>63</v>
      </c>
      <c r="AG8" s="3">
        <f t="shared" si="4"/>
        <v>61</v>
      </c>
      <c r="AH8" s="3">
        <f t="shared" si="4"/>
        <v>74</v>
      </c>
      <c r="AI8" s="3">
        <f t="shared" si="4"/>
        <v>61</v>
      </c>
      <c r="AJ8" s="3">
        <f t="shared" si="4"/>
        <v>54</v>
      </c>
      <c r="AK8" s="3">
        <f t="shared" si="4"/>
        <v>34</v>
      </c>
      <c r="AL8" s="3">
        <f t="shared" si="4"/>
        <v>24</v>
      </c>
      <c r="AM8" s="3">
        <f t="shared" si="4"/>
        <v>6</v>
      </c>
      <c r="AN8" s="3">
        <f t="shared" si="4"/>
        <v>3</v>
      </c>
      <c r="AO8" s="3">
        <f t="shared" si="4"/>
        <v>2</v>
      </c>
      <c r="AP8" s="3">
        <f t="shared" si="4"/>
        <v>0</v>
      </c>
      <c r="AQ8" s="3">
        <f t="shared" si="4"/>
        <v>0</v>
      </c>
      <c r="AR8" s="3">
        <f t="shared" si="4"/>
        <v>0</v>
      </c>
    </row>
    <row r="9" spans="2:44" ht="19.899999999999999" customHeight="1" x14ac:dyDescent="0.3">
      <c r="H9" s="21"/>
      <c r="I9" s="22"/>
      <c r="J9" s="21"/>
      <c r="K9" s="8"/>
      <c r="L9" s="5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</row>
    <row r="10" spans="2:44" ht="19.899999999999999" customHeight="1" x14ac:dyDescent="0.4">
      <c r="H10" s="21"/>
      <c r="I10" s="22"/>
      <c r="J10" s="21"/>
      <c r="K10" s="8"/>
      <c r="M10" s="55" t="s">
        <v>37</v>
      </c>
    </row>
    <row r="11" spans="2:44" ht="19.899999999999999" customHeight="1" thickBot="1" x14ac:dyDescent="0.35">
      <c r="H11" s="21"/>
      <c r="I11" s="22"/>
      <c r="J11" s="21"/>
      <c r="K11" s="8"/>
      <c r="L11" s="5" t="s">
        <v>38</v>
      </c>
      <c r="M11" s="13">
        <f t="shared" ref="M11:AR11" si="5">_xlfn.NORM.DIST(M6,$H$6,$I$6,FALSE) *2500</f>
        <v>0.33457556441221342</v>
      </c>
      <c r="N11" s="13">
        <f t="shared" si="5"/>
        <v>2.5699433929172292E-15</v>
      </c>
      <c r="O11" s="13">
        <f t="shared" si="5"/>
        <v>2.7415163984724282E-40</v>
      </c>
      <c r="P11" s="13">
        <f t="shared" si="5"/>
        <v>4.0615900919340205E-76</v>
      </c>
      <c r="Q11" s="13">
        <f t="shared" si="5"/>
        <v>8.356786104486145E-123</v>
      </c>
      <c r="R11" s="13">
        <f t="shared" si="5"/>
        <v>2.3879236354872096E-180</v>
      </c>
      <c r="S11" s="13">
        <f t="shared" si="5"/>
        <v>9.4763160002321697E-249</v>
      </c>
      <c r="T11" s="13">
        <f t="shared" si="5"/>
        <v>0</v>
      </c>
      <c r="U11" s="13">
        <f t="shared" si="5"/>
        <v>0</v>
      </c>
      <c r="V11" s="13">
        <f t="shared" si="5"/>
        <v>0</v>
      </c>
      <c r="W11" s="13">
        <f t="shared" si="5"/>
        <v>0</v>
      </c>
      <c r="X11" s="13">
        <f t="shared" si="5"/>
        <v>0</v>
      </c>
      <c r="Y11" s="13">
        <f t="shared" si="5"/>
        <v>0</v>
      </c>
      <c r="Z11" s="13">
        <f t="shared" si="5"/>
        <v>0</v>
      </c>
      <c r="AA11" s="13">
        <f t="shared" si="5"/>
        <v>0</v>
      </c>
      <c r="AB11" s="13">
        <f t="shared" si="5"/>
        <v>0</v>
      </c>
      <c r="AC11" s="13">
        <f t="shared" si="5"/>
        <v>0</v>
      </c>
      <c r="AD11" s="13">
        <f t="shared" si="5"/>
        <v>0</v>
      </c>
      <c r="AE11" s="13">
        <f t="shared" si="5"/>
        <v>0</v>
      </c>
      <c r="AF11" s="13">
        <f t="shared" si="5"/>
        <v>0</v>
      </c>
      <c r="AG11" s="13">
        <f t="shared" si="5"/>
        <v>0</v>
      </c>
      <c r="AH11" s="13">
        <f t="shared" si="5"/>
        <v>0</v>
      </c>
      <c r="AI11" s="13">
        <f t="shared" si="5"/>
        <v>0</v>
      </c>
      <c r="AJ11" s="13">
        <f t="shared" si="5"/>
        <v>0</v>
      </c>
      <c r="AK11" s="13">
        <f t="shared" si="5"/>
        <v>0</v>
      </c>
      <c r="AL11" s="13">
        <f t="shared" si="5"/>
        <v>0</v>
      </c>
      <c r="AM11" s="13">
        <f t="shared" si="5"/>
        <v>0</v>
      </c>
      <c r="AN11" s="13">
        <f t="shared" si="5"/>
        <v>0</v>
      </c>
      <c r="AO11" s="13">
        <f t="shared" si="5"/>
        <v>0</v>
      </c>
      <c r="AP11" s="13">
        <f t="shared" si="5"/>
        <v>0</v>
      </c>
      <c r="AQ11" s="13">
        <f t="shared" si="5"/>
        <v>0</v>
      </c>
      <c r="AR11" s="13">
        <f t="shared" si="5"/>
        <v>0</v>
      </c>
    </row>
    <row r="12" spans="2:44" ht="19.899999999999999" customHeight="1" x14ac:dyDescent="0.25">
      <c r="C12" s="158" t="s">
        <v>35</v>
      </c>
      <c r="D12" s="159"/>
      <c r="E12" s="158" t="s">
        <v>36</v>
      </c>
      <c r="F12" s="159"/>
      <c r="H12" s="21"/>
      <c r="I12" s="22"/>
      <c r="J12" s="21"/>
      <c r="K12" s="8"/>
      <c r="L12" s="5" t="s">
        <v>39</v>
      </c>
      <c r="M12" s="13">
        <f t="shared" ref="M12:AR12" si="6">_xlfn.NORM.DIST(M6,$J$6,$K$6,FALSE) * 2500</f>
        <v>0.33457556441221342</v>
      </c>
      <c r="N12" s="13">
        <f t="shared" si="6"/>
        <v>2.5699433929172292E-15</v>
      </c>
      <c r="O12" s="13">
        <f t="shared" si="6"/>
        <v>2.7415163984724282E-40</v>
      </c>
      <c r="P12" s="13">
        <f t="shared" si="6"/>
        <v>4.0615900919340205E-76</v>
      </c>
      <c r="Q12" s="13">
        <f t="shared" si="6"/>
        <v>8.356786104486145E-123</v>
      </c>
      <c r="R12" s="13">
        <f t="shared" si="6"/>
        <v>2.3879236354872096E-180</v>
      </c>
      <c r="S12" s="13">
        <f t="shared" si="6"/>
        <v>9.4763160002321697E-249</v>
      </c>
      <c r="T12" s="13">
        <f t="shared" si="6"/>
        <v>0</v>
      </c>
      <c r="U12" s="13">
        <f t="shared" si="6"/>
        <v>0</v>
      </c>
      <c r="V12" s="13">
        <f t="shared" si="6"/>
        <v>0</v>
      </c>
      <c r="W12" s="13">
        <f t="shared" si="6"/>
        <v>0</v>
      </c>
      <c r="X12" s="13">
        <f t="shared" si="6"/>
        <v>0</v>
      </c>
      <c r="Y12" s="13">
        <f t="shared" si="6"/>
        <v>0</v>
      </c>
      <c r="Z12" s="13">
        <f t="shared" si="6"/>
        <v>0</v>
      </c>
      <c r="AA12" s="13">
        <f t="shared" si="6"/>
        <v>0</v>
      </c>
      <c r="AB12" s="13">
        <f t="shared" si="6"/>
        <v>0</v>
      </c>
      <c r="AC12" s="13">
        <f t="shared" si="6"/>
        <v>0</v>
      </c>
      <c r="AD12" s="13">
        <f t="shared" si="6"/>
        <v>0</v>
      </c>
      <c r="AE12" s="13">
        <f t="shared" si="6"/>
        <v>0</v>
      </c>
      <c r="AF12" s="13">
        <f t="shared" si="6"/>
        <v>0</v>
      </c>
      <c r="AG12" s="13">
        <f t="shared" si="6"/>
        <v>0</v>
      </c>
      <c r="AH12" s="13">
        <f t="shared" si="6"/>
        <v>0</v>
      </c>
      <c r="AI12" s="13">
        <f t="shared" si="6"/>
        <v>0</v>
      </c>
      <c r="AJ12" s="13">
        <f t="shared" si="6"/>
        <v>0</v>
      </c>
      <c r="AK12" s="13">
        <f t="shared" si="6"/>
        <v>0</v>
      </c>
      <c r="AL12" s="13">
        <f t="shared" si="6"/>
        <v>0</v>
      </c>
      <c r="AM12" s="13">
        <f t="shared" si="6"/>
        <v>0</v>
      </c>
      <c r="AN12" s="13">
        <f t="shared" si="6"/>
        <v>0</v>
      </c>
      <c r="AO12" s="13">
        <f t="shared" si="6"/>
        <v>0</v>
      </c>
      <c r="AP12" s="13">
        <f t="shared" si="6"/>
        <v>0</v>
      </c>
      <c r="AQ12" s="13">
        <f t="shared" si="6"/>
        <v>0</v>
      </c>
      <c r="AR12" s="13">
        <f t="shared" si="6"/>
        <v>0</v>
      </c>
    </row>
    <row r="13" spans="2:44" ht="19.899999999999999" customHeight="1" thickBot="1" x14ac:dyDescent="0.3">
      <c r="C13" s="160"/>
      <c r="D13" s="161"/>
      <c r="E13" s="160"/>
      <c r="F13" s="161"/>
      <c r="H13" s="21"/>
      <c r="I13" s="22"/>
      <c r="J13" s="21"/>
      <c r="K13" s="8"/>
      <c r="L13" s="5" t="s">
        <v>40</v>
      </c>
      <c r="M13" s="13">
        <f t="shared" ref="M13:AR13" si="7">M11+M12</f>
        <v>0.66915112882442684</v>
      </c>
      <c r="N13" s="13">
        <f t="shared" si="7"/>
        <v>5.1398867858344584E-15</v>
      </c>
      <c r="O13" s="13">
        <f t="shared" si="7"/>
        <v>5.4830327969448564E-40</v>
      </c>
      <c r="P13" s="13">
        <f t="shared" si="7"/>
        <v>8.123180183868041E-76</v>
      </c>
      <c r="Q13" s="13">
        <f t="shared" si="7"/>
        <v>1.671357220897229E-122</v>
      </c>
      <c r="R13" s="13">
        <f t="shared" si="7"/>
        <v>4.7758472709744192E-180</v>
      </c>
      <c r="S13" s="13">
        <f t="shared" si="7"/>
        <v>1.8952632000464339E-248</v>
      </c>
      <c r="T13" s="13">
        <f t="shared" si="7"/>
        <v>0</v>
      </c>
      <c r="U13" s="13">
        <f t="shared" si="7"/>
        <v>0</v>
      </c>
      <c r="V13" s="13">
        <f t="shared" si="7"/>
        <v>0</v>
      </c>
      <c r="W13" s="13">
        <f t="shared" si="7"/>
        <v>0</v>
      </c>
      <c r="X13" s="13">
        <f t="shared" si="7"/>
        <v>0</v>
      </c>
      <c r="Y13" s="13">
        <f t="shared" si="7"/>
        <v>0</v>
      </c>
      <c r="Z13" s="13">
        <f t="shared" si="7"/>
        <v>0</v>
      </c>
      <c r="AA13" s="13">
        <f t="shared" si="7"/>
        <v>0</v>
      </c>
      <c r="AB13" s="13">
        <f t="shared" si="7"/>
        <v>0</v>
      </c>
      <c r="AC13" s="13">
        <f t="shared" si="7"/>
        <v>0</v>
      </c>
      <c r="AD13" s="13">
        <f t="shared" si="7"/>
        <v>0</v>
      </c>
      <c r="AE13" s="13">
        <f t="shared" si="7"/>
        <v>0</v>
      </c>
      <c r="AF13" s="13">
        <f t="shared" si="7"/>
        <v>0</v>
      </c>
      <c r="AG13" s="13">
        <f t="shared" si="7"/>
        <v>0</v>
      </c>
      <c r="AH13" s="13">
        <f t="shared" si="7"/>
        <v>0</v>
      </c>
      <c r="AI13" s="13">
        <f t="shared" si="7"/>
        <v>0</v>
      </c>
      <c r="AJ13" s="13">
        <f t="shared" si="7"/>
        <v>0</v>
      </c>
      <c r="AK13" s="13">
        <f t="shared" si="7"/>
        <v>0</v>
      </c>
      <c r="AL13" s="13">
        <f t="shared" si="7"/>
        <v>0</v>
      </c>
      <c r="AM13" s="13">
        <f t="shared" si="7"/>
        <v>0</v>
      </c>
      <c r="AN13" s="13">
        <f t="shared" si="7"/>
        <v>0</v>
      </c>
      <c r="AO13" s="13">
        <f t="shared" si="7"/>
        <v>0</v>
      </c>
      <c r="AP13" s="13">
        <f t="shared" si="7"/>
        <v>0</v>
      </c>
      <c r="AQ13" s="13">
        <f t="shared" si="7"/>
        <v>0</v>
      </c>
      <c r="AR13" s="13">
        <f t="shared" si="7"/>
        <v>0</v>
      </c>
    </row>
    <row r="14" spans="2:44" ht="16.149999999999999" customHeight="1" x14ac:dyDescent="0.3">
      <c r="C14" s="56">
        <f t="shared" ref="C14:D33" ca="1" si="8">_xlfn.NORM.INV(RAND(),C$4,C$5)</f>
        <v>46.780678702318866</v>
      </c>
      <c r="D14" s="56">
        <f t="shared" ca="1" si="8"/>
        <v>95.224559492061417</v>
      </c>
      <c r="E14" s="57">
        <v>38.055228820059654</v>
      </c>
      <c r="F14" s="57">
        <v>91.774052161600636</v>
      </c>
      <c r="G14" s="17"/>
      <c r="H14" s="21"/>
      <c r="I14" s="22"/>
      <c r="J14" s="21"/>
      <c r="K14" s="8"/>
    </row>
    <row r="15" spans="2:44" ht="16.149999999999999" customHeight="1" x14ac:dyDescent="0.3">
      <c r="C15" s="31">
        <f t="shared" ca="1" si="8"/>
        <v>22.897993904995083</v>
      </c>
      <c r="D15" s="31">
        <f t="shared" ca="1" si="8"/>
        <v>109.77444874969659</v>
      </c>
      <c r="E15" s="32">
        <v>55.537257875087292</v>
      </c>
      <c r="F15" s="32">
        <v>90.968985405179652</v>
      </c>
      <c r="G15" s="17"/>
      <c r="H15" s="21"/>
      <c r="I15" s="22"/>
      <c r="J15" s="21"/>
      <c r="K15" s="8"/>
      <c r="L15" s="5"/>
    </row>
    <row r="16" spans="2:44" ht="16.149999999999999" customHeight="1" x14ac:dyDescent="0.3">
      <c r="C16" s="31">
        <f t="shared" ca="1" si="8"/>
        <v>56.992600721379816</v>
      </c>
      <c r="D16" s="31">
        <f t="shared" ca="1" si="8"/>
        <v>124.02386196886445</v>
      </c>
      <c r="E16" s="32">
        <v>75.033136110166708</v>
      </c>
      <c r="F16" s="32">
        <v>108.9508783766894</v>
      </c>
      <c r="G16" s="17"/>
      <c r="H16" s="21"/>
      <c r="I16" s="22"/>
      <c r="J16" s="21"/>
      <c r="K16" s="8"/>
    </row>
    <row r="17" spans="3:11" ht="16.149999999999999" customHeight="1" x14ac:dyDescent="0.3">
      <c r="C17" s="31">
        <f t="shared" ca="1" si="8"/>
        <v>52.063690623366725</v>
      </c>
      <c r="D17" s="31">
        <f t="shared" ca="1" si="8"/>
        <v>121.14145462324757</v>
      </c>
      <c r="E17" s="32">
        <v>44.8150254001457</v>
      </c>
      <c r="F17" s="32">
        <v>120.37157170178401</v>
      </c>
      <c r="G17" s="17"/>
      <c r="H17" s="21"/>
      <c r="I17" s="22"/>
      <c r="J17" s="21"/>
      <c r="K17" s="8"/>
    </row>
    <row r="18" spans="3:11" ht="16.149999999999999" customHeight="1" x14ac:dyDescent="0.3">
      <c r="C18" s="31">
        <f t="shared" ca="1" si="8"/>
        <v>27.224407106562786</v>
      </c>
      <c r="D18" s="31">
        <f t="shared" ca="1" si="8"/>
        <v>112.02910521730043</v>
      </c>
      <c r="E18" s="32">
        <v>36.855889505575043</v>
      </c>
      <c r="F18" s="32">
        <v>107.51193190358735</v>
      </c>
      <c r="G18" s="17"/>
      <c r="H18" s="21"/>
      <c r="I18" s="22"/>
      <c r="J18" s="21"/>
      <c r="K18" s="8"/>
    </row>
    <row r="19" spans="3:11" ht="16.149999999999999" customHeight="1" x14ac:dyDescent="0.3">
      <c r="C19" s="31">
        <f t="shared" ca="1" si="8"/>
        <v>25.733162246403406</v>
      </c>
      <c r="D19" s="31">
        <f t="shared" ca="1" si="8"/>
        <v>103.37106432179208</v>
      </c>
      <c r="E19" s="32">
        <v>51.19474691417615</v>
      </c>
      <c r="F19" s="32">
        <v>102.90809117828135</v>
      </c>
      <c r="G19" s="17"/>
      <c r="H19" s="21"/>
      <c r="I19" s="22"/>
      <c r="J19" s="21"/>
      <c r="K19" s="8"/>
    </row>
    <row r="20" spans="3:11" ht="16.149999999999999" customHeight="1" x14ac:dyDescent="0.3">
      <c r="C20" s="31">
        <f t="shared" ca="1" si="8"/>
        <v>77.033762786064443</v>
      </c>
      <c r="D20" s="31">
        <f t="shared" ca="1" si="8"/>
        <v>97.024976252591131</v>
      </c>
      <c r="E20" s="32">
        <v>98.659589471067974</v>
      </c>
      <c r="F20" s="32">
        <v>137.05708471349962</v>
      </c>
      <c r="G20" s="17"/>
      <c r="H20" s="21"/>
      <c r="I20" s="22"/>
      <c r="J20" s="21"/>
      <c r="K20" s="8"/>
    </row>
    <row r="21" spans="3:11" ht="16.149999999999999" customHeight="1" x14ac:dyDescent="0.3">
      <c r="C21" s="31">
        <f t="shared" ca="1" si="8"/>
        <v>33.662893445957501</v>
      </c>
      <c r="D21" s="31">
        <f t="shared" ca="1" si="8"/>
        <v>122.65285344582247</v>
      </c>
      <c r="E21" s="32">
        <v>49.984947592526709</v>
      </c>
      <c r="F21" s="32">
        <v>114.17942038115709</v>
      </c>
      <c r="G21" s="17"/>
      <c r="H21" s="21"/>
      <c r="I21" s="22"/>
      <c r="J21" s="21"/>
      <c r="K21" s="8"/>
    </row>
    <row r="22" spans="3:11" ht="16.149999999999999" customHeight="1" x14ac:dyDescent="0.3">
      <c r="C22" s="31">
        <f t="shared" ca="1" si="8"/>
        <v>60.622016488391729</v>
      </c>
      <c r="D22" s="31">
        <f t="shared" ca="1" si="8"/>
        <v>93.62639397127009</v>
      </c>
      <c r="E22" s="32">
        <v>46.443120907573153</v>
      </c>
      <c r="F22" s="32">
        <v>126.18078897234739</v>
      </c>
      <c r="G22" s="17"/>
      <c r="H22" s="21"/>
      <c r="I22" s="22"/>
      <c r="J22" s="21"/>
      <c r="K22" s="8"/>
    </row>
    <row r="23" spans="3:11" ht="16.149999999999999" customHeight="1" x14ac:dyDescent="0.3">
      <c r="C23" s="31">
        <f t="shared" ca="1" si="8"/>
        <v>74.129675695239072</v>
      </c>
      <c r="D23" s="31">
        <f t="shared" ca="1" si="8"/>
        <v>123.27355175417527</v>
      </c>
      <c r="E23" s="32">
        <v>20.381113847455627</v>
      </c>
      <c r="F23" s="32">
        <v>117.29525579519849</v>
      </c>
      <c r="G23" s="17"/>
      <c r="H23" s="21"/>
      <c r="I23" s="22"/>
      <c r="J23" s="21"/>
      <c r="K23" s="8"/>
    </row>
    <row r="24" spans="3:11" ht="16.149999999999999" customHeight="1" x14ac:dyDescent="0.3">
      <c r="C24" s="31">
        <f t="shared" ca="1" si="8"/>
        <v>42.351744067699386</v>
      </c>
      <c r="D24" s="31">
        <f t="shared" ca="1" si="8"/>
        <v>105.59853457910887</v>
      </c>
      <c r="E24" s="32">
        <v>29.99510613724776</v>
      </c>
      <c r="F24" s="32">
        <v>118.48431346618158</v>
      </c>
      <c r="G24" s="17"/>
      <c r="H24" s="21"/>
      <c r="I24" s="22"/>
      <c r="J24" s="21"/>
      <c r="K24" s="8"/>
    </row>
    <row r="25" spans="3:11" ht="16.149999999999999" customHeight="1" thickBot="1" x14ac:dyDescent="0.35">
      <c r="C25" s="31">
        <f t="shared" ca="1" si="8"/>
        <v>63.363934131700447</v>
      </c>
      <c r="D25" s="31">
        <f t="shared" ca="1" si="8"/>
        <v>100.27627664900498</v>
      </c>
      <c r="E25" s="32">
        <v>22.713145618218366</v>
      </c>
      <c r="F25" s="32">
        <v>107.35768989132671</v>
      </c>
      <c r="G25" s="17"/>
      <c r="H25" s="23"/>
      <c r="I25" s="24"/>
      <c r="J25" s="23"/>
      <c r="K25" s="25"/>
    </row>
    <row r="26" spans="3:11" ht="16.149999999999999" customHeight="1" x14ac:dyDescent="0.3">
      <c r="C26" s="31">
        <f t="shared" ca="1" si="8"/>
        <v>54.715063521998765</v>
      </c>
      <c r="D26" s="31">
        <f t="shared" ca="1" si="8"/>
        <v>123.74705510582059</v>
      </c>
      <c r="E26" s="32">
        <v>38.151463972377769</v>
      </c>
      <c r="F26" s="32">
        <v>109.91984260071348</v>
      </c>
      <c r="G26" s="17"/>
    </row>
    <row r="27" spans="3:11" ht="16.149999999999999" customHeight="1" x14ac:dyDescent="0.3">
      <c r="C27" s="31">
        <f t="shared" ca="1" si="8"/>
        <v>50.114107826376014</v>
      </c>
      <c r="D27" s="31">
        <f t="shared" ca="1" si="8"/>
        <v>124.85827192515363</v>
      </c>
      <c r="E27" s="32">
        <v>45.075903528300955</v>
      </c>
      <c r="F27" s="32">
        <v>114.25850289461897</v>
      </c>
      <c r="G27" s="17"/>
    </row>
    <row r="28" spans="3:11" ht="16.149999999999999" customHeight="1" x14ac:dyDescent="0.3">
      <c r="C28" s="31">
        <f t="shared" ca="1" si="8"/>
        <v>41.339707658545905</v>
      </c>
      <c r="D28" s="31">
        <f t="shared" ca="1" si="8"/>
        <v>125.69692099330399</v>
      </c>
      <c r="E28" s="32">
        <v>36.671936061649056</v>
      </c>
      <c r="F28" s="32">
        <v>102.1921735813934</v>
      </c>
      <c r="G28" s="17"/>
    </row>
    <row r="29" spans="3:11" ht="16.149999999999999" customHeight="1" x14ac:dyDescent="0.3">
      <c r="C29" s="31">
        <f t="shared" ca="1" si="8"/>
        <v>58.734066026496237</v>
      </c>
      <c r="D29" s="31">
        <f t="shared" ca="1" si="8"/>
        <v>125.14948751305911</v>
      </c>
      <c r="E29" s="32">
        <v>25.735200781101085</v>
      </c>
      <c r="F29" s="32">
        <v>104.52833813500195</v>
      </c>
      <c r="G29" s="17"/>
    </row>
    <row r="30" spans="3:11" ht="16.149999999999999" customHeight="1" x14ac:dyDescent="0.25">
      <c r="C30" s="31">
        <f t="shared" ca="1" si="8"/>
        <v>47.172451604044412</v>
      </c>
      <c r="D30" s="31">
        <f t="shared" ca="1" si="8"/>
        <v>99.19942481860366</v>
      </c>
      <c r="E30" s="32">
        <v>47.003172525542283</v>
      </c>
      <c r="F30" s="32">
        <v>92.18759215732419</v>
      </c>
      <c r="G30" s="17"/>
    </row>
    <row r="31" spans="3:11" ht="16.149999999999999" customHeight="1" x14ac:dyDescent="0.25">
      <c r="C31" s="31">
        <f t="shared" ca="1" si="8"/>
        <v>61.858598048519085</v>
      </c>
      <c r="D31" s="31">
        <f t="shared" ca="1" si="8"/>
        <v>128.92463529938101</v>
      </c>
      <c r="E31" s="32">
        <v>78.932386672712255</v>
      </c>
      <c r="F31" s="32">
        <v>115.43497188983379</v>
      </c>
      <c r="G31" s="17"/>
    </row>
    <row r="32" spans="3:11" ht="16.149999999999999" customHeight="1" x14ac:dyDescent="0.25">
      <c r="C32" s="31">
        <f t="shared" ca="1" si="8"/>
        <v>35.342701303351021</v>
      </c>
      <c r="D32" s="31">
        <f t="shared" ca="1" si="8"/>
        <v>95.307241597454166</v>
      </c>
      <c r="E32" s="32">
        <v>32.237855264770047</v>
      </c>
      <c r="F32" s="32">
        <v>121.05745274137412</v>
      </c>
      <c r="G32" s="17"/>
    </row>
    <row r="33" spans="3:7" x14ac:dyDescent="0.25">
      <c r="C33" s="31">
        <f t="shared" ca="1" si="8"/>
        <v>54.810281329746829</v>
      </c>
      <c r="D33" s="31">
        <f t="shared" ca="1" si="8"/>
        <v>110.36459962867637</v>
      </c>
      <c r="E33" s="32">
        <v>43.032932813250525</v>
      </c>
      <c r="F33" s="32">
        <v>116.10402498253539</v>
      </c>
      <c r="G33" s="17"/>
    </row>
    <row r="34" spans="3:7" x14ac:dyDescent="0.25">
      <c r="C34" s="31">
        <f t="shared" ref="C34:D53" ca="1" si="9">_xlfn.NORM.INV(RAND(),C$4,C$5)</f>
        <v>46.05890178343487</v>
      </c>
      <c r="D34" s="31">
        <f t="shared" ca="1" si="9"/>
        <v>107.83233204623619</v>
      </c>
      <c r="E34" s="32">
        <v>36.076653961573086</v>
      </c>
      <c r="F34" s="32">
        <v>103.46879508318766</v>
      </c>
      <c r="G34" s="17"/>
    </row>
    <row r="35" spans="3:7" x14ac:dyDescent="0.25">
      <c r="C35" s="31">
        <f t="shared" ca="1" si="9"/>
        <v>63.029904202743452</v>
      </c>
      <c r="D35" s="31">
        <f t="shared" ca="1" si="9"/>
        <v>109.0221019949263</v>
      </c>
      <c r="E35" s="32">
        <v>32.051094135756543</v>
      </c>
      <c r="F35" s="32">
        <v>141.28628639049813</v>
      </c>
      <c r="G35" s="17"/>
    </row>
    <row r="36" spans="3:7" x14ac:dyDescent="0.25">
      <c r="C36" s="31">
        <f t="shared" ca="1" si="9"/>
        <v>31.702724615620038</v>
      </c>
      <c r="D36" s="31">
        <f t="shared" ca="1" si="9"/>
        <v>112.8036595088718</v>
      </c>
      <c r="E36" s="32">
        <v>64.757415057921477</v>
      </c>
      <c r="F36" s="32">
        <v>122.41234737252567</v>
      </c>
      <c r="G36" s="17"/>
    </row>
    <row r="37" spans="3:7" x14ac:dyDescent="0.25">
      <c r="C37" s="31">
        <f t="shared" ca="1" si="9"/>
        <v>52.915908559455751</v>
      </c>
      <c r="D37" s="31">
        <f t="shared" ca="1" si="9"/>
        <v>116.13403768451562</v>
      </c>
      <c r="E37" s="32">
        <v>77.882708816243607</v>
      </c>
      <c r="F37" s="32">
        <v>111.56286482837815</v>
      </c>
      <c r="G37" s="17"/>
    </row>
    <row r="38" spans="3:7" x14ac:dyDescent="0.25">
      <c r="C38" s="31">
        <f t="shared" ca="1" si="9"/>
        <v>22.83416699240702</v>
      </c>
      <c r="D38" s="31">
        <f t="shared" ca="1" si="9"/>
        <v>120.66022343413401</v>
      </c>
      <c r="E38" s="32">
        <v>37.923068518064369</v>
      </c>
      <c r="F38" s="32">
        <v>80.565581948474417</v>
      </c>
      <c r="G38" s="17"/>
    </row>
    <row r="39" spans="3:7" x14ac:dyDescent="0.25">
      <c r="C39" s="31">
        <f t="shared" ca="1" si="9"/>
        <v>40.941827541840141</v>
      </c>
      <c r="D39" s="31">
        <f t="shared" ca="1" si="9"/>
        <v>92.502447179424848</v>
      </c>
      <c r="E39" s="32">
        <v>26.428131790551433</v>
      </c>
      <c r="F39" s="32">
        <v>110.66467872212246</v>
      </c>
      <c r="G39" s="17"/>
    </row>
    <row r="40" spans="3:7" x14ac:dyDescent="0.25">
      <c r="C40" s="31">
        <f t="shared" ca="1" si="9"/>
        <v>48.99263521175309</v>
      </c>
      <c r="D40" s="31">
        <f t="shared" ca="1" si="9"/>
        <v>94.896793750276856</v>
      </c>
      <c r="E40" s="32">
        <v>36.973831410134281</v>
      </c>
      <c r="F40" s="32">
        <v>92.897842565716729</v>
      </c>
      <c r="G40" s="17"/>
    </row>
    <row r="41" spans="3:7" x14ac:dyDescent="0.25">
      <c r="C41" s="31">
        <f t="shared" ca="1" si="9"/>
        <v>51.073546475039706</v>
      </c>
      <c r="D41" s="31">
        <f t="shared" ca="1" si="9"/>
        <v>82.27415140591188</v>
      </c>
      <c r="E41" s="32">
        <v>29.018041101712104</v>
      </c>
      <c r="F41" s="32">
        <v>108.51653468373127</v>
      </c>
      <c r="G41" s="17"/>
    </row>
    <row r="42" spans="3:7" x14ac:dyDescent="0.25">
      <c r="C42" s="31">
        <f t="shared" ca="1" si="9"/>
        <v>29.757835025503674</v>
      </c>
      <c r="D42" s="31">
        <f t="shared" ca="1" si="9"/>
        <v>113.58995562682115</v>
      </c>
      <c r="E42" s="32">
        <v>78.151215890242469</v>
      </c>
      <c r="F42" s="32">
        <v>147.65842919400725</v>
      </c>
      <c r="G42" s="17"/>
    </row>
    <row r="43" spans="3:7" x14ac:dyDescent="0.25">
      <c r="C43" s="31">
        <f t="shared" ca="1" si="9"/>
        <v>43.589141849337459</v>
      </c>
      <c r="D43" s="31">
        <f t="shared" ca="1" si="9"/>
        <v>136.84761440824363</v>
      </c>
      <c r="E43" s="32">
        <v>46.115681376420468</v>
      </c>
      <c r="F43" s="32">
        <v>95.205600420061643</v>
      </c>
      <c r="G43" s="17"/>
    </row>
    <row r="44" spans="3:7" x14ac:dyDescent="0.25">
      <c r="C44" s="31">
        <f t="shared" ca="1" si="9"/>
        <v>51.257985435302373</v>
      </c>
      <c r="D44" s="31">
        <f t="shared" ca="1" si="9"/>
        <v>101.14072305925329</v>
      </c>
      <c r="E44" s="32">
        <v>42.264989667635263</v>
      </c>
      <c r="F44" s="32">
        <v>108.24449117745185</v>
      </c>
      <c r="G44" s="17"/>
    </row>
    <row r="45" spans="3:7" x14ac:dyDescent="0.25">
      <c r="C45" s="31">
        <f t="shared" ca="1" si="9"/>
        <v>38.87799053497416</v>
      </c>
      <c r="D45" s="31">
        <f t="shared" ca="1" si="9"/>
        <v>104.72971729746222</v>
      </c>
      <c r="E45" s="32">
        <v>42.259458286453736</v>
      </c>
      <c r="F45" s="32">
        <v>124.22972947069917</v>
      </c>
      <c r="G45" s="17"/>
    </row>
    <row r="46" spans="3:7" x14ac:dyDescent="0.25">
      <c r="C46" s="31">
        <f t="shared" ca="1" si="9"/>
        <v>70.218201796741525</v>
      </c>
      <c r="D46" s="31">
        <f t="shared" ca="1" si="9"/>
        <v>115.3113693137864</v>
      </c>
      <c r="E46" s="32">
        <v>66.765883495088787</v>
      </c>
      <c r="F46" s="32">
        <v>108.04755742465463</v>
      </c>
      <c r="G46" s="17"/>
    </row>
    <row r="47" spans="3:7" x14ac:dyDescent="0.25">
      <c r="C47" s="31">
        <f t="shared" ca="1" si="9"/>
        <v>21.808868396701715</v>
      </c>
      <c r="D47" s="31">
        <f t="shared" ca="1" si="9"/>
        <v>126.36809319657695</v>
      </c>
      <c r="E47" s="32">
        <v>84.764823021973427</v>
      </c>
      <c r="F47" s="32">
        <v>101.45347547700405</v>
      </c>
      <c r="G47" s="17"/>
    </row>
    <row r="48" spans="3:7" x14ac:dyDescent="0.25">
      <c r="C48" s="31">
        <f t="shared" ca="1" si="9"/>
        <v>69.296181066664488</v>
      </c>
      <c r="D48" s="31">
        <f t="shared" ca="1" si="9"/>
        <v>108.65260550888152</v>
      </c>
      <c r="E48" s="32">
        <v>35.569219221104625</v>
      </c>
      <c r="F48" s="32">
        <v>119.54833350363532</v>
      </c>
      <c r="G48" s="17"/>
    </row>
    <row r="49" spans="3:10" x14ac:dyDescent="0.25">
      <c r="C49" s="31">
        <f t="shared" ca="1" si="9"/>
        <v>61.395096396315033</v>
      </c>
      <c r="D49" s="31">
        <f t="shared" ca="1" si="9"/>
        <v>82.002195512090339</v>
      </c>
      <c r="E49" s="32">
        <v>78.705252263734963</v>
      </c>
      <c r="F49" s="32">
        <v>121.98504662051991</v>
      </c>
      <c r="G49" s="17"/>
    </row>
    <row r="50" spans="3:10" x14ac:dyDescent="0.25">
      <c r="C50" s="31">
        <f t="shared" ca="1" si="9"/>
        <v>50.84926483720821</v>
      </c>
      <c r="D50" s="31">
        <f t="shared" ca="1" si="9"/>
        <v>120.71437997682524</v>
      </c>
      <c r="E50" s="32">
        <v>54.376170993580978</v>
      </c>
      <c r="F50" s="32">
        <v>99.401167334801201</v>
      </c>
      <c r="G50" s="17"/>
    </row>
    <row r="51" spans="3:10" x14ac:dyDescent="0.25">
      <c r="C51" s="31">
        <f t="shared" ca="1" si="9"/>
        <v>24.061934714337717</v>
      </c>
      <c r="D51" s="31">
        <f t="shared" ca="1" si="9"/>
        <v>81.100789560694068</v>
      </c>
      <c r="E51" s="32">
        <v>46.141503757471767</v>
      </c>
      <c r="F51" s="32">
        <v>131.75168632567141</v>
      </c>
      <c r="G51" s="17"/>
      <c r="H51" s="17"/>
      <c r="I51" s="17"/>
      <c r="J51" s="17"/>
    </row>
    <row r="52" spans="3:10" x14ac:dyDescent="0.25">
      <c r="C52" s="31">
        <f t="shared" ca="1" si="9"/>
        <v>39.29040613601984</v>
      </c>
      <c r="D52" s="31">
        <f t="shared" ca="1" si="9"/>
        <v>113.81636981712971</v>
      </c>
      <c r="E52" s="32">
        <v>22.026322576278623</v>
      </c>
      <c r="F52" s="32">
        <v>98.107667009625104</v>
      </c>
      <c r="G52" s="17"/>
      <c r="H52" s="17"/>
      <c r="I52" s="17"/>
      <c r="J52" s="17"/>
    </row>
    <row r="53" spans="3:10" x14ac:dyDescent="0.25">
      <c r="C53" s="31">
        <f t="shared" ca="1" si="9"/>
        <v>79.784615925205856</v>
      </c>
      <c r="D53" s="31">
        <f t="shared" ca="1" si="9"/>
        <v>94.735115306712302</v>
      </c>
      <c r="E53" s="32">
        <v>51.73690734422663</v>
      </c>
      <c r="F53" s="32">
        <v>113.54076170206118</v>
      </c>
      <c r="G53" s="17"/>
      <c r="H53" s="17"/>
      <c r="I53" s="17"/>
      <c r="J53" s="17"/>
    </row>
    <row r="54" spans="3:10" x14ac:dyDescent="0.25">
      <c r="C54" s="31">
        <f t="shared" ref="C54:D73" ca="1" si="10">_xlfn.NORM.INV(RAND(),C$4,C$5)</f>
        <v>31.654139788846933</v>
      </c>
      <c r="D54" s="31">
        <f t="shared" ca="1" si="10"/>
        <v>130.6260342888377</v>
      </c>
      <c r="E54" s="32">
        <v>50.98313775284872</v>
      </c>
      <c r="F54" s="32">
        <v>120.12123024909795</v>
      </c>
      <c r="G54" s="17"/>
      <c r="H54" s="17"/>
      <c r="I54" s="17"/>
      <c r="J54" s="17"/>
    </row>
    <row r="55" spans="3:10" x14ac:dyDescent="0.25">
      <c r="C55" s="31">
        <f t="shared" ca="1" si="10"/>
        <v>38.103990884609061</v>
      </c>
      <c r="D55" s="31">
        <f t="shared" ca="1" si="10"/>
        <v>101.57447984902979</v>
      </c>
      <c r="E55" s="32">
        <v>80.168987383764005</v>
      </c>
      <c r="F55" s="32">
        <v>103.2611080991409</v>
      </c>
      <c r="G55" s="17"/>
      <c r="H55" s="17"/>
      <c r="I55" s="17"/>
      <c r="J55" s="17"/>
    </row>
    <row r="56" spans="3:10" x14ac:dyDescent="0.25">
      <c r="C56" s="31">
        <f t="shared" ca="1" si="10"/>
        <v>78.073418651208044</v>
      </c>
      <c r="D56" s="31">
        <f t="shared" ca="1" si="10"/>
        <v>92.37652217329655</v>
      </c>
      <c r="E56" s="32">
        <v>64.761302184035131</v>
      </c>
      <c r="F56" s="32">
        <v>97.369816634620335</v>
      </c>
      <c r="G56" s="17"/>
      <c r="H56" s="17"/>
      <c r="I56" s="17"/>
      <c r="J56" s="17"/>
    </row>
    <row r="57" spans="3:10" x14ac:dyDescent="0.25">
      <c r="C57" s="31">
        <f t="shared" ca="1" si="10"/>
        <v>40.532356445076388</v>
      </c>
      <c r="D57" s="31">
        <f t="shared" ca="1" si="10"/>
        <v>100.8059693408604</v>
      </c>
      <c r="E57" s="32">
        <v>68.744326168119457</v>
      </c>
      <c r="F57" s="32">
        <v>116.09741658937835</v>
      </c>
      <c r="G57" s="17"/>
      <c r="H57" s="17"/>
      <c r="I57" s="17"/>
      <c r="J57" s="17"/>
    </row>
    <row r="58" spans="3:10" x14ac:dyDescent="0.25">
      <c r="C58" s="31">
        <f t="shared" ca="1" si="10"/>
        <v>54.11034194725498</v>
      </c>
      <c r="D58" s="31">
        <f t="shared" ca="1" si="10"/>
        <v>109.72958551539492</v>
      </c>
      <c r="E58" s="32">
        <v>63.5907763244631</v>
      </c>
      <c r="F58" s="32">
        <v>89.2796904485337</v>
      </c>
      <c r="G58" s="17"/>
      <c r="H58" s="17"/>
      <c r="I58" s="17"/>
      <c r="J58" s="17"/>
    </row>
    <row r="59" spans="3:10" x14ac:dyDescent="0.25">
      <c r="C59" s="31">
        <f t="shared" ca="1" si="10"/>
        <v>71.843008822589013</v>
      </c>
      <c r="D59" s="31">
        <f t="shared" ca="1" si="10"/>
        <v>106.13497583722533</v>
      </c>
      <c r="E59" s="32">
        <v>39.44605960230642</v>
      </c>
      <c r="F59" s="32">
        <v>126.55017621420711</v>
      </c>
      <c r="G59" s="17"/>
      <c r="H59" s="17"/>
      <c r="I59" s="17"/>
      <c r="J59" s="17"/>
    </row>
    <row r="60" spans="3:10" x14ac:dyDescent="0.25">
      <c r="C60" s="31">
        <f t="shared" ca="1" si="10"/>
        <v>57.653400686798427</v>
      </c>
      <c r="D60" s="31">
        <f t="shared" ca="1" si="10"/>
        <v>125.2982960495997</v>
      </c>
      <c r="E60" s="32">
        <v>79.074211987419659</v>
      </c>
      <c r="F60" s="32">
        <v>104.7986745808456</v>
      </c>
      <c r="G60" s="17"/>
      <c r="H60" s="17"/>
      <c r="I60" s="17"/>
      <c r="J60" s="17"/>
    </row>
    <row r="61" spans="3:10" x14ac:dyDescent="0.25">
      <c r="C61" s="31">
        <f t="shared" ca="1" si="10"/>
        <v>63.820325836613463</v>
      </c>
      <c r="D61" s="31">
        <f t="shared" ca="1" si="10"/>
        <v>123.40972931851488</v>
      </c>
      <c r="E61" s="32">
        <v>55.951398425113865</v>
      </c>
      <c r="F61" s="32">
        <v>119.30247864162723</v>
      </c>
      <c r="G61" s="17"/>
      <c r="H61" s="17"/>
      <c r="I61" s="17"/>
      <c r="J61" s="17"/>
    </row>
    <row r="62" spans="3:10" x14ac:dyDescent="0.25">
      <c r="C62" s="31">
        <f t="shared" ca="1" si="10"/>
        <v>56.287085576246056</v>
      </c>
      <c r="D62" s="31">
        <f t="shared" ca="1" si="10"/>
        <v>100.92123303704403</v>
      </c>
      <c r="E62" s="32">
        <v>106.50131594486</v>
      </c>
      <c r="F62" s="32">
        <v>98.996974795612644</v>
      </c>
      <c r="G62" s="17"/>
      <c r="H62" s="17"/>
      <c r="I62" s="17"/>
      <c r="J62" s="17"/>
    </row>
    <row r="63" spans="3:10" x14ac:dyDescent="0.25">
      <c r="C63" s="31">
        <f t="shared" ca="1" si="10"/>
        <v>61.08794675108134</v>
      </c>
      <c r="D63" s="31">
        <f t="shared" ca="1" si="10"/>
        <v>102.88457392632739</v>
      </c>
      <c r="E63" s="32">
        <v>49.400060089509303</v>
      </c>
      <c r="F63" s="32">
        <v>128.76113645017099</v>
      </c>
      <c r="G63" s="17"/>
      <c r="H63" s="17"/>
      <c r="I63" s="17"/>
      <c r="J63" s="17"/>
    </row>
    <row r="64" spans="3:10" x14ac:dyDescent="0.25">
      <c r="C64" s="31">
        <f t="shared" ca="1" si="10"/>
        <v>14.378696076025001</v>
      </c>
      <c r="D64" s="31">
        <f t="shared" ca="1" si="10"/>
        <v>95.498492084626236</v>
      </c>
      <c r="E64" s="32">
        <v>61.67628017920353</v>
      </c>
      <c r="F64" s="32">
        <v>105.93323343688257</v>
      </c>
      <c r="G64" s="17"/>
      <c r="H64" s="17"/>
      <c r="I64" s="17"/>
      <c r="J64" s="17"/>
    </row>
    <row r="65" spans="3:10" x14ac:dyDescent="0.25">
      <c r="C65" s="31">
        <f t="shared" ca="1" si="10"/>
        <v>80.373856500431515</v>
      </c>
      <c r="D65" s="31">
        <f t="shared" ca="1" si="10"/>
        <v>85.100419989449506</v>
      </c>
      <c r="E65" s="32">
        <v>83.526251595742508</v>
      </c>
      <c r="F65" s="32">
        <v>109.93324236758529</v>
      </c>
      <c r="G65" s="17"/>
      <c r="H65" s="17"/>
      <c r="I65" s="17"/>
      <c r="J65" s="17"/>
    </row>
    <row r="66" spans="3:10" x14ac:dyDescent="0.25">
      <c r="C66" s="31">
        <f t="shared" ca="1" si="10"/>
        <v>45.026705471777049</v>
      </c>
      <c r="D66" s="31">
        <f t="shared" ca="1" si="10"/>
        <v>119.97278987469741</v>
      </c>
      <c r="E66" s="32">
        <v>41.521359698307663</v>
      </c>
      <c r="F66" s="32">
        <v>128.55194379881013</v>
      </c>
      <c r="G66" s="17"/>
      <c r="H66" s="17"/>
      <c r="I66" s="17"/>
      <c r="J66" s="17"/>
    </row>
    <row r="67" spans="3:10" x14ac:dyDescent="0.25">
      <c r="C67" s="31">
        <f t="shared" ca="1" si="10"/>
        <v>20.652124048492372</v>
      </c>
      <c r="D67" s="31">
        <f t="shared" ca="1" si="10"/>
        <v>103.63520693315401</v>
      </c>
      <c r="E67" s="32">
        <v>52.555780785344602</v>
      </c>
      <c r="F67" s="32">
        <v>96.558730003992352</v>
      </c>
      <c r="G67" s="17"/>
      <c r="H67" s="17"/>
      <c r="I67" s="17"/>
      <c r="J67" s="17"/>
    </row>
    <row r="68" spans="3:10" x14ac:dyDescent="0.25">
      <c r="C68" s="31">
        <f t="shared" ca="1" si="10"/>
        <v>70.465278837653557</v>
      </c>
      <c r="D68" s="31">
        <f t="shared" ca="1" si="10"/>
        <v>110.54412813562418</v>
      </c>
      <c r="E68" s="32">
        <v>15.991437186442674</v>
      </c>
      <c r="F68" s="32">
        <v>105.38419493585529</v>
      </c>
      <c r="G68" s="17"/>
      <c r="H68" s="17"/>
      <c r="I68" s="17"/>
      <c r="J68" s="17"/>
    </row>
    <row r="69" spans="3:10" x14ac:dyDescent="0.25">
      <c r="C69" s="31">
        <f t="shared" ca="1" si="10"/>
        <v>64.143839146991255</v>
      </c>
      <c r="D69" s="31">
        <f t="shared" ca="1" si="10"/>
        <v>98.394126389832365</v>
      </c>
      <c r="E69" s="32">
        <v>44.714717732289422</v>
      </c>
      <c r="F69" s="32">
        <v>111.76826034313855</v>
      </c>
      <c r="G69" s="17"/>
      <c r="H69" s="17"/>
      <c r="I69" s="17"/>
      <c r="J69" s="17"/>
    </row>
    <row r="70" spans="3:10" x14ac:dyDescent="0.25">
      <c r="C70" s="31">
        <f t="shared" ca="1" si="10"/>
        <v>55.310247289858339</v>
      </c>
      <c r="D70" s="31">
        <f t="shared" ca="1" si="10"/>
        <v>128.04777205690812</v>
      </c>
      <c r="E70" s="32">
        <v>38.515326376149446</v>
      </c>
      <c r="F70" s="32">
        <v>117.02586554782192</v>
      </c>
      <c r="G70" s="17"/>
      <c r="H70" s="17"/>
      <c r="I70" s="17"/>
      <c r="J70" s="17"/>
    </row>
    <row r="71" spans="3:10" x14ac:dyDescent="0.25">
      <c r="C71" s="31">
        <f t="shared" ca="1" si="10"/>
        <v>32.752387735517274</v>
      </c>
      <c r="D71" s="31">
        <f t="shared" ca="1" si="10"/>
        <v>129.98735953064963</v>
      </c>
      <c r="E71" s="32">
        <v>31.720257367752627</v>
      </c>
      <c r="F71" s="32">
        <v>119.10485262844125</v>
      </c>
      <c r="G71" s="17"/>
      <c r="H71" s="17"/>
      <c r="I71" s="17"/>
      <c r="J71" s="17"/>
    </row>
    <row r="72" spans="3:10" x14ac:dyDescent="0.25">
      <c r="C72" s="31">
        <f t="shared" ca="1" si="10"/>
        <v>66.436660368669777</v>
      </c>
      <c r="D72" s="31">
        <f t="shared" ca="1" si="10"/>
        <v>120.06638661237568</v>
      </c>
      <c r="E72" s="32">
        <v>66.776683760351915</v>
      </c>
      <c r="F72" s="32">
        <v>106.02115581053737</v>
      </c>
      <c r="G72" s="17"/>
      <c r="H72" s="17"/>
      <c r="I72" s="17"/>
      <c r="J72" s="17"/>
    </row>
    <row r="73" spans="3:10" x14ac:dyDescent="0.25">
      <c r="C73" s="31">
        <f t="shared" ca="1" si="10"/>
        <v>49.76044592826355</v>
      </c>
      <c r="D73" s="31">
        <f t="shared" ca="1" si="10"/>
        <v>122.78880673254135</v>
      </c>
      <c r="E73" s="32">
        <v>29.149099367454557</v>
      </c>
      <c r="F73" s="32">
        <v>90.50530322357929</v>
      </c>
      <c r="G73" s="17"/>
      <c r="H73" s="17"/>
      <c r="I73" s="17"/>
      <c r="J73" s="17"/>
    </row>
    <row r="74" spans="3:10" x14ac:dyDescent="0.25">
      <c r="C74" s="31">
        <f t="shared" ref="C74:D93" ca="1" si="11">_xlfn.NORM.INV(RAND(),C$4,C$5)</f>
        <v>34.428031983320707</v>
      </c>
      <c r="D74" s="31">
        <f t="shared" ca="1" si="11"/>
        <v>124.77322201966301</v>
      </c>
      <c r="E74" s="32">
        <v>-5.1466373533530145</v>
      </c>
      <c r="F74" s="32">
        <v>82.552624909266385</v>
      </c>
      <c r="G74" s="17"/>
      <c r="H74" s="17"/>
      <c r="I74" s="17"/>
      <c r="J74" s="17"/>
    </row>
    <row r="75" spans="3:10" x14ac:dyDescent="0.25">
      <c r="C75" s="31">
        <f t="shared" ca="1" si="11"/>
        <v>40.797114556814037</v>
      </c>
      <c r="D75" s="31">
        <f t="shared" ca="1" si="11"/>
        <v>83.793556265877811</v>
      </c>
      <c r="E75" s="32">
        <v>35.124683799280987</v>
      </c>
      <c r="F75" s="32">
        <v>132.98512400849506</v>
      </c>
      <c r="G75" s="17"/>
      <c r="H75" s="17"/>
      <c r="I75" s="17"/>
      <c r="J75" s="17"/>
    </row>
    <row r="76" spans="3:10" x14ac:dyDescent="0.25">
      <c r="C76" s="31">
        <f t="shared" ca="1" si="11"/>
        <v>9.6947362400559172</v>
      </c>
      <c r="D76" s="31">
        <f t="shared" ca="1" si="11"/>
        <v>94.286323554967339</v>
      </c>
      <c r="E76" s="32">
        <v>32.102341827371006</v>
      </c>
      <c r="F76" s="32">
        <v>113.86355398351787</v>
      </c>
      <c r="G76" s="17"/>
      <c r="H76" s="17"/>
      <c r="I76" s="17"/>
      <c r="J76" s="17"/>
    </row>
    <row r="77" spans="3:10" x14ac:dyDescent="0.25">
      <c r="C77" s="31">
        <f t="shared" ca="1" si="11"/>
        <v>14.964133565268376</v>
      </c>
      <c r="D77" s="31">
        <f t="shared" ca="1" si="11"/>
        <v>110.20141289764327</v>
      </c>
      <c r="E77" s="32">
        <v>39.810134036731277</v>
      </c>
      <c r="F77" s="32">
        <v>94.635745629976185</v>
      </c>
      <c r="G77" s="17"/>
      <c r="H77" s="17"/>
      <c r="I77" s="17"/>
      <c r="J77" s="17"/>
    </row>
    <row r="78" spans="3:10" x14ac:dyDescent="0.25">
      <c r="C78" s="31">
        <f t="shared" ca="1" si="11"/>
        <v>85.173017228969456</v>
      </c>
      <c r="D78" s="31">
        <f t="shared" ca="1" si="11"/>
        <v>106.18207608356025</v>
      </c>
      <c r="E78" s="32">
        <v>27.127891756548411</v>
      </c>
      <c r="F78" s="32">
        <v>121.81921717477536</v>
      </c>
      <c r="G78" s="17"/>
      <c r="H78" s="17"/>
      <c r="I78" s="17"/>
      <c r="J78" s="17"/>
    </row>
    <row r="79" spans="3:10" x14ac:dyDescent="0.25">
      <c r="C79" s="31">
        <f t="shared" ca="1" si="11"/>
        <v>26.613797367502087</v>
      </c>
      <c r="D79" s="31">
        <f t="shared" ca="1" si="11"/>
        <v>120.90734611777349</v>
      </c>
      <c r="E79" s="32">
        <v>37.749654881029443</v>
      </c>
      <c r="F79" s="32">
        <v>115.20812270058293</v>
      </c>
      <c r="G79" s="17"/>
      <c r="H79" s="17"/>
      <c r="I79" s="17"/>
      <c r="J79" s="17"/>
    </row>
    <row r="80" spans="3:10" x14ac:dyDescent="0.25">
      <c r="C80" s="31">
        <f t="shared" ca="1" si="11"/>
        <v>28.790616049475631</v>
      </c>
      <c r="D80" s="31">
        <f t="shared" ca="1" si="11"/>
        <v>106.13277020407787</v>
      </c>
      <c r="E80" s="32">
        <v>26.976251068961457</v>
      </c>
      <c r="F80" s="32">
        <v>125.61312901433209</v>
      </c>
      <c r="G80" s="17"/>
      <c r="H80" s="17"/>
      <c r="I80" s="17"/>
      <c r="J80" s="17"/>
    </row>
    <row r="81" spans="3:10" x14ac:dyDescent="0.25">
      <c r="C81" s="31">
        <f t="shared" ca="1" si="11"/>
        <v>21.270611723486251</v>
      </c>
      <c r="D81" s="31">
        <f t="shared" ca="1" si="11"/>
        <v>87.973340789742466</v>
      </c>
      <c r="E81" s="32">
        <v>55.213750482202514</v>
      </c>
      <c r="F81" s="32">
        <v>104.24532759957137</v>
      </c>
      <c r="G81" s="17"/>
      <c r="H81" s="17"/>
      <c r="I81" s="17"/>
      <c r="J81" s="17"/>
    </row>
    <row r="82" spans="3:10" x14ac:dyDescent="0.25">
      <c r="C82" s="31">
        <f t="shared" ca="1" si="11"/>
        <v>43.686468127221069</v>
      </c>
      <c r="D82" s="31">
        <f t="shared" ca="1" si="11"/>
        <v>111.47608271926353</v>
      </c>
      <c r="E82" s="32">
        <v>76.682205887184224</v>
      </c>
      <c r="F82" s="32">
        <v>92.583714803515008</v>
      </c>
      <c r="G82" s="17"/>
      <c r="H82" s="17"/>
      <c r="I82" s="17"/>
      <c r="J82" s="17"/>
    </row>
    <row r="83" spans="3:10" x14ac:dyDescent="0.25">
      <c r="C83" s="31">
        <f t="shared" ca="1" si="11"/>
        <v>27.733637792181504</v>
      </c>
      <c r="D83" s="31">
        <f t="shared" ca="1" si="11"/>
        <v>106.06858647390733</v>
      </c>
      <c r="E83" s="32">
        <v>86.673288704858834</v>
      </c>
      <c r="F83" s="32">
        <v>111.25183002558998</v>
      </c>
      <c r="G83" s="17"/>
      <c r="H83" s="17"/>
      <c r="I83" s="17"/>
      <c r="J83" s="17"/>
    </row>
    <row r="84" spans="3:10" x14ac:dyDescent="0.25">
      <c r="C84" s="31">
        <f t="shared" ca="1" si="11"/>
        <v>44.391167514584325</v>
      </c>
      <c r="D84" s="31">
        <f t="shared" ca="1" si="11"/>
        <v>99.020485175261598</v>
      </c>
      <c r="E84" s="32">
        <v>50.37348348686988</v>
      </c>
      <c r="F84" s="32">
        <v>99.613543869417228</v>
      </c>
      <c r="G84" s="17"/>
      <c r="H84" s="17"/>
      <c r="I84" s="17"/>
      <c r="J84" s="17"/>
    </row>
    <row r="85" spans="3:10" x14ac:dyDescent="0.25">
      <c r="C85" s="31">
        <f t="shared" ca="1" si="11"/>
        <v>61.408484640517067</v>
      </c>
      <c r="D85" s="31">
        <f t="shared" ca="1" si="11"/>
        <v>116.97442753952136</v>
      </c>
      <c r="E85" s="32">
        <v>33.286624205121967</v>
      </c>
      <c r="F85" s="32">
        <v>137.63933571474604</v>
      </c>
      <c r="G85" s="17"/>
      <c r="H85" s="17"/>
      <c r="I85" s="17"/>
      <c r="J85" s="17"/>
    </row>
    <row r="86" spans="3:10" x14ac:dyDescent="0.25">
      <c r="C86" s="31">
        <f t="shared" ca="1" si="11"/>
        <v>60.391775360457743</v>
      </c>
      <c r="D86" s="31">
        <f t="shared" ca="1" si="11"/>
        <v>107.74736095886024</v>
      </c>
      <c r="E86" s="32">
        <v>45.78264068614034</v>
      </c>
      <c r="F86" s="32">
        <v>89.971157317820712</v>
      </c>
      <c r="G86" s="17"/>
      <c r="H86" s="17"/>
      <c r="I86" s="17"/>
      <c r="J86" s="17"/>
    </row>
    <row r="87" spans="3:10" x14ac:dyDescent="0.25">
      <c r="C87" s="31">
        <f t="shared" ca="1" si="11"/>
        <v>26.479221540217228</v>
      </c>
      <c r="D87" s="31">
        <f t="shared" ca="1" si="11"/>
        <v>116.89026181231347</v>
      </c>
      <c r="E87" s="32">
        <v>64.660383823797602</v>
      </c>
      <c r="F87" s="32">
        <v>109.71189514369966</v>
      </c>
      <c r="G87" s="17"/>
      <c r="H87" s="17"/>
      <c r="I87" s="17"/>
      <c r="J87" s="17"/>
    </row>
    <row r="88" spans="3:10" x14ac:dyDescent="0.25">
      <c r="C88" s="31">
        <f t="shared" ca="1" si="11"/>
        <v>34.490779308423768</v>
      </c>
      <c r="D88" s="31">
        <f t="shared" ca="1" si="11"/>
        <v>117.62110840497155</v>
      </c>
      <c r="E88" s="32">
        <v>51.281557313119166</v>
      </c>
      <c r="F88" s="32">
        <v>94.874721816975693</v>
      </c>
      <c r="G88" s="17"/>
      <c r="H88" s="17"/>
      <c r="I88" s="17"/>
      <c r="J88" s="17"/>
    </row>
    <row r="89" spans="3:10" x14ac:dyDescent="0.25">
      <c r="C89" s="31">
        <f t="shared" ca="1" si="11"/>
        <v>76.247389264901372</v>
      </c>
      <c r="D89" s="31">
        <f t="shared" ca="1" si="11"/>
        <v>90.635763029745561</v>
      </c>
      <c r="E89" s="32">
        <v>28.440642317171587</v>
      </c>
      <c r="F89" s="32">
        <v>102.71586502656885</v>
      </c>
      <c r="G89" s="17"/>
      <c r="H89" s="17"/>
      <c r="I89" s="17"/>
      <c r="J89" s="17"/>
    </row>
    <row r="90" spans="3:10" x14ac:dyDescent="0.25">
      <c r="C90" s="31">
        <f t="shared" ca="1" si="11"/>
        <v>49.996474994862623</v>
      </c>
      <c r="D90" s="31">
        <f t="shared" ca="1" si="11"/>
        <v>126.83228593407578</v>
      </c>
      <c r="E90" s="32">
        <v>55.791558672438143</v>
      </c>
      <c r="F90" s="32">
        <v>119.79839399813007</v>
      </c>
      <c r="G90" s="17"/>
      <c r="H90" s="17"/>
      <c r="I90" s="17"/>
      <c r="J90" s="17"/>
    </row>
    <row r="91" spans="3:10" x14ac:dyDescent="0.25">
      <c r="C91" s="31">
        <f t="shared" ca="1" si="11"/>
        <v>47.175695788768827</v>
      </c>
      <c r="D91" s="31">
        <f t="shared" ca="1" si="11"/>
        <v>108.59430994291397</v>
      </c>
      <c r="E91" s="32">
        <v>69.902155744422117</v>
      </c>
      <c r="F91" s="32">
        <v>115.47612319264064</v>
      </c>
      <c r="G91" s="17"/>
      <c r="H91" s="17"/>
      <c r="I91" s="17"/>
      <c r="J91" s="17"/>
    </row>
    <row r="92" spans="3:10" x14ac:dyDescent="0.25">
      <c r="C92" s="31">
        <f t="shared" ca="1" si="11"/>
        <v>85.383377342964948</v>
      </c>
      <c r="D92" s="31">
        <f t="shared" ca="1" si="11"/>
        <v>117.74366987359178</v>
      </c>
      <c r="E92" s="32">
        <v>45.147753900962712</v>
      </c>
      <c r="F92" s="32">
        <v>112.76624207332179</v>
      </c>
      <c r="G92" s="17"/>
      <c r="H92" s="17"/>
      <c r="I92" s="17"/>
      <c r="J92" s="17"/>
    </row>
    <row r="93" spans="3:10" x14ac:dyDescent="0.25">
      <c r="C93" s="31">
        <f t="shared" ca="1" si="11"/>
        <v>51.538670695554536</v>
      </c>
      <c r="D93" s="31">
        <f t="shared" ca="1" si="11"/>
        <v>146.10121443537295</v>
      </c>
      <c r="E93" s="32">
        <v>72.714047062422907</v>
      </c>
      <c r="F93" s="32">
        <v>88.780131020057112</v>
      </c>
      <c r="G93" s="17"/>
      <c r="H93" s="17"/>
      <c r="I93" s="17"/>
      <c r="J93" s="17"/>
    </row>
    <row r="94" spans="3:10" x14ac:dyDescent="0.25">
      <c r="C94" s="31">
        <f t="shared" ref="C94:D113" ca="1" si="12">_xlfn.NORM.INV(RAND(),C$4,C$5)</f>
        <v>74.428898158756837</v>
      </c>
      <c r="D94" s="31">
        <f t="shared" ca="1" si="12"/>
        <v>127.7607616458755</v>
      </c>
      <c r="E94" s="32">
        <v>50.832569812490107</v>
      </c>
      <c r="F94" s="32">
        <v>102.74538190788958</v>
      </c>
      <c r="G94" s="17"/>
      <c r="H94" s="17"/>
      <c r="I94" s="17"/>
      <c r="J94" s="17"/>
    </row>
    <row r="95" spans="3:10" x14ac:dyDescent="0.25">
      <c r="C95" s="31">
        <f t="shared" ca="1" si="12"/>
        <v>42.623732932946879</v>
      </c>
      <c r="D95" s="31">
        <f t="shared" ca="1" si="12"/>
        <v>116.87922945525261</v>
      </c>
      <c r="E95" s="32">
        <v>50.786941552989468</v>
      </c>
      <c r="F95" s="32">
        <v>134.81136379022627</v>
      </c>
      <c r="G95" s="17"/>
      <c r="H95" s="17"/>
      <c r="I95" s="17"/>
      <c r="J95" s="17"/>
    </row>
    <row r="96" spans="3:10" x14ac:dyDescent="0.25">
      <c r="C96" s="31">
        <f t="shared" ca="1" si="12"/>
        <v>41.596405919071501</v>
      </c>
      <c r="D96" s="31">
        <f t="shared" ca="1" si="12"/>
        <v>105.68859437024466</v>
      </c>
      <c r="E96" s="32">
        <v>56.262073379027555</v>
      </c>
      <c r="F96" s="32">
        <v>122.07642793513098</v>
      </c>
      <c r="G96" s="17"/>
      <c r="H96" s="17"/>
      <c r="I96" s="17"/>
      <c r="J96" s="17"/>
    </row>
    <row r="97" spans="3:10" x14ac:dyDescent="0.25">
      <c r="C97" s="31">
        <f t="shared" ca="1" si="12"/>
        <v>53.252618312287687</v>
      </c>
      <c r="D97" s="31">
        <f t="shared" ca="1" si="12"/>
        <v>101.73513269354689</v>
      </c>
      <c r="E97" s="32">
        <v>24.481636803041241</v>
      </c>
      <c r="F97" s="32">
        <v>113.10857087451032</v>
      </c>
      <c r="G97" s="17"/>
      <c r="H97" s="17"/>
      <c r="I97" s="17"/>
      <c r="J97" s="17"/>
    </row>
    <row r="98" spans="3:10" x14ac:dyDescent="0.25">
      <c r="C98" s="31">
        <f t="shared" ca="1" si="12"/>
        <v>40.574583107026207</v>
      </c>
      <c r="D98" s="31">
        <f t="shared" ca="1" si="12"/>
        <v>119.70291024752123</v>
      </c>
      <c r="E98" s="32">
        <v>32.207279535193884</v>
      </c>
      <c r="F98" s="32">
        <v>101.28366526245705</v>
      </c>
      <c r="G98" s="17"/>
      <c r="H98" s="17"/>
      <c r="I98" s="17"/>
      <c r="J98" s="17"/>
    </row>
    <row r="99" spans="3:10" x14ac:dyDescent="0.25">
      <c r="C99" s="31">
        <f t="shared" ca="1" si="12"/>
        <v>76.172539243555235</v>
      </c>
      <c r="D99" s="31">
        <f t="shared" ca="1" si="12"/>
        <v>98.380664883040623</v>
      </c>
      <c r="E99" s="32">
        <v>69.216857505766697</v>
      </c>
      <c r="F99" s="32">
        <v>113.22057508088811</v>
      </c>
      <c r="G99" s="17"/>
      <c r="H99" s="17"/>
      <c r="I99" s="17"/>
      <c r="J99" s="17"/>
    </row>
    <row r="100" spans="3:10" x14ac:dyDescent="0.25">
      <c r="C100" s="31">
        <f t="shared" ca="1" si="12"/>
        <v>34.039134991338848</v>
      </c>
      <c r="D100" s="31">
        <f t="shared" ca="1" si="12"/>
        <v>127.20920397695983</v>
      </c>
      <c r="E100" s="32">
        <v>79.667276161911161</v>
      </c>
      <c r="F100" s="32">
        <v>111.38356388749465</v>
      </c>
      <c r="G100" s="17"/>
      <c r="H100" s="17"/>
      <c r="I100" s="17"/>
      <c r="J100" s="17"/>
    </row>
    <row r="101" spans="3:10" x14ac:dyDescent="0.25">
      <c r="C101" s="31">
        <f t="shared" ca="1" si="12"/>
        <v>69.629002408291427</v>
      </c>
      <c r="D101" s="31">
        <f t="shared" ca="1" si="12"/>
        <v>124.59763670451899</v>
      </c>
      <c r="E101" s="32">
        <v>66.602295614797484</v>
      </c>
      <c r="F101" s="32">
        <v>122.66020125431183</v>
      </c>
      <c r="G101" s="17"/>
      <c r="H101" s="17"/>
      <c r="I101" s="17"/>
      <c r="J101" s="17"/>
    </row>
    <row r="102" spans="3:10" x14ac:dyDescent="0.25">
      <c r="C102" s="31">
        <f t="shared" ca="1" si="12"/>
        <v>52.095294894606617</v>
      </c>
      <c r="D102" s="31">
        <f t="shared" ca="1" si="12"/>
        <v>118.02115129388136</v>
      </c>
      <c r="E102" s="32">
        <v>81.866276120419471</v>
      </c>
      <c r="F102" s="32">
        <v>102.41901005347418</v>
      </c>
      <c r="G102" s="17"/>
      <c r="H102" s="17"/>
      <c r="I102" s="17"/>
      <c r="J102" s="17"/>
    </row>
    <row r="103" spans="3:10" x14ac:dyDescent="0.25">
      <c r="C103" s="31">
        <f t="shared" ca="1" si="12"/>
        <v>64.548953874074741</v>
      </c>
      <c r="D103" s="31">
        <f t="shared" ca="1" si="12"/>
        <v>95.739294206701658</v>
      </c>
      <c r="E103" s="32">
        <v>22.652257291439447</v>
      </c>
      <c r="F103" s="32">
        <v>109.10610001790971</v>
      </c>
      <c r="G103" s="17"/>
      <c r="H103" s="17"/>
      <c r="I103" s="17"/>
      <c r="J103" s="17"/>
    </row>
    <row r="104" spans="3:10" x14ac:dyDescent="0.25">
      <c r="C104" s="31">
        <f t="shared" ca="1" si="12"/>
        <v>68.381009408071009</v>
      </c>
      <c r="D104" s="31">
        <f t="shared" ca="1" si="12"/>
        <v>96.440019110517866</v>
      </c>
      <c r="E104" s="32">
        <v>80.7992029198018</v>
      </c>
      <c r="F104" s="32">
        <v>108.90321236966844</v>
      </c>
      <c r="G104" s="17"/>
      <c r="H104" s="17"/>
      <c r="I104" s="17"/>
      <c r="J104" s="17"/>
    </row>
    <row r="105" spans="3:10" x14ac:dyDescent="0.25">
      <c r="C105" s="31">
        <f t="shared" ca="1" si="12"/>
        <v>56.263449993683075</v>
      </c>
      <c r="D105" s="31">
        <f t="shared" ca="1" si="12"/>
        <v>109.89396425056837</v>
      </c>
      <c r="E105" s="32">
        <v>43.081872195816217</v>
      </c>
      <c r="F105" s="32">
        <v>117.62446901083173</v>
      </c>
      <c r="G105" s="17"/>
      <c r="H105" s="17"/>
      <c r="I105" s="17"/>
      <c r="J105" s="17"/>
    </row>
    <row r="106" spans="3:10" x14ac:dyDescent="0.25">
      <c r="C106" s="31">
        <f t="shared" ca="1" si="12"/>
        <v>65.281964706987992</v>
      </c>
      <c r="D106" s="31">
        <f t="shared" ca="1" si="12"/>
        <v>102.68527043522793</v>
      </c>
      <c r="E106" s="32">
        <v>75.826653069107124</v>
      </c>
      <c r="F106" s="32">
        <v>111.41505149497615</v>
      </c>
      <c r="G106" s="17"/>
      <c r="H106" s="17"/>
      <c r="I106" s="17"/>
      <c r="J106" s="17"/>
    </row>
    <row r="107" spans="3:10" x14ac:dyDescent="0.25">
      <c r="C107" s="31">
        <f t="shared" ca="1" si="12"/>
        <v>56.081287159219542</v>
      </c>
      <c r="D107" s="31">
        <f t="shared" ca="1" si="12"/>
        <v>109.89613210065397</v>
      </c>
      <c r="E107" s="32">
        <v>23.810879710599011</v>
      </c>
      <c r="F107" s="32">
        <v>114.70255341246646</v>
      </c>
      <c r="G107" s="17"/>
      <c r="H107" s="17"/>
      <c r="I107" s="17"/>
      <c r="J107" s="17"/>
    </row>
    <row r="108" spans="3:10" x14ac:dyDescent="0.25">
      <c r="C108" s="31">
        <f t="shared" ca="1" si="12"/>
        <v>0.22327402591118073</v>
      </c>
      <c r="D108" s="31">
        <f t="shared" ca="1" si="12"/>
        <v>123.41712349789486</v>
      </c>
      <c r="E108" s="32">
        <v>41.479352322193961</v>
      </c>
      <c r="F108" s="32">
        <v>79.518260516761444</v>
      </c>
      <c r="G108" s="17"/>
      <c r="H108" s="17"/>
      <c r="I108" s="17"/>
      <c r="J108" s="17"/>
    </row>
    <row r="109" spans="3:10" x14ac:dyDescent="0.25">
      <c r="C109" s="31">
        <f t="shared" ca="1" si="12"/>
        <v>38.454667416601083</v>
      </c>
      <c r="D109" s="31">
        <f t="shared" ca="1" si="12"/>
        <v>117.0755335466436</v>
      </c>
      <c r="E109" s="32">
        <v>56.043686392147222</v>
      </c>
      <c r="F109" s="32">
        <v>130.64333821451601</v>
      </c>
      <c r="G109" s="17"/>
      <c r="H109" s="17"/>
      <c r="I109" s="17"/>
      <c r="J109" s="17"/>
    </row>
    <row r="110" spans="3:10" x14ac:dyDescent="0.25">
      <c r="C110" s="31">
        <f t="shared" ca="1" si="12"/>
        <v>41.02974514827104</v>
      </c>
      <c r="D110" s="31">
        <f t="shared" ca="1" si="12"/>
        <v>108.11106651150538</v>
      </c>
      <c r="E110" s="32">
        <v>33.975336083318624</v>
      </c>
      <c r="F110" s="32">
        <v>101.02623307491206</v>
      </c>
      <c r="G110" s="17"/>
      <c r="H110" s="17"/>
      <c r="I110" s="17"/>
      <c r="J110" s="17"/>
    </row>
    <row r="111" spans="3:10" x14ac:dyDescent="0.25">
      <c r="C111" s="31">
        <f t="shared" ca="1" si="12"/>
        <v>45.556973935765001</v>
      </c>
      <c r="D111" s="31">
        <f t="shared" ca="1" si="12"/>
        <v>86.868931789170091</v>
      </c>
      <c r="E111" s="32">
        <v>68.054701664882714</v>
      </c>
      <c r="F111" s="32">
        <v>128.13659783187944</v>
      </c>
      <c r="G111" s="17"/>
      <c r="H111" s="17"/>
      <c r="I111" s="17"/>
      <c r="J111" s="17"/>
    </row>
    <row r="112" spans="3:10" x14ac:dyDescent="0.25">
      <c r="C112" s="31">
        <f t="shared" ca="1" si="12"/>
        <v>24.133383196727518</v>
      </c>
      <c r="D112" s="31">
        <f t="shared" ca="1" si="12"/>
        <v>113.80902438950461</v>
      </c>
      <c r="E112" s="32">
        <v>41.148576954604145</v>
      </c>
      <c r="F112" s="32">
        <v>138.10614149311201</v>
      </c>
      <c r="G112" s="17"/>
      <c r="H112" s="17"/>
      <c r="I112" s="17"/>
      <c r="J112" s="17"/>
    </row>
    <row r="113" spans="3:10" x14ac:dyDescent="0.25">
      <c r="C113" s="31">
        <f t="shared" ca="1" si="12"/>
        <v>20.236536032034589</v>
      </c>
      <c r="D113" s="31">
        <f t="shared" ca="1" si="12"/>
        <v>129.96628655465591</v>
      </c>
      <c r="E113" s="32">
        <v>60.57601443864344</v>
      </c>
      <c r="F113" s="32">
        <v>86.668379864886461</v>
      </c>
      <c r="G113" s="17"/>
      <c r="H113" s="17"/>
      <c r="I113" s="17"/>
      <c r="J113" s="17"/>
    </row>
    <row r="114" spans="3:10" x14ac:dyDescent="0.25">
      <c r="C114" s="31">
        <f t="shared" ref="C114:D133" ca="1" si="13">_xlfn.NORM.INV(RAND(),C$4,C$5)</f>
        <v>42.439650563351748</v>
      </c>
      <c r="D114" s="31">
        <f t="shared" ca="1" si="13"/>
        <v>113.73057319172072</v>
      </c>
      <c r="E114" s="32">
        <v>34.927329500702569</v>
      </c>
      <c r="F114" s="32">
        <v>76.824108422983983</v>
      </c>
      <c r="G114" s="17"/>
      <c r="H114" s="17"/>
      <c r="I114" s="17"/>
      <c r="J114" s="17"/>
    </row>
    <row r="115" spans="3:10" x14ac:dyDescent="0.25">
      <c r="C115" s="31">
        <f t="shared" ca="1" si="13"/>
        <v>70.678388203010172</v>
      </c>
      <c r="D115" s="31">
        <f t="shared" ca="1" si="13"/>
        <v>129.50797031919757</v>
      </c>
      <c r="E115" s="32">
        <v>69.346465102988915</v>
      </c>
      <c r="F115" s="32">
        <v>111.28349323504904</v>
      </c>
      <c r="G115" s="17"/>
      <c r="H115" s="17"/>
      <c r="I115" s="17"/>
      <c r="J115" s="17"/>
    </row>
    <row r="116" spans="3:10" x14ac:dyDescent="0.25">
      <c r="C116" s="31">
        <f t="shared" ca="1" si="13"/>
        <v>48.441265952078759</v>
      </c>
      <c r="D116" s="31">
        <f t="shared" ca="1" si="13"/>
        <v>126.79456253143198</v>
      </c>
      <c r="E116" s="32">
        <v>79.511281006088922</v>
      </c>
      <c r="F116" s="32">
        <v>114.40630926910343</v>
      </c>
      <c r="G116" s="17"/>
      <c r="H116" s="17"/>
      <c r="I116" s="17"/>
      <c r="J116" s="17"/>
    </row>
    <row r="117" spans="3:10" x14ac:dyDescent="0.25">
      <c r="C117" s="31">
        <f t="shared" ca="1" si="13"/>
        <v>51.696191004022225</v>
      </c>
      <c r="D117" s="31">
        <f t="shared" ca="1" si="13"/>
        <v>106.79447543776344</v>
      </c>
      <c r="E117" s="32">
        <v>30.815046860430066</v>
      </c>
      <c r="F117" s="32">
        <v>105.1362722605525</v>
      </c>
      <c r="G117" s="17"/>
      <c r="H117" s="17"/>
      <c r="I117" s="17"/>
      <c r="J117" s="17"/>
    </row>
    <row r="118" spans="3:10" x14ac:dyDescent="0.25">
      <c r="C118" s="31">
        <f t="shared" ca="1" si="13"/>
        <v>60.289275272464408</v>
      </c>
      <c r="D118" s="31">
        <f t="shared" ca="1" si="13"/>
        <v>105.60609299738925</v>
      </c>
      <c r="E118" s="32">
        <v>24.353820732050828</v>
      </c>
      <c r="F118" s="32">
        <v>128.82359065077188</v>
      </c>
      <c r="G118" s="17"/>
      <c r="H118" s="17"/>
      <c r="I118" s="17"/>
      <c r="J118" s="17"/>
    </row>
    <row r="119" spans="3:10" x14ac:dyDescent="0.25">
      <c r="C119" s="31">
        <f t="shared" ca="1" si="13"/>
        <v>47.010676789307354</v>
      </c>
      <c r="D119" s="31">
        <f t="shared" ca="1" si="13"/>
        <v>114.50389105851848</v>
      </c>
      <c r="E119" s="32">
        <v>54.115051816846645</v>
      </c>
      <c r="F119" s="32">
        <v>106.95539446276989</v>
      </c>
      <c r="G119" s="17"/>
      <c r="H119" s="17"/>
      <c r="I119" s="17"/>
      <c r="J119" s="17"/>
    </row>
    <row r="120" spans="3:10" x14ac:dyDescent="0.25">
      <c r="C120" s="31">
        <f t="shared" ca="1" si="13"/>
        <v>41.868236677981578</v>
      </c>
      <c r="D120" s="31">
        <f t="shared" ca="1" si="13"/>
        <v>129.58695255765869</v>
      </c>
      <c r="E120" s="32">
        <v>40.613764453897844</v>
      </c>
      <c r="F120" s="32">
        <v>101.65142052511067</v>
      </c>
      <c r="G120" s="17"/>
      <c r="H120" s="17"/>
      <c r="I120" s="17"/>
      <c r="J120" s="17"/>
    </row>
    <row r="121" spans="3:10" x14ac:dyDescent="0.25">
      <c r="C121" s="31">
        <f t="shared" ca="1" si="13"/>
        <v>73.072093915971493</v>
      </c>
      <c r="D121" s="31">
        <f t="shared" ca="1" si="13"/>
        <v>100.63292786239394</v>
      </c>
      <c r="E121" s="32">
        <v>67.753450404889279</v>
      </c>
      <c r="F121" s="32">
        <v>82.445135329767567</v>
      </c>
      <c r="G121" s="17"/>
      <c r="H121" s="17"/>
      <c r="I121" s="17"/>
      <c r="J121" s="17"/>
    </row>
    <row r="122" spans="3:10" x14ac:dyDescent="0.25">
      <c r="C122" s="31">
        <f t="shared" ca="1" si="13"/>
        <v>32.083710437647966</v>
      </c>
      <c r="D122" s="31">
        <f t="shared" ca="1" si="13"/>
        <v>98.643350161366612</v>
      </c>
      <c r="E122" s="32">
        <v>71.548066970100564</v>
      </c>
      <c r="F122" s="32">
        <v>113.37235288185983</v>
      </c>
      <c r="G122" s="17"/>
      <c r="H122" s="17"/>
      <c r="I122" s="17"/>
      <c r="J122" s="17"/>
    </row>
    <row r="123" spans="3:10" x14ac:dyDescent="0.25">
      <c r="C123" s="31">
        <f t="shared" ca="1" si="13"/>
        <v>59.418857634431603</v>
      </c>
      <c r="D123" s="31">
        <f t="shared" ca="1" si="13"/>
        <v>74.06248343190012</v>
      </c>
      <c r="E123" s="32">
        <v>24.795457963890229</v>
      </c>
      <c r="F123" s="32">
        <v>98.832058612749748</v>
      </c>
      <c r="G123" s="17"/>
      <c r="H123" s="17"/>
      <c r="I123" s="17"/>
      <c r="J123" s="17"/>
    </row>
    <row r="124" spans="3:10" x14ac:dyDescent="0.25">
      <c r="C124" s="31">
        <f t="shared" ca="1" si="13"/>
        <v>41.86452378573717</v>
      </c>
      <c r="D124" s="31">
        <f t="shared" ca="1" si="13"/>
        <v>93.588192873799869</v>
      </c>
      <c r="E124" s="32">
        <v>41.322070011559937</v>
      </c>
      <c r="F124" s="32">
        <v>130.50008219307861</v>
      </c>
      <c r="G124" s="17"/>
      <c r="H124" s="17"/>
      <c r="I124" s="17"/>
      <c r="J124" s="17"/>
    </row>
    <row r="125" spans="3:10" x14ac:dyDescent="0.25">
      <c r="C125" s="31">
        <f t="shared" ca="1" si="13"/>
        <v>81.197840359665904</v>
      </c>
      <c r="D125" s="31">
        <f t="shared" ca="1" si="13"/>
        <v>127.48290434888715</v>
      </c>
      <c r="E125" s="32">
        <v>42.504783346957801</v>
      </c>
      <c r="F125" s="32">
        <v>105.98798470300989</v>
      </c>
      <c r="G125" s="17"/>
      <c r="H125" s="17"/>
      <c r="I125" s="17"/>
      <c r="J125" s="17"/>
    </row>
    <row r="126" spans="3:10" x14ac:dyDescent="0.25">
      <c r="C126" s="31">
        <f t="shared" ca="1" si="13"/>
        <v>46.869511596714254</v>
      </c>
      <c r="D126" s="31">
        <f t="shared" ca="1" si="13"/>
        <v>126.20085063743143</v>
      </c>
      <c r="E126" s="32">
        <v>37.122067296531974</v>
      </c>
      <c r="F126" s="32">
        <v>123.27176747006126</v>
      </c>
      <c r="G126" s="17"/>
      <c r="H126" s="17"/>
      <c r="I126" s="17"/>
      <c r="J126" s="17"/>
    </row>
    <row r="127" spans="3:10" x14ac:dyDescent="0.25">
      <c r="C127" s="31">
        <f t="shared" ca="1" si="13"/>
        <v>36.231137170239933</v>
      </c>
      <c r="D127" s="31">
        <f t="shared" ca="1" si="13"/>
        <v>96.0738250274498</v>
      </c>
      <c r="E127" s="32">
        <v>60.96453813137704</v>
      </c>
      <c r="F127" s="32">
        <v>118.2134060340766</v>
      </c>
      <c r="G127" s="17"/>
      <c r="H127" s="17"/>
      <c r="I127" s="17"/>
      <c r="J127" s="17"/>
    </row>
    <row r="128" spans="3:10" x14ac:dyDescent="0.25">
      <c r="C128" s="31">
        <f t="shared" ca="1" si="13"/>
        <v>57.746017621815653</v>
      </c>
      <c r="D128" s="31">
        <f t="shared" ca="1" si="13"/>
        <v>91.451810011031512</v>
      </c>
      <c r="E128" s="32">
        <v>54.05888597967256</v>
      </c>
      <c r="F128" s="32">
        <v>101.19436718958819</v>
      </c>
      <c r="G128" s="17"/>
      <c r="H128" s="17"/>
      <c r="I128" s="17"/>
      <c r="J128" s="17"/>
    </row>
    <row r="129" spans="3:10" x14ac:dyDescent="0.25">
      <c r="C129" s="31">
        <f t="shared" ca="1" si="13"/>
        <v>42.679962297131929</v>
      </c>
      <c r="D129" s="31">
        <f t="shared" ca="1" si="13"/>
        <v>108.77020510498753</v>
      </c>
      <c r="E129" s="32">
        <v>38.365029324826828</v>
      </c>
      <c r="F129" s="32">
        <v>110.08639423030897</v>
      </c>
      <c r="G129" s="17"/>
      <c r="H129" s="17"/>
      <c r="I129" s="17"/>
      <c r="J129" s="17"/>
    </row>
    <row r="130" spans="3:10" x14ac:dyDescent="0.25">
      <c r="C130" s="31">
        <f t="shared" ca="1" si="13"/>
        <v>35.438014197085565</v>
      </c>
      <c r="D130" s="31">
        <f t="shared" ca="1" si="13"/>
        <v>114.24106137998474</v>
      </c>
      <c r="E130" s="32">
        <v>73.178546827719529</v>
      </c>
      <c r="F130" s="32">
        <v>115.2384210509145</v>
      </c>
      <c r="G130" s="17"/>
      <c r="H130" s="17"/>
      <c r="I130" s="17"/>
      <c r="J130" s="17"/>
    </row>
    <row r="131" spans="3:10" x14ac:dyDescent="0.25">
      <c r="C131" s="31">
        <f t="shared" ca="1" si="13"/>
        <v>36.586664712300568</v>
      </c>
      <c r="D131" s="31">
        <f t="shared" ca="1" si="13"/>
        <v>103.90630275995244</v>
      </c>
      <c r="E131" s="32">
        <v>22.439888429186322</v>
      </c>
      <c r="F131" s="32">
        <v>117.43626762082226</v>
      </c>
      <c r="G131" s="17"/>
      <c r="H131" s="17"/>
      <c r="I131" s="17"/>
      <c r="J131" s="17"/>
    </row>
    <row r="132" spans="3:10" x14ac:dyDescent="0.25">
      <c r="C132" s="31">
        <f t="shared" ca="1" si="13"/>
        <v>32.406036200455588</v>
      </c>
      <c r="D132" s="31">
        <f t="shared" ca="1" si="13"/>
        <v>121.58824530101545</v>
      </c>
      <c r="E132" s="32">
        <v>40.035147408669793</v>
      </c>
      <c r="F132" s="32">
        <v>109.66141825666516</v>
      </c>
      <c r="G132" s="17"/>
      <c r="H132" s="17"/>
      <c r="I132" s="17"/>
      <c r="J132" s="17"/>
    </row>
    <row r="133" spans="3:10" x14ac:dyDescent="0.25">
      <c r="C133" s="31">
        <f t="shared" ca="1" si="13"/>
        <v>2.0146687952037183</v>
      </c>
      <c r="D133" s="31">
        <f t="shared" ca="1" si="13"/>
        <v>134.66874255514389</v>
      </c>
      <c r="E133" s="32">
        <v>38.350572406454397</v>
      </c>
      <c r="F133" s="32">
        <v>117.04121190321506</v>
      </c>
      <c r="G133" s="17"/>
      <c r="H133" s="17"/>
      <c r="I133" s="17"/>
      <c r="J133" s="17"/>
    </row>
    <row r="134" spans="3:10" x14ac:dyDescent="0.25">
      <c r="C134" s="31">
        <f t="shared" ref="C134:D153" ca="1" si="14">_xlfn.NORM.INV(RAND(),C$4,C$5)</f>
        <v>56.274853278032609</v>
      </c>
      <c r="D134" s="31">
        <f t="shared" ca="1" si="14"/>
        <v>95.781023733551322</v>
      </c>
      <c r="E134" s="32">
        <v>64.906664196677653</v>
      </c>
      <c r="F134" s="32">
        <v>131.80858768320383</v>
      </c>
      <c r="G134" s="17"/>
      <c r="H134" s="17"/>
      <c r="I134" s="17"/>
      <c r="J134" s="17"/>
    </row>
    <row r="135" spans="3:10" x14ac:dyDescent="0.25">
      <c r="C135" s="31">
        <f t="shared" ca="1" si="14"/>
        <v>33.055083047874433</v>
      </c>
      <c r="D135" s="31">
        <f t="shared" ca="1" si="14"/>
        <v>103.19029054808595</v>
      </c>
      <c r="E135" s="32">
        <v>35.701390213836127</v>
      </c>
      <c r="F135" s="32">
        <v>92.171031691967855</v>
      </c>
      <c r="G135" s="17"/>
      <c r="H135" s="17"/>
      <c r="I135" s="17"/>
      <c r="J135" s="17"/>
    </row>
    <row r="136" spans="3:10" x14ac:dyDescent="0.25">
      <c r="C136" s="31">
        <f t="shared" ca="1" si="14"/>
        <v>55.122039976514714</v>
      </c>
      <c r="D136" s="31">
        <f t="shared" ca="1" si="14"/>
        <v>112.03075658333756</v>
      </c>
      <c r="E136" s="32">
        <v>67.151545858920286</v>
      </c>
      <c r="F136" s="32">
        <v>117.77404253305662</v>
      </c>
      <c r="G136" s="17"/>
      <c r="H136" s="17"/>
      <c r="I136" s="17"/>
      <c r="J136" s="17"/>
    </row>
    <row r="137" spans="3:10" x14ac:dyDescent="0.25">
      <c r="C137" s="31">
        <f t="shared" ca="1" si="14"/>
        <v>65.446222117950072</v>
      </c>
      <c r="D137" s="31">
        <f t="shared" ca="1" si="14"/>
        <v>107.12890221382145</v>
      </c>
      <c r="E137" s="32">
        <v>32.237308166085327</v>
      </c>
      <c r="F137" s="32">
        <v>113.79554841831649</v>
      </c>
      <c r="G137" s="17"/>
      <c r="H137" s="17"/>
      <c r="I137" s="17"/>
      <c r="J137" s="17"/>
    </row>
    <row r="138" spans="3:10" x14ac:dyDescent="0.25">
      <c r="C138" s="31">
        <f t="shared" ca="1" si="14"/>
        <v>57.754154015396679</v>
      </c>
      <c r="D138" s="31">
        <f t="shared" ca="1" si="14"/>
        <v>120.05969058100743</v>
      </c>
      <c r="E138" s="32">
        <v>52.234870004199948</v>
      </c>
      <c r="F138" s="32">
        <v>104.24055453171006</v>
      </c>
      <c r="G138" s="17"/>
      <c r="H138" s="17"/>
      <c r="I138" s="17"/>
      <c r="J138" s="17"/>
    </row>
    <row r="139" spans="3:10" x14ac:dyDescent="0.25">
      <c r="C139" s="31">
        <f t="shared" ca="1" si="14"/>
        <v>25.687697335829252</v>
      </c>
      <c r="D139" s="31">
        <f t="shared" ca="1" si="14"/>
        <v>117.23221257089556</v>
      </c>
      <c r="E139" s="32">
        <v>55.981761930960474</v>
      </c>
      <c r="F139" s="32">
        <v>110.3573593744641</v>
      </c>
      <c r="G139" s="17"/>
      <c r="H139" s="17"/>
      <c r="I139" s="17"/>
      <c r="J139" s="17"/>
    </row>
    <row r="140" spans="3:10" x14ac:dyDescent="0.25">
      <c r="C140" s="31">
        <f t="shared" ca="1" si="14"/>
        <v>10.231661116436179</v>
      </c>
      <c r="D140" s="31">
        <f t="shared" ca="1" si="14"/>
        <v>108.19988172752628</v>
      </c>
      <c r="E140" s="32">
        <v>50.563392576895581</v>
      </c>
      <c r="F140" s="32">
        <v>129.1692850994589</v>
      </c>
      <c r="G140" s="17"/>
      <c r="H140" s="17"/>
      <c r="I140" s="17"/>
      <c r="J140" s="17"/>
    </row>
    <row r="141" spans="3:10" x14ac:dyDescent="0.25">
      <c r="C141" s="31">
        <f t="shared" ca="1" si="14"/>
        <v>42.311829614365585</v>
      </c>
      <c r="D141" s="31">
        <f t="shared" ca="1" si="14"/>
        <v>106.99436056766747</v>
      </c>
      <c r="E141" s="32">
        <v>48.088847084317543</v>
      </c>
      <c r="F141" s="32">
        <v>113.10547546513881</v>
      </c>
      <c r="G141" s="17"/>
      <c r="H141" s="17"/>
      <c r="I141" s="17"/>
      <c r="J141" s="17"/>
    </row>
    <row r="142" spans="3:10" x14ac:dyDescent="0.25">
      <c r="C142" s="31">
        <f t="shared" ca="1" si="14"/>
        <v>52.36456739931652</v>
      </c>
      <c r="D142" s="31">
        <f t="shared" ca="1" si="14"/>
        <v>110.24620699780333</v>
      </c>
      <c r="E142" s="32">
        <v>66.429187822512404</v>
      </c>
      <c r="F142" s="32">
        <v>90.334397796142269</v>
      </c>
      <c r="G142" s="17"/>
      <c r="H142" s="17"/>
      <c r="I142" s="17"/>
      <c r="J142" s="17"/>
    </row>
    <row r="143" spans="3:10" x14ac:dyDescent="0.25">
      <c r="C143" s="31">
        <f t="shared" ca="1" si="14"/>
        <v>54.192673621990991</v>
      </c>
      <c r="D143" s="31">
        <f t="shared" ca="1" si="14"/>
        <v>110.1107247206189</v>
      </c>
      <c r="E143" s="32">
        <v>55.867029434361456</v>
      </c>
      <c r="F143" s="32">
        <v>115.65935629413021</v>
      </c>
      <c r="G143" s="17"/>
      <c r="H143" s="17"/>
      <c r="I143" s="17"/>
      <c r="J143" s="17"/>
    </row>
    <row r="144" spans="3:10" x14ac:dyDescent="0.25">
      <c r="C144" s="31">
        <f t="shared" ca="1" si="14"/>
        <v>45.706646357484793</v>
      </c>
      <c r="D144" s="31">
        <f t="shared" ca="1" si="14"/>
        <v>112.30977158736935</v>
      </c>
      <c r="E144" s="32">
        <v>62.405273766975768</v>
      </c>
      <c r="F144" s="32">
        <v>110.54799284655341</v>
      </c>
      <c r="G144" s="17"/>
      <c r="H144" s="17"/>
      <c r="I144" s="17"/>
      <c r="J144" s="17"/>
    </row>
    <row r="145" spans="3:10" x14ac:dyDescent="0.25">
      <c r="C145" s="31">
        <f t="shared" ca="1" si="14"/>
        <v>49.485150823277905</v>
      </c>
      <c r="D145" s="31">
        <f t="shared" ca="1" si="14"/>
        <v>132.87046122520772</v>
      </c>
      <c r="E145" s="32">
        <v>31.253963784586325</v>
      </c>
      <c r="F145" s="32">
        <v>104.22025550250183</v>
      </c>
      <c r="G145" s="17"/>
      <c r="H145" s="17"/>
      <c r="I145" s="17"/>
      <c r="J145" s="17"/>
    </row>
    <row r="146" spans="3:10" x14ac:dyDescent="0.25">
      <c r="C146" s="31">
        <f t="shared" ca="1" si="14"/>
        <v>9.3145994886810186</v>
      </c>
      <c r="D146" s="31">
        <f t="shared" ca="1" si="14"/>
        <v>132.19026511367889</v>
      </c>
      <c r="E146" s="32">
        <v>42.704388434736735</v>
      </c>
      <c r="F146" s="32">
        <v>103.70445881416475</v>
      </c>
      <c r="G146" s="17"/>
      <c r="H146" s="17"/>
      <c r="I146" s="17"/>
      <c r="J146" s="17"/>
    </row>
    <row r="147" spans="3:10" x14ac:dyDescent="0.25">
      <c r="C147" s="31">
        <f t="shared" ca="1" si="14"/>
        <v>49.847166866569445</v>
      </c>
      <c r="D147" s="31">
        <f t="shared" ca="1" si="14"/>
        <v>130.06814925163917</v>
      </c>
      <c r="E147" s="32">
        <v>72.941032653417793</v>
      </c>
      <c r="F147" s="32">
        <v>127.23500473636182</v>
      </c>
      <c r="G147" s="17"/>
      <c r="H147" s="17"/>
      <c r="I147" s="17"/>
      <c r="J147" s="17"/>
    </row>
    <row r="148" spans="3:10" x14ac:dyDescent="0.25">
      <c r="C148" s="31">
        <f t="shared" ca="1" si="14"/>
        <v>66.449035296891083</v>
      </c>
      <c r="D148" s="31">
        <f t="shared" ca="1" si="14"/>
        <v>109.97196723764326</v>
      </c>
      <c r="E148" s="32">
        <v>68.126423808394421</v>
      </c>
      <c r="F148" s="32">
        <v>72.880177637243534</v>
      </c>
      <c r="G148" s="17"/>
      <c r="H148" s="17"/>
      <c r="I148" s="17"/>
      <c r="J148" s="17"/>
    </row>
    <row r="149" spans="3:10" x14ac:dyDescent="0.25">
      <c r="C149" s="31">
        <f t="shared" ca="1" si="14"/>
        <v>34.19328167536321</v>
      </c>
      <c r="D149" s="31">
        <f t="shared" ca="1" si="14"/>
        <v>109.4466911839489</v>
      </c>
      <c r="E149" s="32">
        <v>56.885765299121786</v>
      </c>
      <c r="F149" s="32">
        <v>99.622970292760414</v>
      </c>
      <c r="G149" s="17"/>
      <c r="H149" s="17"/>
      <c r="I149" s="17"/>
      <c r="J149" s="17"/>
    </row>
    <row r="150" spans="3:10" x14ac:dyDescent="0.25">
      <c r="C150" s="31">
        <f t="shared" ca="1" si="14"/>
        <v>75.809701345398906</v>
      </c>
      <c r="D150" s="31">
        <f t="shared" ca="1" si="14"/>
        <v>109.83938134961512</v>
      </c>
      <c r="E150" s="32">
        <v>71.028654816067359</v>
      </c>
      <c r="F150" s="32">
        <v>121.73305184322625</v>
      </c>
      <c r="G150" s="17"/>
      <c r="H150" s="17"/>
      <c r="I150" s="17"/>
      <c r="J150" s="17"/>
    </row>
    <row r="151" spans="3:10" x14ac:dyDescent="0.25">
      <c r="C151" s="31">
        <f t="shared" ca="1" si="14"/>
        <v>61.618603466398177</v>
      </c>
      <c r="D151" s="31">
        <f t="shared" ca="1" si="14"/>
        <v>113.97056588683603</v>
      </c>
      <c r="E151" s="32">
        <v>56.423024185981852</v>
      </c>
      <c r="F151" s="32">
        <v>96.248148837974753</v>
      </c>
      <c r="G151" s="17"/>
      <c r="H151" s="17"/>
      <c r="I151" s="17"/>
      <c r="J151" s="17"/>
    </row>
    <row r="152" spans="3:10" x14ac:dyDescent="0.25">
      <c r="C152" s="31">
        <f t="shared" ca="1" si="14"/>
        <v>50.638761543803923</v>
      </c>
      <c r="D152" s="31">
        <f t="shared" ca="1" si="14"/>
        <v>99.418502548042269</v>
      </c>
      <c r="E152" s="32">
        <v>37.192566721229845</v>
      </c>
      <c r="F152" s="32">
        <v>113.57617999361626</v>
      </c>
      <c r="G152" s="17"/>
      <c r="H152" s="17"/>
      <c r="I152" s="17"/>
      <c r="J152" s="17"/>
    </row>
    <row r="153" spans="3:10" x14ac:dyDescent="0.25">
      <c r="C153" s="31">
        <f t="shared" ca="1" si="14"/>
        <v>23.902690626554172</v>
      </c>
      <c r="D153" s="31">
        <f t="shared" ca="1" si="14"/>
        <v>92.893584002728346</v>
      </c>
      <c r="E153" s="32">
        <v>53.845412030157661</v>
      </c>
      <c r="F153" s="32">
        <v>113.48827990469491</v>
      </c>
      <c r="G153" s="17"/>
      <c r="H153" s="17"/>
      <c r="I153" s="17"/>
      <c r="J153" s="17"/>
    </row>
    <row r="154" spans="3:10" x14ac:dyDescent="0.25">
      <c r="C154" s="31">
        <f t="shared" ref="C154:D173" ca="1" si="15">_xlfn.NORM.INV(RAND(),C$4,C$5)</f>
        <v>42.416940712677729</v>
      </c>
      <c r="D154" s="31">
        <f t="shared" ca="1" si="15"/>
        <v>117.57223754077184</v>
      </c>
      <c r="E154" s="32">
        <v>47.268951902880019</v>
      </c>
      <c r="F154" s="32">
        <v>102.6105853469152</v>
      </c>
      <c r="G154" s="17"/>
      <c r="H154" s="17"/>
      <c r="I154" s="17"/>
      <c r="J154" s="17"/>
    </row>
    <row r="155" spans="3:10" x14ac:dyDescent="0.25">
      <c r="C155" s="31">
        <f t="shared" ca="1" si="15"/>
        <v>48.735285873432112</v>
      </c>
      <c r="D155" s="31">
        <f t="shared" ca="1" si="15"/>
        <v>111.26245358792683</v>
      </c>
      <c r="E155" s="32">
        <v>55.771260184446824</v>
      </c>
      <c r="F155" s="32">
        <v>84.612622853011445</v>
      </c>
      <c r="G155" s="17"/>
      <c r="H155" s="17"/>
      <c r="I155" s="17"/>
      <c r="J155" s="17"/>
    </row>
    <row r="156" spans="3:10" x14ac:dyDescent="0.25">
      <c r="C156" s="31">
        <f t="shared" ca="1" si="15"/>
        <v>58.185697788856309</v>
      </c>
      <c r="D156" s="31">
        <f t="shared" ca="1" si="15"/>
        <v>88.517915553465059</v>
      </c>
      <c r="E156" s="32">
        <v>90.002743663878249</v>
      </c>
      <c r="F156" s="32">
        <v>108.98955983113744</v>
      </c>
      <c r="G156" s="17"/>
      <c r="H156" s="17"/>
      <c r="I156" s="17"/>
      <c r="J156" s="17"/>
    </row>
    <row r="157" spans="3:10" x14ac:dyDescent="0.25">
      <c r="C157" s="31">
        <f t="shared" ca="1" si="15"/>
        <v>40.958258778488883</v>
      </c>
      <c r="D157" s="31">
        <f t="shared" ca="1" si="15"/>
        <v>115.36578374586325</v>
      </c>
      <c r="E157" s="32">
        <v>58.069350342447322</v>
      </c>
      <c r="F157" s="32">
        <v>134.7002206999029</v>
      </c>
      <c r="G157" s="17"/>
      <c r="H157" s="17"/>
      <c r="I157" s="17"/>
      <c r="J157" s="17"/>
    </row>
    <row r="158" spans="3:10" x14ac:dyDescent="0.25">
      <c r="C158" s="31">
        <f t="shared" ca="1" si="15"/>
        <v>49.355629009966627</v>
      </c>
      <c r="D158" s="31">
        <f t="shared" ca="1" si="15"/>
        <v>112.86126996072478</v>
      </c>
      <c r="E158" s="32">
        <v>68.373218215096159</v>
      </c>
      <c r="F158" s="32">
        <v>109.69489874502008</v>
      </c>
      <c r="G158" s="17"/>
      <c r="H158" s="17"/>
      <c r="I158" s="17"/>
      <c r="J158" s="17"/>
    </row>
    <row r="159" spans="3:10" x14ac:dyDescent="0.25">
      <c r="C159" s="31">
        <f t="shared" ca="1" si="15"/>
        <v>19.139605092357268</v>
      </c>
      <c r="D159" s="31">
        <f t="shared" ca="1" si="15"/>
        <v>100.19466068522557</v>
      </c>
      <c r="E159" s="32">
        <v>64.548209363596612</v>
      </c>
      <c r="F159" s="32">
        <v>111.53362972736831</v>
      </c>
      <c r="G159" s="17"/>
      <c r="H159" s="17"/>
      <c r="I159" s="17"/>
      <c r="J159" s="17"/>
    </row>
    <row r="160" spans="3:10" x14ac:dyDescent="0.25">
      <c r="C160" s="31">
        <f t="shared" ca="1" si="15"/>
        <v>56.585744293126481</v>
      </c>
      <c r="D160" s="31">
        <f t="shared" ca="1" si="15"/>
        <v>94.576185767880474</v>
      </c>
      <c r="E160" s="32">
        <v>49.144756878941095</v>
      </c>
      <c r="F160" s="32">
        <v>116.07070309345173</v>
      </c>
      <c r="G160" s="17"/>
      <c r="H160" s="17"/>
      <c r="I160" s="17"/>
      <c r="J160" s="17"/>
    </row>
    <row r="161" spans="3:10" x14ac:dyDescent="0.25">
      <c r="C161" s="31">
        <f t="shared" ca="1" si="15"/>
        <v>69.113568552085894</v>
      </c>
      <c r="D161" s="31">
        <f t="shared" ca="1" si="15"/>
        <v>97.936568457987519</v>
      </c>
      <c r="E161" s="32">
        <v>38.816386986766453</v>
      </c>
      <c r="F161" s="32">
        <v>116.43218106394832</v>
      </c>
      <c r="G161" s="17"/>
      <c r="H161" s="17"/>
      <c r="I161" s="17"/>
      <c r="J161" s="17"/>
    </row>
    <row r="162" spans="3:10" x14ac:dyDescent="0.25">
      <c r="C162" s="31">
        <f t="shared" ca="1" si="15"/>
        <v>57.432377320068731</v>
      </c>
      <c r="D162" s="31">
        <f t="shared" ca="1" si="15"/>
        <v>118.27501713397453</v>
      </c>
      <c r="E162" s="32">
        <v>46.942110979135855</v>
      </c>
      <c r="F162" s="32">
        <v>94.472332508782429</v>
      </c>
      <c r="G162" s="17"/>
      <c r="H162" s="17"/>
      <c r="I162" s="17"/>
      <c r="J162" s="17"/>
    </row>
    <row r="163" spans="3:10" x14ac:dyDescent="0.25">
      <c r="C163" s="31">
        <f t="shared" ca="1" si="15"/>
        <v>82.026934561719514</v>
      </c>
      <c r="D163" s="31">
        <f t="shared" ca="1" si="15"/>
        <v>111.96131028710396</v>
      </c>
      <c r="E163" s="32">
        <v>59.999538691872729</v>
      </c>
      <c r="F163" s="32">
        <v>116.78265331857091</v>
      </c>
      <c r="G163" s="17"/>
      <c r="H163" s="17"/>
      <c r="I163" s="17"/>
      <c r="J163" s="17"/>
    </row>
    <row r="164" spans="3:10" x14ac:dyDescent="0.25">
      <c r="C164" s="31">
        <f t="shared" ca="1" si="15"/>
        <v>46.183582637384873</v>
      </c>
      <c r="D164" s="31">
        <f t="shared" ca="1" si="15"/>
        <v>115.17359532304943</v>
      </c>
      <c r="E164" s="32">
        <v>51.625713218827762</v>
      </c>
      <c r="F164" s="32">
        <v>108.99635624723922</v>
      </c>
      <c r="G164" s="17"/>
      <c r="H164" s="17"/>
      <c r="I164" s="17"/>
      <c r="J164" s="17"/>
    </row>
    <row r="165" spans="3:10" x14ac:dyDescent="0.25">
      <c r="C165" s="31">
        <f t="shared" ca="1" si="15"/>
        <v>57.532096639692654</v>
      </c>
      <c r="D165" s="31">
        <f t="shared" ca="1" si="15"/>
        <v>136.27847443043748</v>
      </c>
      <c r="E165" s="32">
        <v>27.127101171271438</v>
      </c>
      <c r="F165" s="32">
        <v>128.90531303507913</v>
      </c>
      <c r="G165" s="17"/>
      <c r="H165" s="17"/>
      <c r="I165" s="17"/>
      <c r="J165" s="17"/>
    </row>
    <row r="166" spans="3:10" x14ac:dyDescent="0.25">
      <c r="C166" s="31">
        <f t="shared" ca="1" si="15"/>
        <v>43.969243283828291</v>
      </c>
      <c r="D166" s="31">
        <f t="shared" ca="1" si="15"/>
        <v>96.747856603423514</v>
      </c>
      <c r="E166" s="32">
        <v>43.767249953376194</v>
      </c>
      <c r="F166" s="32">
        <v>86.262122305064381</v>
      </c>
      <c r="G166" s="17"/>
      <c r="H166" s="17"/>
      <c r="I166" s="17"/>
      <c r="J166" s="17"/>
    </row>
    <row r="167" spans="3:10" x14ac:dyDescent="0.25">
      <c r="C167" s="31">
        <f t="shared" ca="1" si="15"/>
        <v>33.524051780749247</v>
      </c>
      <c r="D167" s="31">
        <f t="shared" ca="1" si="15"/>
        <v>99.490249519301784</v>
      </c>
      <c r="E167" s="32">
        <v>60.94252530156902</v>
      </c>
      <c r="F167" s="32">
        <v>96.413894278017665</v>
      </c>
      <c r="G167" s="17"/>
      <c r="H167" s="17"/>
      <c r="I167" s="17"/>
      <c r="J167" s="17"/>
    </row>
    <row r="168" spans="3:10" x14ac:dyDescent="0.25">
      <c r="C168" s="31">
        <f t="shared" ca="1" si="15"/>
        <v>35.135978526051851</v>
      </c>
      <c r="D168" s="31">
        <f t="shared" ca="1" si="15"/>
        <v>99.031052830547722</v>
      </c>
      <c r="E168" s="32">
        <v>27.711925597158075</v>
      </c>
      <c r="F168" s="32">
        <v>111.86947631433588</v>
      </c>
      <c r="G168" s="17"/>
      <c r="H168" s="17"/>
      <c r="I168" s="17"/>
      <c r="J168" s="17"/>
    </row>
    <row r="169" spans="3:10" x14ac:dyDescent="0.25">
      <c r="C169" s="31">
        <f t="shared" ca="1" si="15"/>
        <v>58.459425564275577</v>
      </c>
      <c r="D169" s="31">
        <f t="shared" ca="1" si="15"/>
        <v>119.34988840016717</v>
      </c>
      <c r="E169" s="32">
        <v>81.487765033594485</v>
      </c>
      <c r="F169" s="32">
        <v>113.42105473641803</v>
      </c>
      <c r="G169" s="17"/>
      <c r="H169" s="17"/>
      <c r="I169" s="17"/>
      <c r="J169" s="17"/>
    </row>
    <row r="170" spans="3:10" x14ac:dyDescent="0.25">
      <c r="C170" s="31">
        <f t="shared" ca="1" si="15"/>
        <v>58.286741830957347</v>
      </c>
      <c r="D170" s="31">
        <f t="shared" ca="1" si="15"/>
        <v>111.58519098262666</v>
      </c>
      <c r="E170" s="32">
        <v>43.188487588022809</v>
      </c>
      <c r="F170" s="32">
        <v>95.961279288809123</v>
      </c>
      <c r="G170" s="17"/>
      <c r="H170" s="17"/>
      <c r="I170" s="17"/>
      <c r="J170" s="17"/>
    </row>
    <row r="171" spans="3:10" x14ac:dyDescent="0.25">
      <c r="C171" s="31">
        <f t="shared" ca="1" si="15"/>
        <v>47.334933190012279</v>
      </c>
      <c r="D171" s="31">
        <f t="shared" ca="1" si="15"/>
        <v>119.05588774304904</v>
      </c>
      <c r="E171" s="32">
        <v>49.070041567713908</v>
      </c>
      <c r="F171" s="32">
        <v>90.085635495161526</v>
      </c>
      <c r="G171" s="17"/>
      <c r="H171" s="17"/>
      <c r="I171" s="17"/>
      <c r="J171" s="17"/>
    </row>
    <row r="172" spans="3:10" x14ac:dyDescent="0.25">
      <c r="C172" s="31">
        <f t="shared" ca="1" si="15"/>
        <v>32.316746004116638</v>
      </c>
      <c r="D172" s="31">
        <f t="shared" ca="1" si="15"/>
        <v>121.08720260801508</v>
      </c>
      <c r="E172" s="32">
        <v>66.628164345370024</v>
      </c>
      <c r="F172" s="32">
        <v>120.9394189749582</v>
      </c>
      <c r="G172" s="17"/>
      <c r="H172" s="17"/>
      <c r="I172" s="17"/>
      <c r="J172" s="17"/>
    </row>
    <row r="173" spans="3:10" x14ac:dyDescent="0.25">
      <c r="C173" s="31">
        <f t="shared" ca="1" si="15"/>
        <v>57.085983024250808</v>
      </c>
      <c r="D173" s="31">
        <f t="shared" ca="1" si="15"/>
        <v>115.89481422267798</v>
      </c>
      <c r="E173" s="32">
        <v>29.176673196354891</v>
      </c>
      <c r="F173" s="32">
        <v>120.17845218274151</v>
      </c>
      <c r="G173" s="17"/>
      <c r="H173" s="17"/>
      <c r="I173" s="17"/>
      <c r="J173" s="17"/>
    </row>
    <row r="174" spans="3:10" x14ac:dyDescent="0.25">
      <c r="C174" s="31">
        <f t="shared" ref="C174:D193" ca="1" si="16">_xlfn.NORM.INV(RAND(),C$4,C$5)</f>
        <v>54.542946767475293</v>
      </c>
      <c r="D174" s="31">
        <f t="shared" ca="1" si="16"/>
        <v>131.70295933322822</v>
      </c>
      <c r="E174" s="32">
        <v>34.340287707681412</v>
      </c>
      <c r="F174" s="32">
        <v>93.241474897807947</v>
      </c>
      <c r="G174" s="17"/>
      <c r="H174" s="17"/>
      <c r="I174" s="17"/>
      <c r="J174" s="17"/>
    </row>
    <row r="175" spans="3:10" x14ac:dyDescent="0.25">
      <c r="C175" s="31">
        <f t="shared" ca="1" si="16"/>
        <v>58.745965802690186</v>
      </c>
      <c r="D175" s="31">
        <f t="shared" ca="1" si="16"/>
        <v>130.58826508634732</v>
      </c>
      <c r="E175" s="32">
        <v>61.456018283335666</v>
      </c>
      <c r="F175" s="32">
        <v>121.65510214767468</v>
      </c>
      <c r="G175" s="17"/>
      <c r="H175" s="17"/>
      <c r="I175" s="17"/>
      <c r="J175" s="17"/>
    </row>
    <row r="176" spans="3:10" x14ac:dyDescent="0.25">
      <c r="C176" s="31">
        <f t="shared" ca="1" si="16"/>
        <v>65.232103242985431</v>
      </c>
      <c r="D176" s="31">
        <f t="shared" ca="1" si="16"/>
        <v>122.36937080866208</v>
      </c>
      <c r="E176" s="32">
        <v>45.517902777411706</v>
      </c>
      <c r="F176" s="32">
        <v>111.93121130010607</v>
      </c>
      <c r="G176" s="17"/>
      <c r="H176" s="17"/>
      <c r="I176" s="17"/>
      <c r="J176" s="17"/>
    </row>
    <row r="177" spans="3:10" x14ac:dyDescent="0.25">
      <c r="C177" s="31">
        <f t="shared" ca="1" si="16"/>
        <v>54.865530532982369</v>
      </c>
      <c r="D177" s="31">
        <f t="shared" ca="1" si="16"/>
        <v>125.79400283131457</v>
      </c>
      <c r="E177" s="32">
        <v>30.904291796974803</v>
      </c>
      <c r="F177" s="32">
        <v>110.4512097359875</v>
      </c>
      <c r="G177" s="17"/>
      <c r="H177" s="17"/>
      <c r="I177" s="17"/>
      <c r="J177" s="17"/>
    </row>
    <row r="178" spans="3:10" x14ac:dyDescent="0.25">
      <c r="C178" s="31">
        <f t="shared" ca="1" si="16"/>
        <v>27.767558657693669</v>
      </c>
      <c r="D178" s="31">
        <f t="shared" ca="1" si="16"/>
        <v>118.78925756432875</v>
      </c>
      <c r="E178" s="32">
        <v>37.536264719997192</v>
      </c>
      <c r="F178" s="32">
        <v>125.20049708918546</v>
      </c>
      <c r="G178" s="17"/>
      <c r="H178" s="17"/>
      <c r="I178" s="17"/>
      <c r="J178" s="17"/>
    </row>
    <row r="179" spans="3:10" x14ac:dyDescent="0.25">
      <c r="C179" s="31">
        <f t="shared" ca="1" si="16"/>
        <v>66.29029031962007</v>
      </c>
      <c r="D179" s="31">
        <f t="shared" ca="1" si="16"/>
        <v>116.73569725381043</v>
      </c>
      <c r="E179" s="32">
        <v>61.313929606835202</v>
      </c>
      <c r="F179" s="32">
        <v>81.809869505061513</v>
      </c>
      <c r="G179" s="17"/>
      <c r="H179" s="17"/>
      <c r="I179" s="17"/>
      <c r="J179" s="17"/>
    </row>
    <row r="180" spans="3:10" x14ac:dyDescent="0.25">
      <c r="C180" s="31">
        <f t="shared" ca="1" si="16"/>
        <v>43.780711209020097</v>
      </c>
      <c r="D180" s="31">
        <f t="shared" ca="1" si="16"/>
        <v>122.42336909191796</v>
      </c>
      <c r="E180" s="32">
        <v>47.862279876086745</v>
      </c>
      <c r="F180" s="32">
        <v>126.47326119618231</v>
      </c>
      <c r="G180" s="17"/>
      <c r="H180" s="17"/>
      <c r="I180" s="17"/>
      <c r="J180" s="17"/>
    </row>
    <row r="181" spans="3:10" x14ac:dyDescent="0.25">
      <c r="C181" s="31">
        <f t="shared" ca="1" si="16"/>
        <v>78.827949317459201</v>
      </c>
      <c r="D181" s="31">
        <f t="shared" ca="1" si="16"/>
        <v>105.57674958151806</v>
      </c>
      <c r="E181" s="32">
        <v>63.39396352677813</v>
      </c>
      <c r="F181" s="32">
        <v>104.972151378733</v>
      </c>
      <c r="G181" s="17"/>
      <c r="H181" s="17"/>
      <c r="I181" s="17"/>
      <c r="J181" s="17"/>
    </row>
    <row r="182" spans="3:10" x14ac:dyDescent="0.25">
      <c r="C182" s="31">
        <f t="shared" ca="1" si="16"/>
        <v>26.705854309395384</v>
      </c>
      <c r="D182" s="31">
        <f t="shared" ca="1" si="16"/>
        <v>99.604727830675742</v>
      </c>
      <c r="E182" s="32">
        <v>43.284211603379909</v>
      </c>
      <c r="F182" s="32">
        <v>91.036791156738374</v>
      </c>
      <c r="G182" s="17"/>
      <c r="H182" s="17"/>
      <c r="I182" s="17"/>
      <c r="J182" s="17"/>
    </row>
    <row r="183" spans="3:10" x14ac:dyDescent="0.25">
      <c r="C183" s="31">
        <f t="shared" ca="1" si="16"/>
        <v>38.32766103511473</v>
      </c>
      <c r="D183" s="31">
        <f t="shared" ca="1" si="16"/>
        <v>115.05203541092051</v>
      </c>
      <c r="E183" s="32">
        <v>60.91675435272488</v>
      </c>
      <c r="F183" s="32">
        <v>115.38529427519151</v>
      </c>
      <c r="G183" s="17"/>
      <c r="H183" s="17"/>
      <c r="I183" s="17"/>
      <c r="J183" s="17"/>
    </row>
    <row r="184" spans="3:10" x14ac:dyDescent="0.25">
      <c r="C184" s="31">
        <f t="shared" ca="1" si="16"/>
        <v>82.243605543468874</v>
      </c>
      <c r="D184" s="31">
        <f t="shared" ca="1" si="16"/>
        <v>101.90986891559011</v>
      </c>
      <c r="E184" s="32">
        <v>77.925038481672061</v>
      </c>
      <c r="F184" s="32">
        <v>91.266153688127133</v>
      </c>
      <c r="G184" s="17"/>
      <c r="H184" s="17"/>
      <c r="I184" s="17"/>
      <c r="J184" s="17"/>
    </row>
    <row r="185" spans="3:10" x14ac:dyDescent="0.25">
      <c r="C185" s="31">
        <f t="shared" ca="1" si="16"/>
        <v>61.42357026951737</v>
      </c>
      <c r="D185" s="31">
        <f t="shared" ca="1" si="16"/>
        <v>119.1732916509138</v>
      </c>
      <c r="E185" s="32">
        <v>15.098922296583176</v>
      </c>
      <c r="F185" s="32">
        <v>105.56943356873701</v>
      </c>
      <c r="G185" s="17"/>
      <c r="H185" s="17"/>
      <c r="I185" s="17"/>
      <c r="J185" s="17"/>
    </row>
    <row r="186" spans="3:10" x14ac:dyDescent="0.25">
      <c r="C186" s="31">
        <f t="shared" ca="1" si="16"/>
        <v>49.641316203286017</v>
      </c>
      <c r="D186" s="31">
        <f t="shared" ca="1" si="16"/>
        <v>126.70910874310132</v>
      </c>
      <c r="E186" s="32">
        <v>54.939594753380852</v>
      </c>
      <c r="F186" s="32">
        <v>103.48843179754176</v>
      </c>
      <c r="G186" s="17"/>
      <c r="H186" s="17"/>
      <c r="I186" s="17"/>
      <c r="J186" s="17"/>
    </row>
    <row r="187" spans="3:10" x14ac:dyDescent="0.25">
      <c r="C187" s="31">
        <f t="shared" ca="1" si="16"/>
        <v>53.890200376328053</v>
      </c>
      <c r="D187" s="31">
        <f t="shared" ca="1" si="16"/>
        <v>109.41397440335143</v>
      </c>
      <c r="E187" s="32">
        <v>28.426035982673003</v>
      </c>
      <c r="F187" s="32">
        <v>105.35305724043445</v>
      </c>
      <c r="G187" s="17"/>
      <c r="H187" s="17"/>
      <c r="I187" s="17"/>
      <c r="J187" s="17"/>
    </row>
    <row r="188" spans="3:10" x14ac:dyDescent="0.25">
      <c r="C188" s="31">
        <f t="shared" ca="1" si="16"/>
        <v>74.502394098690189</v>
      </c>
      <c r="D188" s="31">
        <f t="shared" ca="1" si="16"/>
        <v>105.23884304099687</v>
      </c>
      <c r="E188" s="32">
        <v>78.688530875694326</v>
      </c>
      <c r="F188" s="32">
        <v>110.84917085253922</v>
      </c>
      <c r="G188" s="17"/>
      <c r="H188" s="17"/>
      <c r="I188" s="17"/>
      <c r="J188" s="17"/>
    </row>
    <row r="189" spans="3:10" x14ac:dyDescent="0.25">
      <c r="C189" s="31">
        <f t="shared" ca="1" si="16"/>
        <v>76.767047496008828</v>
      </c>
      <c r="D189" s="31">
        <f t="shared" ca="1" si="16"/>
        <v>113.68642942538399</v>
      </c>
      <c r="E189" s="32">
        <v>34.552817114951225</v>
      </c>
      <c r="F189" s="32">
        <v>130.25585240040752</v>
      </c>
      <c r="G189" s="17"/>
      <c r="H189" s="17"/>
      <c r="I189" s="17"/>
      <c r="J189" s="17"/>
    </row>
    <row r="190" spans="3:10" x14ac:dyDescent="0.25">
      <c r="C190" s="31">
        <f t="shared" ca="1" si="16"/>
        <v>32.086501621435232</v>
      </c>
      <c r="D190" s="31">
        <f t="shared" ca="1" si="16"/>
        <v>119.58403902063039</v>
      </c>
      <c r="E190" s="32">
        <v>71.540150363507465</v>
      </c>
      <c r="F190" s="32">
        <v>96.3411337422434</v>
      </c>
      <c r="G190" s="17"/>
      <c r="H190" s="17"/>
      <c r="I190" s="17"/>
      <c r="J190" s="17"/>
    </row>
    <row r="191" spans="3:10" x14ac:dyDescent="0.25">
      <c r="C191" s="31">
        <f t="shared" ca="1" si="16"/>
        <v>54.475517071685715</v>
      </c>
      <c r="D191" s="31">
        <f t="shared" ca="1" si="16"/>
        <v>102.45479494791525</v>
      </c>
      <c r="E191" s="32">
        <v>54.026087327204976</v>
      </c>
      <c r="F191" s="32">
        <v>122.47288070479593</v>
      </c>
      <c r="G191" s="17"/>
      <c r="H191" s="17"/>
      <c r="I191" s="17"/>
      <c r="J191" s="17"/>
    </row>
    <row r="192" spans="3:10" x14ac:dyDescent="0.25">
      <c r="C192" s="31">
        <f t="shared" ca="1" si="16"/>
        <v>54.209668735663456</v>
      </c>
      <c r="D192" s="31">
        <f t="shared" ca="1" si="16"/>
        <v>110.00760584610072</v>
      </c>
      <c r="E192" s="32">
        <v>60.789987083745217</v>
      </c>
      <c r="F192" s="32">
        <v>95.339735875990698</v>
      </c>
      <c r="G192" s="17"/>
      <c r="H192" s="17"/>
      <c r="I192" s="17"/>
      <c r="J192" s="17"/>
    </row>
    <row r="193" spans="3:10" x14ac:dyDescent="0.25">
      <c r="C193" s="31">
        <f t="shared" ca="1" si="16"/>
        <v>48.20159968690924</v>
      </c>
      <c r="D193" s="31">
        <f t="shared" ca="1" si="16"/>
        <v>146.45167609443908</v>
      </c>
      <c r="E193" s="32">
        <v>49.289632053279362</v>
      </c>
      <c r="F193" s="32">
        <v>129.83418897612827</v>
      </c>
      <c r="G193" s="17"/>
      <c r="H193" s="17"/>
      <c r="I193" s="17"/>
      <c r="J193" s="17"/>
    </row>
    <row r="194" spans="3:10" x14ac:dyDescent="0.25">
      <c r="C194" s="31">
        <f t="shared" ref="C194:D213" ca="1" si="17">_xlfn.NORM.INV(RAND(),C$4,C$5)</f>
        <v>32.975785892353606</v>
      </c>
      <c r="D194" s="31">
        <f t="shared" ca="1" si="17"/>
        <v>129.18693672165611</v>
      </c>
      <c r="E194" s="32">
        <v>93.476336908156043</v>
      </c>
      <c r="F194" s="32">
        <v>114.568033535399</v>
      </c>
      <c r="G194" s="17"/>
      <c r="H194" s="17"/>
      <c r="I194" s="17"/>
      <c r="J194" s="17"/>
    </row>
    <row r="195" spans="3:10" x14ac:dyDescent="0.25">
      <c r="C195" s="31">
        <f t="shared" ca="1" si="17"/>
        <v>74.703679959247978</v>
      </c>
      <c r="D195" s="31">
        <f t="shared" ca="1" si="17"/>
        <v>101.02875658621493</v>
      </c>
      <c r="E195" s="32">
        <v>24.639685854898573</v>
      </c>
      <c r="F195" s="32">
        <v>109.9385272930995</v>
      </c>
      <c r="G195" s="17"/>
      <c r="H195" s="17"/>
      <c r="I195" s="17"/>
      <c r="J195" s="17"/>
    </row>
    <row r="196" spans="3:10" x14ac:dyDescent="0.25">
      <c r="C196" s="31">
        <f t="shared" ca="1" si="17"/>
        <v>70.66280817081757</v>
      </c>
      <c r="D196" s="31">
        <f t="shared" ca="1" si="17"/>
        <v>108.40126826855858</v>
      </c>
      <c r="E196" s="32">
        <v>31.29896075237626</v>
      </c>
      <c r="F196" s="32">
        <v>96.411386557386436</v>
      </c>
      <c r="G196" s="17"/>
      <c r="H196" s="17"/>
      <c r="I196" s="17"/>
      <c r="J196" s="17"/>
    </row>
    <row r="197" spans="3:10" x14ac:dyDescent="0.25">
      <c r="C197" s="31">
        <f t="shared" ca="1" si="17"/>
        <v>64.20328428596595</v>
      </c>
      <c r="D197" s="31">
        <f t="shared" ca="1" si="17"/>
        <v>88.059527654982361</v>
      </c>
      <c r="E197" s="32">
        <v>35.43316692005277</v>
      </c>
      <c r="F197" s="32">
        <v>117.1266848209636</v>
      </c>
      <c r="G197" s="17"/>
      <c r="H197" s="17"/>
      <c r="I197" s="17"/>
      <c r="J197" s="17"/>
    </row>
    <row r="198" spans="3:10" x14ac:dyDescent="0.25">
      <c r="C198" s="31">
        <f t="shared" ca="1" si="17"/>
        <v>30.944160445267677</v>
      </c>
      <c r="D198" s="31">
        <f t="shared" ca="1" si="17"/>
        <v>129.67763467724245</v>
      </c>
      <c r="E198" s="32">
        <v>48.663565237194952</v>
      </c>
      <c r="F198" s="32">
        <v>125.16417820821118</v>
      </c>
      <c r="G198" s="17"/>
      <c r="H198" s="17"/>
      <c r="I198" s="17"/>
      <c r="J198" s="17"/>
    </row>
    <row r="199" spans="3:10" x14ac:dyDescent="0.25">
      <c r="C199" s="31">
        <f t="shared" ca="1" si="17"/>
        <v>43.203085703729151</v>
      </c>
      <c r="D199" s="31">
        <f t="shared" ca="1" si="17"/>
        <v>126.29532978386115</v>
      </c>
      <c r="E199" s="32">
        <v>48.323618181542109</v>
      </c>
      <c r="F199" s="32">
        <v>93.555782667261028</v>
      </c>
      <c r="G199" s="17"/>
      <c r="H199" s="17"/>
      <c r="I199" s="17"/>
      <c r="J199" s="17"/>
    </row>
    <row r="200" spans="3:10" x14ac:dyDescent="0.25">
      <c r="C200" s="31">
        <f t="shared" ca="1" si="17"/>
        <v>20.952452699252632</v>
      </c>
      <c r="D200" s="31">
        <f t="shared" ca="1" si="17"/>
        <v>116.24200338441429</v>
      </c>
      <c r="E200" s="32">
        <v>78.239863459634265</v>
      </c>
      <c r="F200" s="32">
        <v>110.26895071568781</v>
      </c>
      <c r="G200" s="17"/>
      <c r="H200" s="17"/>
      <c r="I200" s="17"/>
      <c r="J200" s="17"/>
    </row>
    <row r="201" spans="3:10" x14ac:dyDescent="0.25">
      <c r="C201" s="31">
        <f t="shared" ca="1" si="17"/>
        <v>28.027380235108019</v>
      </c>
      <c r="D201" s="31">
        <f t="shared" ca="1" si="17"/>
        <v>123.46714794547661</v>
      </c>
      <c r="E201" s="32">
        <v>5.7540804711541611</v>
      </c>
      <c r="F201" s="32">
        <v>104.48773271477751</v>
      </c>
      <c r="G201" s="17"/>
      <c r="H201" s="17"/>
      <c r="I201" s="17"/>
      <c r="J201" s="17"/>
    </row>
    <row r="202" spans="3:10" x14ac:dyDescent="0.25">
      <c r="C202" s="31">
        <f t="shared" ca="1" si="17"/>
        <v>43.453059311914359</v>
      </c>
      <c r="D202" s="31">
        <f t="shared" ca="1" si="17"/>
        <v>106.73309005729482</v>
      </c>
      <c r="E202" s="32">
        <v>61.05439042592387</v>
      </c>
      <c r="F202" s="32">
        <v>107.03322773315098</v>
      </c>
      <c r="G202" s="17"/>
      <c r="H202" s="17"/>
      <c r="I202" s="17"/>
      <c r="J202" s="17"/>
    </row>
    <row r="203" spans="3:10" x14ac:dyDescent="0.25">
      <c r="C203" s="31">
        <f t="shared" ca="1" si="17"/>
        <v>53.294101267138714</v>
      </c>
      <c r="D203" s="31">
        <f t="shared" ca="1" si="17"/>
        <v>110.52807346377963</v>
      </c>
      <c r="E203" s="32">
        <v>33.399780219156916</v>
      </c>
      <c r="F203" s="32">
        <v>119.73326330768141</v>
      </c>
      <c r="G203" s="17"/>
      <c r="H203" s="17"/>
      <c r="I203" s="17"/>
      <c r="J203" s="17"/>
    </row>
    <row r="204" spans="3:10" x14ac:dyDescent="0.25">
      <c r="C204" s="31">
        <f t="shared" ca="1" si="17"/>
        <v>65.685191595990631</v>
      </c>
      <c r="D204" s="31">
        <f t="shared" ca="1" si="17"/>
        <v>115.60110982834965</v>
      </c>
      <c r="E204" s="32">
        <v>24.967823794285803</v>
      </c>
      <c r="F204" s="32">
        <v>90.431577378097572</v>
      </c>
      <c r="G204" s="17"/>
      <c r="H204" s="17"/>
      <c r="I204" s="17"/>
      <c r="J204" s="17"/>
    </row>
    <row r="205" spans="3:10" x14ac:dyDescent="0.25">
      <c r="C205" s="31">
        <f t="shared" ca="1" si="17"/>
        <v>40.536678373897225</v>
      </c>
      <c r="D205" s="31">
        <f t="shared" ca="1" si="17"/>
        <v>93.573242706387916</v>
      </c>
      <c r="E205" s="32">
        <v>46.397912087267578</v>
      </c>
      <c r="F205" s="32">
        <v>117.97973958866626</v>
      </c>
      <c r="G205" s="17"/>
      <c r="H205" s="17"/>
      <c r="I205" s="17"/>
      <c r="J205" s="17"/>
    </row>
    <row r="206" spans="3:10" x14ac:dyDescent="0.25">
      <c r="C206" s="31">
        <f t="shared" ca="1" si="17"/>
        <v>43.014616095740067</v>
      </c>
      <c r="D206" s="31">
        <f t="shared" ca="1" si="17"/>
        <v>133.81369642036665</v>
      </c>
      <c r="E206" s="32">
        <v>48.587601041020555</v>
      </c>
      <c r="F206" s="32">
        <v>121.07755324758685</v>
      </c>
      <c r="G206" s="17"/>
      <c r="H206" s="17"/>
      <c r="I206" s="17"/>
      <c r="J206" s="17"/>
    </row>
    <row r="207" spans="3:10" x14ac:dyDescent="0.25">
      <c r="C207" s="31">
        <f t="shared" ca="1" si="17"/>
        <v>62.992278062555854</v>
      </c>
      <c r="D207" s="31">
        <f t="shared" ca="1" si="17"/>
        <v>92.648628394042632</v>
      </c>
      <c r="E207" s="32">
        <v>54.185027053355874</v>
      </c>
      <c r="F207" s="32">
        <v>82.755742157945718</v>
      </c>
      <c r="G207" s="17"/>
      <c r="H207" s="17"/>
      <c r="I207" s="17"/>
      <c r="J207" s="17"/>
    </row>
    <row r="208" spans="3:10" x14ac:dyDescent="0.25">
      <c r="C208" s="31">
        <f t="shared" ca="1" si="17"/>
        <v>29.038449470154998</v>
      </c>
      <c r="D208" s="31">
        <f t="shared" ca="1" si="17"/>
        <v>119.36027000997593</v>
      </c>
      <c r="E208" s="32">
        <v>50.58289618219122</v>
      </c>
      <c r="F208" s="32">
        <v>121.04198644934543</v>
      </c>
      <c r="G208" s="17"/>
      <c r="H208" s="17"/>
      <c r="I208" s="17"/>
      <c r="J208" s="17"/>
    </row>
    <row r="209" spans="3:10" x14ac:dyDescent="0.25">
      <c r="C209" s="31">
        <f t="shared" ca="1" si="17"/>
        <v>57.165958387836298</v>
      </c>
      <c r="D209" s="31">
        <f t="shared" ca="1" si="17"/>
        <v>122.78482925503502</v>
      </c>
      <c r="E209" s="32">
        <v>60.824204914487183</v>
      </c>
      <c r="F209" s="32">
        <v>101.56790961198058</v>
      </c>
      <c r="G209" s="17"/>
      <c r="H209" s="17"/>
      <c r="I209" s="17"/>
      <c r="J209" s="17"/>
    </row>
    <row r="210" spans="3:10" x14ac:dyDescent="0.25">
      <c r="C210" s="31">
        <f t="shared" ca="1" si="17"/>
        <v>67.795690795627863</v>
      </c>
      <c r="D210" s="31">
        <f t="shared" ca="1" si="17"/>
        <v>99.750507851745141</v>
      </c>
      <c r="E210" s="32">
        <v>43.807919523831778</v>
      </c>
      <c r="F210" s="32">
        <v>130.59830165939297</v>
      </c>
      <c r="G210" s="17"/>
      <c r="H210" s="17"/>
      <c r="I210" s="17"/>
      <c r="J210" s="17"/>
    </row>
    <row r="211" spans="3:10" x14ac:dyDescent="0.25">
      <c r="C211" s="31">
        <f t="shared" ca="1" si="17"/>
        <v>36.137072050305491</v>
      </c>
      <c r="D211" s="31">
        <f t="shared" ca="1" si="17"/>
        <v>119.40997903584947</v>
      </c>
      <c r="E211" s="32">
        <v>53.549271820319554</v>
      </c>
      <c r="F211" s="32">
        <v>98.088679141434667</v>
      </c>
      <c r="G211" s="17"/>
      <c r="H211" s="17"/>
      <c r="I211" s="17"/>
      <c r="J211" s="17"/>
    </row>
    <row r="212" spans="3:10" x14ac:dyDescent="0.25">
      <c r="C212" s="31">
        <f t="shared" ca="1" si="17"/>
        <v>64.003639634733858</v>
      </c>
      <c r="D212" s="31">
        <f t="shared" ca="1" si="17"/>
        <v>121.43999963032671</v>
      </c>
      <c r="E212" s="32">
        <v>42.393455844413474</v>
      </c>
      <c r="F212" s="32">
        <v>96.437932251972882</v>
      </c>
      <c r="G212" s="17"/>
      <c r="H212" s="17"/>
      <c r="I212" s="17"/>
      <c r="J212" s="17"/>
    </row>
    <row r="213" spans="3:10" x14ac:dyDescent="0.25">
      <c r="C213" s="31">
        <f t="shared" ca="1" si="17"/>
        <v>89.401877956130988</v>
      </c>
      <c r="D213" s="31">
        <f t="shared" ca="1" si="17"/>
        <v>103.03989155539874</v>
      </c>
      <c r="E213" s="32">
        <v>44.582160446644629</v>
      </c>
      <c r="F213" s="32">
        <v>104.07277710489694</v>
      </c>
      <c r="G213" s="17"/>
      <c r="H213" s="17"/>
      <c r="I213" s="17"/>
      <c r="J213" s="17"/>
    </row>
    <row r="214" spans="3:10" x14ac:dyDescent="0.25">
      <c r="C214" s="31">
        <f t="shared" ref="C214:D233" ca="1" si="18">_xlfn.NORM.INV(RAND(),C$4,C$5)</f>
        <v>41.931589987638702</v>
      </c>
      <c r="D214" s="31">
        <f t="shared" ca="1" si="18"/>
        <v>124.39837965048734</v>
      </c>
      <c r="E214" s="32">
        <v>66.042177806449956</v>
      </c>
      <c r="F214" s="32">
        <v>109.27379975423169</v>
      </c>
      <c r="G214" s="17"/>
      <c r="H214" s="17"/>
      <c r="I214" s="17"/>
      <c r="J214" s="17"/>
    </row>
    <row r="215" spans="3:10" x14ac:dyDescent="0.25">
      <c r="C215" s="31">
        <f t="shared" ca="1" si="18"/>
        <v>54.532698081465348</v>
      </c>
      <c r="D215" s="31">
        <f t="shared" ca="1" si="18"/>
        <v>111.01697441804507</v>
      </c>
      <c r="E215" s="32">
        <v>40.660945482876961</v>
      </c>
      <c r="F215" s="32">
        <v>124.71303274505364</v>
      </c>
      <c r="G215" s="17"/>
      <c r="H215" s="17"/>
      <c r="I215" s="17"/>
      <c r="J215" s="17"/>
    </row>
    <row r="216" spans="3:10" x14ac:dyDescent="0.25">
      <c r="C216" s="31">
        <f t="shared" ca="1" si="18"/>
        <v>76.72919730074787</v>
      </c>
      <c r="D216" s="31">
        <f t="shared" ca="1" si="18"/>
        <v>118.49962847617377</v>
      </c>
      <c r="E216" s="32">
        <v>33.414326422242411</v>
      </c>
      <c r="F216" s="32">
        <v>95.643533660412729</v>
      </c>
      <c r="G216" s="17"/>
      <c r="H216" s="17"/>
      <c r="I216" s="17"/>
      <c r="J216" s="17"/>
    </row>
    <row r="217" spans="3:10" x14ac:dyDescent="0.25">
      <c r="C217" s="31">
        <f t="shared" ca="1" si="18"/>
        <v>39.196878077474274</v>
      </c>
      <c r="D217" s="31">
        <f t="shared" ca="1" si="18"/>
        <v>102.92995282097934</v>
      </c>
      <c r="E217" s="32">
        <v>31.637953746358235</v>
      </c>
      <c r="F217" s="32">
        <v>128.10886940623953</v>
      </c>
      <c r="G217" s="17"/>
      <c r="H217" s="17"/>
      <c r="I217" s="17"/>
      <c r="J217" s="17"/>
    </row>
    <row r="218" spans="3:10" x14ac:dyDescent="0.25">
      <c r="C218" s="31">
        <f t="shared" ca="1" si="18"/>
        <v>47.303897822241993</v>
      </c>
      <c r="D218" s="31">
        <f t="shared" ca="1" si="18"/>
        <v>99.718969106755125</v>
      </c>
      <c r="E218" s="32">
        <v>52.053006158834371</v>
      </c>
      <c r="F218" s="32">
        <v>120.03375597164869</v>
      </c>
      <c r="G218" s="17"/>
      <c r="H218" s="17"/>
      <c r="I218" s="17"/>
      <c r="J218" s="17"/>
    </row>
    <row r="219" spans="3:10" x14ac:dyDescent="0.25">
      <c r="C219" s="31">
        <f t="shared" ca="1" si="18"/>
        <v>47.609734137359617</v>
      </c>
      <c r="D219" s="31">
        <f t="shared" ca="1" si="18"/>
        <v>126.93044523523787</v>
      </c>
      <c r="E219" s="32">
        <v>79.426004733529822</v>
      </c>
      <c r="F219" s="32">
        <v>84.885879677790783</v>
      </c>
      <c r="G219" s="17"/>
      <c r="H219" s="17"/>
      <c r="I219" s="17"/>
      <c r="J219" s="17"/>
    </row>
    <row r="220" spans="3:10" x14ac:dyDescent="0.25">
      <c r="C220" s="31">
        <f t="shared" ca="1" si="18"/>
        <v>42.195099187948827</v>
      </c>
      <c r="D220" s="31">
        <f t="shared" ca="1" si="18"/>
        <v>106.45830044162065</v>
      </c>
      <c r="E220" s="32">
        <v>40.948328994585495</v>
      </c>
      <c r="F220" s="32">
        <v>113.59168562026568</v>
      </c>
      <c r="G220" s="17"/>
      <c r="H220" s="17"/>
      <c r="I220" s="17"/>
      <c r="J220" s="17"/>
    </row>
    <row r="221" spans="3:10" x14ac:dyDescent="0.25">
      <c r="C221" s="31">
        <f t="shared" ca="1" si="18"/>
        <v>28.706326031220428</v>
      </c>
      <c r="D221" s="31">
        <f t="shared" ca="1" si="18"/>
        <v>114.83675858734397</v>
      </c>
      <c r="E221" s="32">
        <v>51.839207359952766</v>
      </c>
      <c r="F221" s="32">
        <v>111.4325272722148</v>
      </c>
      <c r="G221" s="17"/>
      <c r="H221" s="17"/>
      <c r="I221" s="17"/>
      <c r="J221" s="17"/>
    </row>
    <row r="222" spans="3:10" x14ac:dyDescent="0.25">
      <c r="C222" s="31">
        <f t="shared" ca="1" si="18"/>
        <v>46.936789601835976</v>
      </c>
      <c r="D222" s="31">
        <f t="shared" ca="1" si="18"/>
        <v>98.544469483015234</v>
      </c>
      <c r="E222" s="32">
        <v>39.682213964753075</v>
      </c>
      <c r="F222" s="32">
        <v>95.457752079967435</v>
      </c>
      <c r="G222" s="17"/>
      <c r="H222" s="17"/>
      <c r="I222" s="17"/>
      <c r="J222" s="17"/>
    </row>
    <row r="223" spans="3:10" x14ac:dyDescent="0.25">
      <c r="C223" s="31">
        <f t="shared" ca="1" si="18"/>
        <v>65.069438414978819</v>
      </c>
      <c r="D223" s="31">
        <f t="shared" ca="1" si="18"/>
        <v>116.9929285518233</v>
      </c>
      <c r="E223" s="32">
        <v>14.607448765655683</v>
      </c>
      <c r="F223" s="32">
        <v>118.99560114623199</v>
      </c>
      <c r="G223" s="17"/>
      <c r="H223" s="17"/>
      <c r="I223" s="17"/>
      <c r="J223" s="17"/>
    </row>
    <row r="224" spans="3:10" x14ac:dyDescent="0.25">
      <c r="C224" s="31">
        <f t="shared" ca="1" si="18"/>
        <v>49.001309649399097</v>
      </c>
      <c r="D224" s="31">
        <f t="shared" ca="1" si="18"/>
        <v>90.643800291500128</v>
      </c>
      <c r="E224" s="32">
        <v>42.874713110481899</v>
      </c>
      <c r="F224" s="32">
        <v>114.16102362392716</v>
      </c>
      <c r="G224" s="17"/>
      <c r="H224" s="17"/>
      <c r="I224" s="17"/>
      <c r="J224" s="17"/>
    </row>
    <row r="225" spans="3:10" x14ac:dyDescent="0.25">
      <c r="C225" s="31">
        <f t="shared" ca="1" si="18"/>
        <v>35.99623277750387</v>
      </c>
      <c r="D225" s="31">
        <f t="shared" ca="1" si="18"/>
        <v>132.08652072161274</v>
      </c>
      <c r="E225" s="32">
        <v>68.349253490340203</v>
      </c>
      <c r="F225" s="32">
        <v>125.4146605697693</v>
      </c>
      <c r="G225" s="17"/>
      <c r="H225" s="17"/>
      <c r="I225" s="17"/>
      <c r="J225" s="17"/>
    </row>
    <row r="226" spans="3:10" x14ac:dyDescent="0.25">
      <c r="C226" s="31">
        <f t="shared" ca="1" si="18"/>
        <v>55.987535878703241</v>
      </c>
      <c r="D226" s="31">
        <f t="shared" ca="1" si="18"/>
        <v>104.8387497198563</v>
      </c>
      <c r="E226" s="32">
        <v>53.699595823904012</v>
      </c>
      <c r="F226" s="32">
        <v>122.38143363983941</v>
      </c>
      <c r="G226" s="17"/>
      <c r="H226" s="17"/>
      <c r="I226" s="17"/>
      <c r="J226" s="17"/>
    </row>
    <row r="227" spans="3:10" x14ac:dyDescent="0.25">
      <c r="C227" s="31">
        <f t="shared" ca="1" si="18"/>
        <v>46.088860833063535</v>
      </c>
      <c r="D227" s="31">
        <f t="shared" ca="1" si="18"/>
        <v>105.57963207061574</v>
      </c>
      <c r="E227" s="32">
        <v>42.12221189748621</v>
      </c>
      <c r="F227" s="32">
        <v>118.53467399164867</v>
      </c>
      <c r="G227" s="17"/>
      <c r="H227" s="17"/>
      <c r="I227" s="17"/>
      <c r="J227" s="17"/>
    </row>
    <row r="228" spans="3:10" x14ac:dyDescent="0.25">
      <c r="C228" s="31">
        <f t="shared" ca="1" si="18"/>
        <v>34.003899473473389</v>
      </c>
      <c r="D228" s="31">
        <f t="shared" ca="1" si="18"/>
        <v>115.74971440509589</v>
      </c>
      <c r="E228" s="32">
        <v>22.201740361156759</v>
      </c>
      <c r="F228" s="32">
        <v>121.55691158720106</v>
      </c>
      <c r="G228" s="17"/>
      <c r="H228" s="17"/>
      <c r="I228" s="17"/>
      <c r="J228" s="17"/>
    </row>
    <row r="229" spans="3:10" x14ac:dyDescent="0.25">
      <c r="C229" s="31">
        <f t="shared" ca="1" si="18"/>
        <v>68.991393044498395</v>
      </c>
      <c r="D229" s="31">
        <f t="shared" ca="1" si="18"/>
        <v>110.33712614807257</v>
      </c>
      <c r="E229" s="32">
        <v>36.307450961980244</v>
      </c>
      <c r="F229" s="32">
        <v>101.4882323117839</v>
      </c>
      <c r="G229" s="17"/>
      <c r="H229" s="17"/>
      <c r="I229" s="17"/>
      <c r="J229" s="17"/>
    </row>
    <row r="230" spans="3:10" x14ac:dyDescent="0.25">
      <c r="C230" s="31">
        <f t="shared" ca="1" si="18"/>
        <v>70.588639538097183</v>
      </c>
      <c r="D230" s="31">
        <f t="shared" ca="1" si="18"/>
        <v>95.530122650985845</v>
      </c>
      <c r="E230" s="32">
        <v>35.127142011764285</v>
      </c>
      <c r="F230" s="32">
        <v>90.353053235213963</v>
      </c>
      <c r="G230" s="17"/>
      <c r="H230" s="17"/>
      <c r="I230" s="17"/>
      <c r="J230" s="17"/>
    </row>
    <row r="231" spans="3:10" x14ac:dyDescent="0.25">
      <c r="C231" s="31">
        <f t="shared" ca="1" si="18"/>
        <v>49.956345026603913</v>
      </c>
      <c r="D231" s="31">
        <f t="shared" ca="1" si="18"/>
        <v>99.490515198867556</v>
      </c>
      <c r="E231" s="32">
        <v>31.924126261545101</v>
      </c>
      <c r="F231" s="32">
        <v>74.447516947448605</v>
      </c>
      <c r="G231" s="17"/>
      <c r="H231" s="17"/>
      <c r="I231" s="17"/>
      <c r="J231" s="17"/>
    </row>
    <row r="232" spans="3:10" x14ac:dyDescent="0.25">
      <c r="C232" s="31">
        <f t="shared" ca="1" si="18"/>
        <v>56.585973471960514</v>
      </c>
      <c r="D232" s="31">
        <f t="shared" ca="1" si="18"/>
        <v>111.33106470718609</v>
      </c>
      <c r="E232" s="32">
        <v>24.866565912096625</v>
      </c>
      <c r="F232" s="32">
        <v>125.51961251535505</v>
      </c>
      <c r="G232" s="17"/>
      <c r="H232" s="17"/>
      <c r="I232" s="17"/>
      <c r="J232" s="17"/>
    </row>
    <row r="233" spans="3:10" x14ac:dyDescent="0.25">
      <c r="C233" s="31">
        <f t="shared" ca="1" si="18"/>
        <v>37.557330814619263</v>
      </c>
      <c r="D233" s="31">
        <f t="shared" ca="1" si="18"/>
        <v>98.869018783397735</v>
      </c>
      <c r="E233" s="32">
        <v>66.244435274059612</v>
      </c>
      <c r="F233" s="32">
        <v>119.46027144562507</v>
      </c>
      <c r="G233" s="17"/>
      <c r="H233" s="17"/>
      <c r="I233" s="17"/>
      <c r="J233" s="17"/>
    </row>
    <row r="234" spans="3:10" x14ac:dyDescent="0.25">
      <c r="C234" s="31">
        <f t="shared" ref="C234:D253" ca="1" si="19">_xlfn.NORM.INV(RAND(),C$4,C$5)</f>
        <v>18.053886243196171</v>
      </c>
      <c r="D234" s="31">
        <f t="shared" ca="1" si="19"/>
        <v>113.58861874628219</v>
      </c>
      <c r="E234" s="32">
        <v>33.936848262169633</v>
      </c>
      <c r="F234" s="32">
        <v>114.66280020710359</v>
      </c>
      <c r="G234" s="17"/>
      <c r="H234" s="17"/>
      <c r="I234" s="17"/>
      <c r="J234" s="17"/>
    </row>
    <row r="235" spans="3:10" x14ac:dyDescent="0.25">
      <c r="C235" s="31">
        <f t="shared" ca="1" si="19"/>
        <v>49.361633862333072</v>
      </c>
      <c r="D235" s="31">
        <f t="shared" ca="1" si="19"/>
        <v>119.94423023102961</v>
      </c>
      <c r="E235" s="32">
        <v>80.283017851138482</v>
      </c>
      <c r="F235" s="32">
        <v>117.59689606911029</v>
      </c>
      <c r="G235" s="17"/>
      <c r="H235" s="17"/>
      <c r="I235" s="17"/>
      <c r="J235" s="17"/>
    </row>
    <row r="236" spans="3:10" x14ac:dyDescent="0.25">
      <c r="C236" s="31">
        <f t="shared" ca="1" si="19"/>
        <v>43.935904288112098</v>
      </c>
      <c r="D236" s="31">
        <f t="shared" ca="1" si="19"/>
        <v>120.5484501012252</v>
      </c>
      <c r="E236" s="32">
        <v>36.685638899618262</v>
      </c>
      <c r="F236" s="32">
        <v>91.103732233378992</v>
      </c>
      <c r="G236" s="17"/>
      <c r="H236" s="17"/>
      <c r="I236" s="17"/>
      <c r="J236" s="17"/>
    </row>
    <row r="237" spans="3:10" x14ac:dyDescent="0.25">
      <c r="C237" s="31">
        <f t="shared" ca="1" si="19"/>
        <v>40.2748154765886</v>
      </c>
      <c r="D237" s="31">
        <f t="shared" ca="1" si="19"/>
        <v>118.80351120480232</v>
      </c>
      <c r="E237" s="32">
        <v>78.691586472971551</v>
      </c>
      <c r="F237" s="32">
        <v>86.264776929277915</v>
      </c>
      <c r="G237" s="17"/>
      <c r="H237" s="17"/>
      <c r="I237" s="17"/>
      <c r="J237" s="17"/>
    </row>
    <row r="238" spans="3:10" x14ac:dyDescent="0.25">
      <c r="C238" s="31">
        <f t="shared" ca="1" si="19"/>
        <v>49.893553606889583</v>
      </c>
      <c r="D238" s="31">
        <f t="shared" ca="1" si="19"/>
        <v>89.579325157863437</v>
      </c>
      <c r="E238" s="32">
        <v>50.642881298278844</v>
      </c>
      <c r="F238" s="32">
        <v>120.38649717468638</v>
      </c>
      <c r="G238" s="17"/>
      <c r="H238" s="17"/>
      <c r="I238" s="17"/>
      <c r="J238" s="17"/>
    </row>
    <row r="239" spans="3:10" x14ac:dyDescent="0.25">
      <c r="C239" s="31">
        <f t="shared" ca="1" si="19"/>
        <v>23.011829110145005</v>
      </c>
      <c r="D239" s="31">
        <f t="shared" ca="1" si="19"/>
        <v>118.14459901955613</v>
      </c>
      <c r="E239" s="32">
        <v>56.000501581874225</v>
      </c>
      <c r="F239" s="32">
        <v>101.94648043300541</v>
      </c>
      <c r="G239" s="17"/>
      <c r="H239" s="17"/>
      <c r="I239" s="17"/>
      <c r="J239" s="17"/>
    </row>
    <row r="240" spans="3:10" x14ac:dyDescent="0.25">
      <c r="C240" s="31">
        <f t="shared" ca="1" si="19"/>
        <v>49.152240895938057</v>
      </c>
      <c r="D240" s="31">
        <f t="shared" ca="1" si="19"/>
        <v>89.506798505258985</v>
      </c>
      <c r="E240" s="32">
        <v>43.929023724117002</v>
      </c>
      <c r="F240" s="32">
        <v>109.1964189073278</v>
      </c>
      <c r="G240" s="17"/>
      <c r="H240" s="17"/>
      <c r="I240" s="17"/>
      <c r="J240" s="17"/>
    </row>
    <row r="241" spans="3:10" x14ac:dyDescent="0.25">
      <c r="C241" s="31">
        <f t="shared" ca="1" si="19"/>
        <v>72.62286316347118</v>
      </c>
      <c r="D241" s="31">
        <f t="shared" ca="1" si="19"/>
        <v>96.440196444754093</v>
      </c>
      <c r="E241" s="32">
        <v>68.100657333565977</v>
      </c>
      <c r="F241" s="32">
        <v>113.26500461946662</v>
      </c>
      <c r="G241" s="17"/>
      <c r="H241" s="17"/>
      <c r="I241" s="17"/>
      <c r="J241" s="17"/>
    </row>
    <row r="242" spans="3:10" x14ac:dyDescent="0.25">
      <c r="C242" s="31">
        <f t="shared" ca="1" si="19"/>
        <v>57.989643002725359</v>
      </c>
      <c r="D242" s="31">
        <f t="shared" ca="1" si="19"/>
        <v>108.24327965287107</v>
      </c>
      <c r="E242" s="32">
        <v>70.219972838882512</v>
      </c>
      <c r="F242" s="32">
        <v>89.469273387508167</v>
      </c>
      <c r="G242" s="17"/>
      <c r="H242" s="17"/>
      <c r="I242" s="17"/>
      <c r="J242" s="17"/>
    </row>
    <row r="243" spans="3:10" x14ac:dyDescent="0.25">
      <c r="C243" s="31">
        <f t="shared" ca="1" si="19"/>
        <v>39.051368797184658</v>
      </c>
      <c r="D243" s="31">
        <f t="shared" ca="1" si="19"/>
        <v>95.557951231633638</v>
      </c>
      <c r="E243" s="32">
        <v>41.937410894015628</v>
      </c>
      <c r="F243" s="32">
        <v>98.263143242908797</v>
      </c>
      <c r="G243" s="17"/>
      <c r="H243" s="17"/>
      <c r="I243" s="17"/>
      <c r="J243" s="17"/>
    </row>
    <row r="244" spans="3:10" x14ac:dyDescent="0.25">
      <c r="C244" s="31">
        <f t="shared" ca="1" si="19"/>
        <v>36.029003207310055</v>
      </c>
      <c r="D244" s="31">
        <f t="shared" ca="1" si="19"/>
        <v>119.01641316932015</v>
      </c>
      <c r="E244" s="32">
        <v>36.373863136604854</v>
      </c>
      <c r="F244" s="32">
        <v>112.72042339592711</v>
      </c>
      <c r="G244" s="17"/>
      <c r="H244" s="17"/>
      <c r="I244" s="17"/>
      <c r="J244" s="17"/>
    </row>
    <row r="245" spans="3:10" x14ac:dyDescent="0.25">
      <c r="C245" s="31">
        <f t="shared" ca="1" si="19"/>
        <v>69.603888738641871</v>
      </c>
      <c r="D245" s="31">
        <f t="shared" ca="1" si="19"/>
        <v>113.44872681957774</v>
      </c>
      <c r="E245" s="32">
        <v>34.087590117559017</v>
      </c>
      <c r="F245" s="32">
        <v>98.868949330143892</v>
      </c>
      <c r="G245" s="17"/>
      <c r="H245" s="17"/>
      <c r="I245" s="17"/>
      <c r="J245" s="17"/>
    </row>
    <row r="246" spans="3:10" x14ac:dyDescent="0.25">
      <c r="C246" s="31">
        <f t="shared" ca="1" si="19"/>
        <v>71.6115618878612</v>
      </c>
      <c r="D246" s="31">
        <f t="shared" ca="1" si="19"/>
        <v>106.44805972472285</v>
      </c>
      <c r="E246" s="32">
        <v>52.769597379134325</v>
      </c>
      <c r="F246" s="32">
        <v>111.14031507008828</v>
      </c>
      <c r="G246" s="17"/>
      <c r="H246" s="17"/>
      <c r="I246" s="17"/>
      <c r="J246" s="17"/>
    </row>
    <row r="247" spans="3:10" x14ac:dyDescent="0.25">
      <c r="C247" s="31">
        <f t="shared" ca="1" si="19"/>
        <v>37.257110531081317</v>
      </c>
      <c r="D247" s="31">
        <f t="shared" ca="1" si="19"/>
        <v>105.09610823934865</v>
      </c>
      <c r="E247" s="32">
        <v>71.576763958742177</v>
      </c>
      <c r="F247" s="32">
        <v>106.53298101958167</v>
      </c>
      <c r="G247" s="17"/>
      <c r="H247" s="17"/>
      <c r="I247" s="17"/>
      <c r="J247" s="17"/>
    </row>
    <row r="248" spans="3:10" x14ac:dyDescent="0.25">
      <c r="C248" s="31">
        <f t="shared" ca="1" si="19"/>
        <v>60.382648456994524</v>
      </c>
      <c r="D248" s="31">
        <f t="shared" ca="1" si="19"/>
        <v>132.37267246325891</v>
      </c>
      <c r="E248" s="32">
        <v>70.256221155962791</v>
      </c>
      <c r="F248" s="32">
        <v>122.21124649470369</v>
      </c>
      <c r="G248" s="17"/>
      <c r="H248" s="17"/>
      <c r="I248" s="17"/>
      <c r="J248" s="17"/>
    </row>
    <row r="249" spans="3:10" x14ac:dyDescent="0.25">
      <c r="C249" s="31">
        <f t="shared" ca="1" si="19"/>
        <v>44.03320265521721</v>
      </c>
      <c r="D249" s="31">
        <f t="shared" ca="1" si="19"/>
        <v>122.39670990761795</v>
      </c>
      <c r="E249" s="32">
        <v>39.476066112873887</v>
      </c>
      <c r="F249" s="32">
        <v>122.03339984933559</v>
      </c>
      <c r="G249" s="17"/>
      <c r="H249" s="17"/>
      <c r="I249" s="17"/>
      <c r="J249" s="17"/>
    </row>
    <row r="250" spans="3:10" x14ac:dyDescent="0.25">
      <c r="C250" s="31">
        <f t="shared" ca="1" si="19"/>
        <v>67.720334876910258</v>
      </c>
      <c r="D250" s="31">
        <f t="shared" ca="1" si="19"/>
        <v>107.31333922463757</v>
      </c>
      <c r="E250" s="32">
        <v>52.605897444171681</v>
      </c>
      <c r="F250" s="32">
        <v>125.41716375171936</v>
      </c>
      <c r="G250" s="17"/>
      <c r="H250" s="17"/>
      <c r="I250" s="17"/>
      <c r="J250" s="17"/>
    </row>
    <row r="251" spans="3:10" x14ac:dyDescent="0.25">
      <c r="C251" s="31">
        <f t="shared" ca="1" si="19"/>
        <v>76.184188705501327</v>
      </c>
      <c r="D251" s="31">
        <f t="shared" ca="1" si="19"/>
        <v>107.53278837452866</v>
      </c>
      <c r="E251" s="32">
        <v>64.89087825437953</v>
      </c>
      <c r="F251" s="32">
        <v>109.28896325894475</v>
      </c>
      <c r="G251" s="17"/>
      <c r="H251" s="17"/>
      <c r="I251" s="17"/>
      <c r="J251" s="17"/>
    </row>
    <row r="252" spans="3:10" x14ac:dyDescent="0.25">
      <c r="C252" s="31">
        <f t="shared" ca="1" si="19"/>
        <v>74.986429245714106</v>
      </c>
      <c r="D252" s="31">
        <f t="shared" ca="1" si="19"/>
        <v>89.436650562428269</v>
      </c>
      <c r="E252" s="32">
        <v>54.207044674926081</v>
      </c>
      <c r="F252" s="32">
        <v>121.60037102913154</v>
      </c>
      <c r="G252" s="17"/>
      <c r="H252" s="17"/>
      <c r="I252" s="17"/>
      <c r="J252" s="17"/>
    </row>
    <row r="253" spans="3:10" x14ac:dyDescent="0.25">
      <c r="C253" s="31">
        <f t="shared" ca="1" si="19"/>
        <v>61.407402420641816</v>
      </c>
      <c r="D253" s="31">
        <f t="shared" ca="1" si="19"/>
        <v>109.52380378866096</v>
      </c>
      <c r="E253" s="32">
        <v>52.521557519170777</v>
      </c>
      <c r="F253" s="32">
        <v>115.46581705485949</v>
      </c>
      <c r="G253" s="17"/>
      <c r="H253" s="17"/>
      <c r="I253" s="17"/>
      <c r="J253" s="17"/>
    </row>
    <row r="254" spans="3:10" x14ac:dyDescent="0.25">
      <c r="C254" s="31">
        <f t="shared" ref="C254:D273" ca="1" si="20">_xlfn.NORM.INV(RAND(),C$4,C$5)</f>
        <v>20.116179870275513</v>
      </c>
      <c r="D254" s="31">
        <f t="shared" ca="1" si="20"/>
        <v>96.204700549365924</v>
      </c>
      <c r="E254" s="32">
        <v>40.328700707064833</v>
      </c>
      <c r="F254" s="32">
        <v>88.637483699853234</v>
      </c>
      <c r="G254" s="17"/>
      <c r="H254" s="17"/>
      <c r="I254" s="17"/>
      <c r="J254" s="17"/>
    </row>
    <row r="255" spans="3:10" x14ac:dyDescent="0.25">
      <c r="C255" s="31">
        <f t="shared" ca="1" si="20"/>
        <v>56.791223157880644</v>
      </c>
      <c r="D255" s="31">
        <f t="shared" ca="1" si="20"/>
        <v>91.765569653953918</v>
      </c>
      <c r="E255" s="32">
        <v>43.693641264119321</v>
      </c>
      <c r="F255" s="32">
        <v>105.63539358625171</v>
      </c>
      <c r="G255" s="17"/>
      <c r="H255" s="17"/>
      <c r="I255" s="17"/>
      <c r="J255" s="17"/>
    </row>
    <row r="256" spans="3:10" x14ac:dyDescent="0.25">
      <c r="C256" s="31">
        <f t="shared" ca="1" si="20"/>
        <v>64.885937008566955</v>
      </c>
      <c r="D256" s="31">
        <f t="shared" ca="1" si="20"/>
        <v>116.94537483887454</v>
      </c>
      <c r="E256" s="32">
        <v>46.521234585199373</v>
      </c>
      <c r="F256" s="32">
        <v>110.10231785588216</v>
      </c>
      <c r="G256" s="17"/>
      <c r="H256" s="17"/>
      <c r="I256" s="17"/>
      <c r="J256" s="17"/>
    </row>
    <row r="257" spans="3:10" x14ac:dyDescent="0.25">
      <c r="C257" s="31">
        <f t="shared" ca="1" si="20"/>
        <v>14.341961486092814</v>
      </c>
      <c r="D257" s="31">
        <f t="shared" ca="1" si="20"/>
        <v>139.10960328002847</v>
      </c>
      <c r="E257" s="32">
        <v>62.464080417204904</v>
      </c>
      <c r="F257" s="32">
        <v>101.58361583500677</v>
      </c>
      <c r="G257" s="17"/>
      <c r="H257" s="17"/>
      <c r="I257" s="17"/>
      <c r="J257" s="17"/>
    </row>
    <row r="258" spans="3:10" x14ac:dyDescent="0.25">
      <c r="C258" s="31">
        <f t="shared" ca="1" si="20"/>
        <v>17.809112418811203</v>
      </c>
      <c r="D258" s="31">
        <f t="shared" ca="1" si="20"/>
        <v>103.01369899727692</v>
      </c>
      <c r="E258" s="32">
        <v>55.977634151158931</v>
      </c>
      <c r="F258" s="32">
        <v>107.65244152522205</v>
      </c>
      <c r="G258" s="17"/>
      <c r="H258" s="17"/>
      <c r="I258" s="17"/>
      <c r="J258" s="17"/>
    </row>
    <row r="259" spans="3:10" x14ac:dyDescent="0.25">
      <c r="C259" s="31">
        <f t="shared" ca="1" si="20"/>
        <v>36.258254196563172</v>
      </c>
      <c r="D259" s="31">
        <f t="shared" ca="1" si="20"/>
        <v>101.74951431112041</v>
      </c>
      <c r="E259" s="32">
        <v>38.46088677340321</v>
      </c>
      <c r="F259" s="32">
        <v>144.77569291680749</v>
      </c>
      <c r="G259" s="17"/>
      <c r="H259" s="17"/>
      <c r="I259" s="17"/>
      <c r="J259" s="17"/>
    </row>
    <row r="260" spans="3:10" x14ac:dyDescent="0.25">
      <c r="C260" s="31">
        <f t="shared" ca="1" si="20"/>
        <v>35.613855880985774</v>
      </c>
      <c r="D260" s="31">
        <f t="shared" ca="1" si="20"/>
        <v>125.31505728494072</v>
      </c>
      <c r="E260" s="32">
        <v>61.463418154807826</v>
      </c>
      <c r="F260" s="32">
        <v>130.02984288459021</v>
      </c>
      <c r="G260" s="17"/>
      <c r="H260" s="17"/>
      <c r="I260" s="17"/>
      <c r="J260" s="17"/>
    </row>
    <row r="261" spans="3:10" x14ac:dyDescent="0.25">
      <c r="C261" s="31">
        <f t="shared" ca="1" si="20"/>
        <v>54.307801826930394</v>
      </c>
      <c r="D261" s="31">
        <f t="shared" ca="1" si="20"/>
        <v>118.2661476855818</v>
      </c>
      <c r="E261" s="32">
        <v>60.080861214148506</v>
      </c>
      <c r="F261" s="32">
        <v>118.51936815555663</v>
      </c>
      <c r="G261" s="17"/>
      <c r="H261" s="17"/>
      <c r="I261" s="17"/>
      <c r="J261" s="17"/>
    </row>
    <row r="262" spans="3:10" x14ac:dyDescent="0.25">
      <c r="C262" s="31">
        <f t="shared" ca="1" si="20"/>
        <v>48.602969277272074</v>
      </c>
      <c r="D262" s="31">
        <f t="shared" ca="1" si="20"/>
        <v>99.911003482240318</v>
      </c>
      <c r="E262" s="32">
        <v>41.491353612626334</v>
      </c>
      <c r="F262" s="32">
        <v>120.26920070821024</v>
      </c>
      <c r="G262" s="17"/>
      <c r="H262" s="17"/>
      <c r="I262" s="17"/>
      <c r="J262" s="17"/>
    </row>
    <row r="263" spans="3:10" x14ac:dyDescent="0.25">
      <c r="C263" s="31">
        <f t="shared" ca="1" si="20"/>
        <v>84.375296304379063</v>
      </c>
      <c r="D263" s="31">
        <f t="shared" ca="1" si="20"/>
        <v>123.54695384743545</v>
      </c>
      <c r="E263" s="32">
        <v>32.527791517653029</v>
      </c>
      <c r="F263" s="32">
        <v>132.58824824702151</v>
      </c>
      <c r="G263" s="17"/>
      <c r="H263" s="17"/>
      <c r="I263" s="17"/>
      <c r="J263" s="17"/>
    </row>
    <row r="264" spans="3:10" x14ac:dyDescent="0.25">
      <c r="C264" s="31">
        <f t="shared" ca="1" si="20"/>
        <v>42.260259348176049</v>
      </c>
      <c r="D264" s="31">
        <f t="shared" ca="1" si="20"/>
        <v>113.64840857292582</v>
      </c>
      <c r="E264" s="32">
        <v>31.727513767044851</v>
      </c>
      <c r="F264" s="32">
        <v>119.64151290138734</v>
      </c>
      <c r="G264" s="17"/>
      <c r="H264" s="17"/>
      <c r="I264" s="17"/>
      <c r="J264" s="17"/>
    </row>
    <row r="265" spans="3:10" x14ac:dyDescent="0.25">
      <c r="C265" s="31">
        <f t="shared" ca="1" si="20"/>
        <v>45.242126952380694</v>
      </c>
      <c r="D265" s="31">
        <f t="shared" ca="1" si="20"/>
        <v>123.57804380553776</v>
      </c>
      <c r="E265" s="32">
        <v>59.338749444338724</v>
      </c>
      <c r="F265" s="32">
        <v>108.66859722023023</v>
      </c>
      <c r="G265" s="17"/>
      <c r="H265" s="17"/>
      <c r="I265" s="17"/>
      <c r="J265" s="17"/>
    </row>
    <row r="266" spans="3:10" x14ac:dyDescent="0.25">
      <c r="C266" s="31">
        <f t="shared" ca="1" si="20"/>
        <v>46.100070690132405</v>
      </c>
      <c r="D266" s="31">
        <f t="shared" ca="1" si="20"/>
        <v>118.6867740070554</v>
      </c>
      <c r="E266" s="32">
        <v>44.001524716046326</v>
      </c>
      <c r="F266" s="32">
        <v>99.513227548608114</v>
      </c>
      <c r="G266" s="17"/>
      <c r="H266" s="17"/>
      <c r="I266" s="17"/>
      <c r="J266" s="17"/>
    </row>
    <row r="267" spans="3:10" x14ac:dyDescent="0.25">
      <c r="C267" s="31">
        <f t="shared" ca="1" si="20"/>
        <v>49.019643963462734</v>
      </c>
      <c r="D267" s="31">
        <f t="shared" ca="1" si="20"/>
        <v>86.345528141580075</v>
      </c>
      <c r="E267" s="32">
        <v>48.542016809198437</v>
      </c>
      <c r="F267" s="32">
        <v>130.88203932115118</v>
      </c>
      <c r="G267" s="17"/>
      <c r="H267" s="17"/>
      <c r="I267" s="17"/>
      <c r="J267" s="17"/>
    </row>
    <row r="268" spans="3:10" x14ac:dyDescent="0.25">
      <c r="C268" s="31">
        <f t="shared" ca="1" si="20"/>
        <v>63.457215709849159</v>
      </c>
      <c r="D268" s="31">
        <f t="shared" ca="1" si="20"/>
        <v>104.12617668503549</v>
      </c>
      <c r="E268" s="32">
        <v>47.530081866535625</v>
      </c>
      <c r="F268" s="32">
        <v>102.00268922705419</v>
      </c>
      <c r="G268" s="17"/>
      <c r="H268" s="17"/>
      <c r="I268" s="17"/>
      <c r="J268" s="17"/>
    </row>
    <row r="269" spans="3:10" x14ac:dyDescent="0.25">
      <c r="C269" s="31">
        <f t="shared" ca="1" si="20"/>
        <v>37.28637223669844</v>
      </c>
      <c r="D269" s="31">
        <f t="shared" ca="1" si="20"/>
        <v>103.27529071656707</v>
      </c>
      <c r="E269" s="32">
        <v>64.465066465032962</v>
      </c>
      <c r="F269" s="32">
        <v>99.25841732578526</v>
      </c>
      <c r="G269" s="17"/>
      <c r="H269" s="17"/>
      <c r="I269" s="17"/>
      <c r="J269" s="17"/>
    </row>
    <row r="270" spans="3:10" x14ac:dyDescent="0.25">
      <c r="C270" s="31">
        <f t="shared" ca="1" si="20"/>
        <v>72.028872428478948</v>
      </c>
      <c r="D270" s="31">
        <f t="shared" ca="1" si="20"/>
        <v>106.7609479143408</v>
      </c>
      <c r="E270" s="32">
        <v>32.61766284403155</v>
      </c>
      <c r="F270" s="32">
        <v>110.8372375314076</v>
      </c>
      <c r="G270" s="17"/>
      <c r="H270" s="17"/>
      <c r="I270" s="17"/>
      <c r="J270" s="17"/>
    </row>
    <row r="271" spans="3:10" x14ac:dyDescent="0.25">
      <c r="C271" s="31">
        <f t="shared" ca="1" si="20"/>
        <v>11.996256217267685</v>
      </c>
      <c r="D271" s="31">
        <f t="shared" ca="1" si="20"/>
        <v>90.566251975502212</v>
      </c>
      <c r="E271" s="32">
        <v>68.186362894946626</v>
      </c>
      <c r="F271" s="32">
        <v>103.36543632385732</v>
      </c>
      <c r="G271" s="17"/>
      <c r="H271" s="17"/>
      <c r="I271" s="17"/>
      <c r="J271" s="17"/>
    </row>
    <row r="272" spans="3:10" x14ac:dyDescent="0.25">
      <c r="C272" s="31">
        <f t="shared" ca="1" si="20"/>
        <v>35.156335913624147</v>
      </c>
      <c r="D272" s="31">
        <f t="shared" ca="1" si="20"/>
        <v>111.31182123542327</v>
      </c>
      <c r="E272" s="32">
        <v>20.874686727842967</v>
      </c>
      <c r="F272" s="32">
        <v>115.1561347214832</v>
      </c>
      <c r="G272" s="17"/>
      <c r="H272" s="17"/>
      <c r="I272" s="17"/>
      <c r="J272" s="17"/>
    </row>
    <row r="273" spans="3:10" x14ac:dyDescent="0.25">
      <c r="C273" s="31">
        <f t="shared" ca="1" si="20"/>
        <v>34.389798570503345</v>
      </c>
      <c r="D273" s="31">
        <f t="shared" ca="1" si="20"/>
        <v>125.96771497893813</v>
      </c>
      <c r="E273" s="32">
        <v>64.226959343724715</v>
      </c>
      <c r="F273" s="32">
        <v>101.7900138153025</v>
      </c>
      <c r="G273" s="17"/>
      <c r="H273" s="17"/>
      <c r="I273" s="17"/>
      <c r="J273" s="17"/>
    </row>
    <row r="274" spans="3:10" x14ac:dyDescent="0.25">
      <c r="C274" s="31">
        <f t="shared" ref="C274:D293" ca="1" si="21">_xlfn.NORM.INV(RAND(),C$4,C$5)</f>
        <v>41.870809872723072</v>
      </c>
      <c r="D274" s="31">
        <f t="shared" ca="1" si="21"/>
        <v>128.38255755457385</v>
      </c>
      <c r="E274" s="32">
        <v>51.155797283147606</v>
      </c>
      <c r="F274" s="32">
        <v>102.52397002894514</v>
      </c>
      <c r="G274" s="17"/>
      <c r="H274" s="17"/>
      <c r="I274" s="17"/>
      <c r="J274" s="17"/>
    </row>
    <row r="275" spans="3:10" x14ac:dyDescent="0.25">
      <c r="C275" s="31">
        <f t="shared" ca="1" si="21"/>
        <v>42.761916967496248</v>
      </c>
      <c r="D275" s="31">
        <f t="shared" ca="1" si="21"/>
        <v>110.86430234064713</v>
      </c>
      <c r="E275" s="32">
        <v>47.286227140510981</v>
      </c>
      <c r="F275" s="32">
        <v>111.18722909379488</v>
      </c>
      <c r="G275" s="17"/>
      <c r="H275" s="17"/>
      <c r="I275" s="17"/>
      <c r="J275" s="17"/>
    </row>
    <row r="276" spans="3:10" x14ac:dyDescent="0.25">
      <c r="C276" s="31">
        <f t="shared" ca="1" si="21"/>
        <v>13.09018387104696</v>
      </c>
      <c r="D276" s="31">
        <f t="shared" ca="1" si="21"/>
        <v>101.27865280990319</v>
      </c>
      <c r="E276" s="32">
        <v>40.723113534758859</v>
      </c>
      <c r="F276" s="32">
        <v>108.5614418613907</v>
      </c>
      <c r="G276" s="17"/>
      <c r="H276" s="17"/>
      <c r="I276" s="17"/>
      <c r="J276" s="17"/>
    </row>
    <row r="277" spans="3:10" x14ac:dyDescent="0.25">
      <c r="C277" s="31">
        <f t="shared" ca="1" si="21"/>
        <v>56.370295683306509</v>
      </c>
      <c r="D277" s="31">
        <f t="shared" ca="1" si="21"/>
        <v>100.72310521889652</v>
      </c>
      <c r="E277" s="32">
        <v>39.600846886969862</v>
      </c>
      <c r="F277" s="32">
        <v>115.95481762891512</v>
      </c>
      <c r="G277" s="17"/>
      <c r="H277" s="17"/>
      <c r="I277" s="17"/>
      <c r="J277" s="17"/>
    </row>
    <row r="278" spans="3:10" x14ac:dyDescent="0.25">
      <c r="C278" s="31">
        <f t="shared" ca="1" si="21"/>
        <v>-3.3988860736828173</v>
      </c>
      <c r="D278" s="31">
        <f t="shared" ca="1" si="21"/>
        <v>113.42905526143046</v>
      </c>
      <c r="E278" s="32">
        <v>-2.6829047923233418</v>
      </c>
      <c r="F278" s="32">
        <v>98.228404452664037</v>
      </c>
      <c r="G278" s="17"/>
      <c r="H278" s="17"/>
      <c r="I278" s="17"/>
      <c r="J278" s="17"/>
    </row>
    <row r="279" spans="3:10" x14ac:dyDescent="0.25">
      <c r="C279" s="31">
        <f t="shared" ca="1" si="21"/>
        <v>53.415424342343087</v>
      </c>
      <c r="D279" s="31">
        <f t="shared" ca="1" si="21"/>
        <v>102.66301657381742</v>
      </c>
      <c r="E279" s="32">
        <v>57.314600068003955</v>
      </c>
      <c r="F279" s="32">
        <v>124.31115182046956</v>
      </c>
      <c r="G279" s="17"/>
      <c r="H279" s="17"/>
      <c r="I279" s="17"/>
      <c r="J279" s="17"/>
    </row>
    <row r="280" spans="3:10" x14ac:dyDescent="0.25">
      <c r="C280" s="31">
        <f t="shared" ca="1" si="21"/>
        <v>65.979505692536037</v>
      </c>
      <c r="D280" s="31">
        <f t="shared" ca="1" si="21"/>
        <v>102.57224658765159</v>
      </c>
      <c r="E280" s="32">
        <v>48.633210327244782</v>
      </c>
      <c r="F280" s="32">
        <v>146.67116502983851</v>
      </c>
      <c r="G280" s="17"/>
      <c r="H280" s="17"/>
      <c r="I280" s="17"/>
      <c r="J280" s="17"/>
    </row>
    <row r="281" spans="3:10" x14ac:dyDescent="0.25">
      <c r="C281" s="31">
        <f t="shared" ca="1" si="21"/>
        <v>45.492230961680839</v>
      </c>
      <c r="D281" s="31">
        <f t="shared" ca="1" si="21"/>
        <v>92.082403578644289</v>
      </c>
      <c r="E281" s="32">
        <v>19.718283251845243</v>
      </c>
      <c r="F281" s="32">
        <v>96.928296588740963</v>
      </c>
      <c r="G281" s="17"/>
      <c r="H281" s="17"/>
      <c r="I281" s="17"/>
      <c r="J281" s="17"/>
    </row>
    <row r="282" spans="3:10" x14ac:dyDescent="0.25">
      <c r="C282" s="31">
        <f t="shared" ca="1" si="21"/>
        <v>74.335920620010356</v>
      </c>
      <c r="D282" s="31">
        <f t="shared" ca="1" si="21"/>
        <v>107.97331036654582</v>
      </c>
      <c r="E282" s="32">
        <v>72.174536149178039</v>
      </c>
      <c r="F282" s="32">
        <v>110.89213649854256</v>
      </c>
      <c r="G282" s="17"/>
      <c r="H282" s="17"/>
      <c r="I282" s="17"/>
      <c r="J282" s="17"/>
    </row>
    <row r="283" spans="3:10" x14ac:dyDescent="0.25">
      <c r="C283" s="31">
        <f t="shared" ca="1" si="21"/>
        <v>25.761771809388367</v>
      </c>
      <c r="D283" s="31">
        <f t="shared" ca="1" si="21"/>
        <v>115.36394397391453</v>
      </c>
      <c r="E283" s="32">
        <v>67.174004642903412</v>
      </c>
      <c r="F283" s="32">
        <v>102.82765819492306</v>
      </c>
      <c r="G283" s="17"/>
      <c r="H283" s="17"/>
      <c r="I283" s="17"/>
      <c r="J283" s="17"/>
    </row>
    <row r="284" spans="3:10" x14ac:dyDescent="0.25">
      <c r="C284" s="31">
        <f t="shared" ca="1" si="21"/>
        <v>60.023239600814513</v>
      </c>
      <c r="D284" s="31">
        <f t="shared" ca="1" si="21"/>
        <v>112.76934438932196</v>
      </c>
      <c r="E284" s="32">
        <v>63.859222246290585</v>
      </c>
      <c r="F284" s="32">
        <v>133.06961813919312</v>
      </c>
      <c r="G284" s="17"/>
      <c r="H284" s="17"/>
      <c r="I284" s="17"/>
      <c r="J284" s="17"/>
    </row>
    <row r="285" spans="3:10" x14ac:dyDescent="0.25">
      <c r="C285" s="31">
        <f t="shared" ca="1" si="21"/>
        <v>57.273393789533436</v>
      </c>
      <c r="D285" s="31">
        <f t="shared" ca="1" si="21"/>
        <v>120.22100750692348</v>
      </c>
      <c r="E285" s="32">
        <v>23.484747855807633</v>
      </c>
      <c r="F285" s="32">
        <v>108.72388448308388</v>
      </c>
      <c r="G285" s="17"/>
      <c r="H285" s="17"/>
      <c r="I285" s="17"/>
      <c r="J285" s="17"/>
    </row>
    <row r="286" spans="3:10" x14ac:dyDescent="0.25">
      <c r="C286" s="31">
        <f t="shared" ca="1" si="21"/>
        <v>39.340370387421366</v>
      </c>
      <c r="D286" s="31">
        <f t="shared" ca="1" si="21"/>
        <v>85.374488457643082</v>
      </c>
      <c r="E286" s="32">
        <v>62.81104263861473</v>
      </c>
      <c r="F286" s="32">
        <v>107.47671402365846</v>
      </c>
      <c r="G286" s="17"/>
      <c r="H286" s="17"/>
      <c r="I286" s="17"/>
      <c r="J286" s="17"/>
    </row>
    <row r="287" spans="3:10" x14ac:dyDescent="0.25">
      <c r="C287" s="31">
        <f t="shared" ca="1" si="21"/>
        <v>18.762915810753753</v>
      </c>
      <c r="D287" s="31">
        <f t="shared" ca="1" si="21"/>
        <v>110.25163012713152</v>
      </c>
      <c r="E287" s="32">
        <v>72.565786357325067</v>
      </c>
      <c r="F287" s="32">
        <v>98.493798918382694</v>
      </c>
      <c r="G287" s="17"/>
      <c r="H287" s="17"/>
      <c r="I287" s="17"/>
      <c r="J287" s="17"/>
    </row>
    <row r="288" spans="3:10" x14ac:dyDescent="0.25">
      <c r="C288" s="31">
        <f t="shared" ca="1" si="21"/>
        <v>51.182536916597627</v>
      </c>
      <c r="D288" s="31">
        <f t="shared" ca="1" si="21"/>
        <v>103.40004130717628</v>
      </c>
      <c r="E288" s="32">
        <v>44.532424691300776</v>
      </c>
      <c r="F288" s="32">
        <v>117.99279640832604</v>
      </c>
      <c r="G288" s="17"/>
      <c r="H288" s="17"/>
      <c r="I288" s="17"/>
      <c r="J288" s="17"/>
    </row>
    <row r="289" spans="3:10" x14ac:dyDescent="0.25">
      <c r="C289" s="31">
        <f t="shared" ca="1" si="21"/>
        <v>9.9191076511337926</v>
      </c>
      <c r="D289" s="31">
        <f t="shared" ca="1" si="21"/>
        <v>105.88218357470525</v>
      </c>
      <c r="E289" s="32">
        <v>44.227352607614478</v>
      </c>
      <c r="F289" s="32">
        <v>110.60506944160578</v>
      </c>
      <c r="G289" s="17"/>
      <c r="H289" s="17"/>
      <c r="I289" s="17"/>
      <c r="J289" s="17"/>
    </row>
    <row r="290" spans="3:10" x14ac:dyDescent="0.25">
      <c r="C290" s="31">
        <f t="shared" ca="1" si="21"/>
        <v>51.709067575572782</v>
      </c>
      <c r="D290" s="31">
        <f t="shared" ca="1" si="21"/>
        <v>101.68556779667128</v>
      </c>
      <c r="E290" s="32">
        <v>28.772397218248557</v>
      </c>
      <c r="F290" s="32">
        <v>103.88071641098165</v>
      </c>
      <c r="G290" s="17"/>
      <c r="H290" s="17"/>
      <c r="I290" s="17"/>
      <c r="J290" s="17"/>
    </row>
    <row r="291" spans="3:10" x14ac:dyDescent="0.25">
      <c r="C291" s="31">
        <f t="shared" ca="1" si="21"/>
        <v>71.965119582803354</v>
      </c>
      <c r="D291" s="31">
        <f t="shared" ca="1" si="21"/>
        <v>107.51842243519494</v>
      </c>
      <c r="E291" s="32">
        <v>28.944233949950494</v>
      </c>
      <c r="F291" s="32">
        <v>90.490266874050576</v>
      </c>
      <c r="G291" s="17"/>
      <c r="H291" s="17"/>
      <c r="I291" s="17"/>
      <c r="J291" s="17"/>
    </row>
    <row r="292" spans="3:10" x14ac:dyDescent="0.25">
      <c r="C292" s="31">
        <f t="shared" ca="1" si="21"/>
        <v>63.386499881082088</v>
      </c>
      <c r="D292" s="31">
        <f t="shared" ca="1" si="21"/>
        <v>110.99353041449186</v>
      </c>
      <c r="E292" s="32">
        <v>41.095964593308423</v>
      </c>
      <c r="F292" s="32">
        <v>114.14232258928486</v>
      </c>
      <c r="G292" s="17"/>
      <c r="H292" s="17"/>
      <c r="I292" s="17"/>
      <c r="J292" s="17"/>
    </row>
    <row r="293" spans="3:10" x14ac:dyDescent="0.25">
      <c r="C293" s="31">
        <f t="shared" ca="1" si="21"/>
        <v>35.918229034396511</v>
      </c>
      <c r="D293" s="31">
        <f t="shared" ca="1" si="21"/>
        <v>128.91658846164813</v>
      </c>
      <c r="E293" s="32">
        <v>37.860014721677352</v>
      </c>
      <c r="F293" s="32">
        <v>116.31069819499675</v>
      </c>
      <c r="G293" s="17"/>
      <c r="H293" s="17"/>
      <c r="I293" s="17"/>
      <c r="J293" s="17"/>
    </row>
    <row r="294" spans="3:10" x14ac:dyDescent="0.25">
      <c r="C294" s="31">
        <f t="shared" ref="C294:D313" ca="1" si="22">_xlfn.NORM.INV(RAND(),C$4,C$5)</f>
        <v>-1.2856654882996423</v>
      </c>
      <c r="D294" s="31">
        <f t="shared" ca="1" si="22"/>
        <v>106.19955766783907</v>
      </c>
      <c r="E294" s="32">
        <v>56.963893771642063</v>
      </c>
      <c r="F294" s="32">
        <v>108.52744555146043</v>
      </c>
      <c r="G294" s="17"/>
      <c r="H294" s="17"/>
      <c r="I294" s="17"/>
      <c r="J294" s="17"/>
    </row>
    <row r="295" spans="3:10" x14ac:dyDescent="0.25">
      <c r="C295" s="31">
        <f t="shared" ca="1" si="22"/>
        <v>72.545237447285416</v>
      </c>
      <c r="D295" s="31">
        <f t="shared" ca="1" si="22"/>
        <v>120.50113872955463</v>
      </c>
      <c r="E295" s="32">
        <v>79.119097721727542</v>
      </c>
      <c r="F295" s="32">
        <v>114.26056110159081</v>
      </c>
      <c r="G295" s="17"/>
      <c r="H295" s="17"/>
      <c r="I295" s="17"/>
      <c r="J295" s="17"/>
    </row>
    <row r="296" spans="3:10" x14ac:dyDescent="0.25">
      <c r="C296" s="31">
        <f t="shared" ca="1" si="22"/>
        <v>40.846835327108536</v>
      </c>
      <c r="D296" s="31">
        <f t="shared" ca="1" si="22"/>
        <v>117.97820010807462</v>
      </c>
      <c r="E296" s="32">
        <v>43.496057108574732</v>
      </c>
      <c r="F296" s="32">
        <v>114.53649651765127</v>
      </c>
      <c r="G296" s="17"/>
      <c r="H296" s="17"/>
      <c r="I296" s="17"/>
      <c r="J296" s="17"/>
    </row>
    <row r="297" spans="3:10" x14ac:dyDescent="0.25">
      <c r="C297" s="31">
        <f t="shared" ca="1" si="22"/>
        <v>22.038069476565795</v>
      </c>
      <c r="D297" s="31">
        <f t="shared" ca="1" si="22"/>
        <v>96.795376617936284</v>
      </c>
      <c r="E297" s="32">
        <v>35.956203107700972</v>
      </c>
      <c r="F297" s="32">
        <v>97.829830269148857</v>
      </c>
      <c r="G297" s="17"/>
      <c r="H297" s="17"/>
      <c r="I297" s="17"/>
      <c r="J297" s="17"/>
    </row>
    <row r="298" spans="3:10" x14ac:dyDescent="0.25">
      <c r="C298" s="31">
        <f t="shared" ca="1" si="22"/>
        <v>20.914880806712368</v>
      </c>
      <c r="D298" s="31">
        <f t="shared" ca="1" si="22"/>
        <v>104.08148108985756</v>
      </c>
      <c r="E298" s="32">
        <v>46.559150543697321</v>
      </c>
      <c r="F298" s="32">
        <v>109.62910900911163</v>
      </c>
      <c r="G298" s="17"/>
      <c r="H298" s="17"/>
      <c r="I298" s="17"/>
      <c r="J298" s="17"/>
    </row>
    <row r="299" spans="3:10" x14ac:dyDescent="0.25">
      <c r="C299" s="31">
        <f t="shared" ca="1" si="22"/>
        <v>38.287961188626994</v>
      </c>
      <c r="D299" s="31">
        <f t="shared" ca="1" si="22"/>
        <v>122.91798906989379</v>
      </c>
      <c r="E299" s="32">
        <v>67.452244986642114</v>
      </c>
      <c r="F299" s="32">
        <v>106.38610224883173</v>
      </c>
      <c r="G299" s="17"/>
      <c r="H299" s="17"/>
      <c r="I299" s="17"/>
      <c r="J299" s="17"/>
    </row>
    <row r="300" spans="3:10" x14ac:dyDescent="0.25">
      <c r="C300" s="31">
        <f t="shared" ca="1" si="22"/>
        <v>48.141258462520589</v>
      </c>
      <c r="D300" s="31">
        <f t="shared" ca="1" si="22"/>
        <v>110.21690863525789</v>
      </c>
      <c r="E300" s="32">
        <v>57.046361232963044</v>
      </c>
      <c r="F300" s="32">
        <v>123.37887190706361</v>
      </c>
      <c r="G300" s="17"/>
      <c r="H300" s="17"/>
      <c r="I300" s="17"/>
      <c r="J300" s="17"/>
    </row>
    <row r="301" spans="3:10" x14ac:dyDescent="0.25">
      <c r="C301" s="31">
        <f t="shared" ca="1" si="22"/>
        <v>66.930456190238829</v>
      </c>
      <c r="D301" s="31">
        <f t="shared" ca="1" si="22"/>
        <v>118.08806344154287</v>
      </c>
      <c r="E301" s="32">
        <v>28.405606410274558</v>
      </c>
      <c r="F301" s="32">
        <v>112.18100121207586</v>
      </c>
      <c r="G301" s="17"/>
      <c r="H301" s="17"/>
      <c r="I301" s="17"/>
      <c r="J301" s="17"/>
    </row>
    <row r="302" spans="3:10" x14ac:dyDescent="0.25">
      <c r="C302" s="31">
        <f t="shared" ca="1" si="22"/>
        <v>47.636625418285107</v>
      </c>
      <c r="D302" s="31">
        <f t="shared" ca="1" si="22"/>
        <v>111.10780459550401</v>
      </c>
      <c r="E302" s="32">
        <v>52.10205382978269</v>
      </c>
      <c r="F302" s="32">
        <v>103.94634026820704</v>
      </c>
      <c r="G302" s="17"/>
      <c r="H302" s="17"/>
      <c r="I302" s="17"/>
      <c r="J302" s="17"/>
    </row>
    <row r="303" spans="3:10" x14ac:dyDescent="0.25">
      <c r="C303" s="31">
        <f t="shared" ca="1" si="22"/>
        <v>23.953612146942628</v>
      </c>
      <c r="D303" s="31">
        <f t="shared" ca="1" si="22"/>
        <v>161.56989506515575</v>
      </c>
      <c r="E303" s="32">
        <v>40.509085331283444</v>
      </c>
      <c r="F303" s="32">
        <v>100.36108080671777</v>
      </c>
      <c r="G303" s="17"/>
      <c r="H303" s="17"/>
      <c r="I303" s="17"/>
      <c r="J303" s="17"/>
    </row>
    <row r="304" spans="3:10" x14ac:dyDescent="0.25">
      <c r="C304" s="31">
        <f t="shared" ca="1" si="22"/>
        <v>25.845404349676283</v>
      </c>
      <c r="D304" s="31">
        <f t="shared" ca="1" si="22"/>
        <v>137.94774852077629</v>
      </c>
      <c r="E304" s="32">
        <v>70.532126259824665</v>
      </c>
      <c r="F304" s="32">
        <v>96.212146543854672</v>
      </c>
      <c r="G304" s="17"/>
      <c r="H304" s="17"/>
      <c r="I304" s="17"/>
      <c r="J304" s="17"/>
    </row>
    <row r="305" spans="3:10" x14ac:dyDescent="0.25">
      <c r="C305" s="31">
        <f t="shared" ca="1" si="22"/>
        <v>45.558383328039142</v>
      </c>
      <c r="D305" s="31">
        <f t="shared" ca="1" si="22"/>
        <v>125.28790178705449</v>
      </c>
      <c r="E305" s="32">
        <v>42.293662590359396</v>
      </c>
      <c r="F305" s="32">
        <v>113.14183033607129</v>
      </c>
      <c r="G305" s="17"/>
      <c r="H305" s="17"/>
      <c r="I305" s="17"/>
      <c r="J305" s="17"/>
    </row>
    <row r="306" spans="3:10" x14ac:dyDescent="0.25">
      <c r="C306" s="31">
        <f t="shared" ca="1" si="22"/>
        <v>45.871716664424731</v>
      </c>
      <c r="D306" s="31">
        <f t="shared" ca="1" si="22"/>
        <v>124.91888898342525</v>
      </c>
      <c r="E306" s="32">
        <v>10.537173059584852</v>
      </c>
      <c r="F306" s="32">
        <v>128.31120150872849</v>
      </c>
      <c r="G306" s="17"/>
      <c r="H306" s="17"/>
      <c r="I306" s="17"/>
      <c r="J306" s="17"/>
    </row>
    <row r="307" spans="3:10" x14ac:dyDescent="0.25">
      <c r="C307" s="31">
        <f t="shared" ca="1" si="22"/>
        <v>50.135596343791832</v>
      </c>
      <c r="D307" s="31">
        <f t="shared" ca="1" si="22"/>
        <v>132.38777272896212</v>
      </c>
      <c r="E307" s="32">
        <v>32.639958520255263</v>
      </c>
      <c r="F307" s="32">
        <v>135.8616576536935</v>
      </c>
      <c r="G307" s="17"/>
      <c r="H307" s="17"/>
      <c r="I307" s="17"/>
      <c r="J307" s="17"/>
    </row>
    <row r="308" spans="3:10" x14ac:dyDescent="0.25">
      <c r="C308" s="31">
        <f t="shared" ca="1" si="22"/>
        <v>56.698472705614442</v>
      </c>
      <c r="D308" s="31">
        <f t="shared" ca="1" si="22"/>
        <v>102.66234362730496</v>
      </c>
      <c r="E308" s="32">
        <v>56.160328503717622</v>
      </c>
      <c r="F308" s="32">
        <v>115.72029803026685</v>
      </c>
      <c r="G308" s="17"/>
      <c r="H308" s="17"/>
      <c r="I308" s="17"/>
      <c r="J308" s="17"/>
    </row>
    <row r="309" spans="3:10" x14ac:dyDescent="0.25">
      <c r="C309" s="31">
        <f t="shared" ca="1" si="22"/>
        <v>44.396208489033647</v>
      </c>
      <c r="D309" s="31">
        <f t="shared" ca="1" si="22"/>
        <v>106.45971661386099</v>
      </c>
      <c r="E309" s="32">
        <v>42.545344000085066</v>
      </c>
      <c r="F309" s="32">
        <v>124.09267269856788</v>
      </c>
      <c r="G309" s="17"/>
      <c r="H309" s="17"/>
      <c r="I309" s="17"/>
      <c r="J309" s="17"/>
    </row>
    <row r="310" spans="3:10" x14ac:dyDescent="0.25">
      <c r="C310" s="31">
        <f t="shared" ca="1" si="22"/>
        <v>43.629460237264979</v>
      </c>
      <c r="D310" s="31">
        <f t="shared" ca="1" si="22"/>
        <v>101.41602701064487</v>
      </c>
      <c r="E310" s="32">
        <v>64.876280292370524</v>
      </c>
      <c r="F310" s="32">
        <v>105.49462605536397</v>
      </c>
      <c r="G310" s="17"/>
      <c r="H310" s="17"/>
      <c r="I310" s="17"/>
      <c r="J310" s="17"/>
    </row>
    <row r="311" spans="3:10" x14ac:dyDescent="0.25">
      <c r="C311" s="31">
        <f t="shared" ca="1" si="22"/>
        <v>31.558516042128161</v>
      </c>
      <c r="D311" s="31">
        <f t="shared" ca="1" si="22"/>
        <v>100.1527302730897</v>
      </c>
      <c r="E311" s="32">
        <v>69.041636473952224</v>
      </c>
      <c r="F311" s="32">
        <v>112.49270093437998</v>
      </c>
      <c r="G311" s="17"/>
      <c r="H311" s="17"/>
      <c r="I311" s="17"/>
      <c r="J311" s="17"/>
    </row>
    <row r="312" spans="3:10" x14ac:dyDescent="0.25">
      <c r="C312" s="31">
        <f t="shared" ca="1" si="22"/>
        <v>59.523319835514087</v>
      </c>
      <c r="D312" s="31">
        <f t="shared" ca="1" si="22"/>
        <v>115.9371254938379</v>
      </c>
      <c r="E312" s="32">
        <v>16.781339001697702</v>
      </c>
      <c r="F312" s="32">
        <v>113.97170010957939</v>
      </c>
      <c r="G312" s="17"/>
      <c r="H312" s="17"/>
      <c r="I312" s="17"/>
      <c r="J312" s="17"/>
    </row>
    <row r="313" spans="3:10" x14ac:dyDescent="0.25">
      <c r="C313" s="31">
        <f t="shared" ca="1" si="22"/>
        <v>44.754296185090688</v>
      </c>
      <c r="D313" s="31">
        <f t="shared" ca="1" si="22"/>
        <v>93.826385906968184</v>
      </c>
      <c r="E313" s="32">
        <v>15.142367582062278</v>
      </c>
      <c r="F313" s="32">
        <v>109.51419542855821</v>
      </c>
      <c r="G313" s="17"/>
      <c r="H313" s="17"/>
      <c r="I313" s="17"/>
      <c r="J313" s="17"/>
    </row>
    <row r="314" spans="3:10" x14ac:dyDescent="0.25">
      <c r="C314" s="31">
        <f t="shared" ref="C314:D333" ca="1" si="23">_xlfn.NORM.INV(RAND(),C$4,C$5)</f>
        <v>77.333576309742867</v>
      </c>
      <c r="D314" s="31">
        <f t="shared" ca="1" si="23"/>
        <v>104.51699344075486</v>
      </c>
      <c r="E314" s="32">
        <v>44.316052186373234</v>
      </c>
      <c r="F314" s="32">
        <v>119.08720952511254</v>
      </c>
      <c r="G314" s="17"/>
      <c r="H314" s="17"/>
      <c r="I314" s="17"/>
      <c r="J314" s="17"/>
    </row>
    <row r="315" spans="3:10" x14ac:dyDescent="0.25">
      <c r="C315" s="31">
        <f t="shared" ca="1" si="23"/>
        <v>46.755807087713464</v>
      </c>
      <c r="D315" s="31">
        <f t="shared" ca="1" si="23"/>
        <v>140.92896956921763</v>
      </c>
      <c r="E315" s="32">
        <v>61.464915374342652</v>
      </c>
      <c r="F315" s="32">
        <v>117.37781545839169</v>
      </c>
      <c r="G315" s="17"/>
      <c r="H315" s="17"/>
      <c r="I315" s="17"/>
      <c r="J315" s="17"/>
    </row>
    <row r="316" spans="3:10" x14ac:dyDescent="0.25">
      <c r="C316" s="31">
        <f t="shared" ca="1" si="23"/>
        <v>68.381575598910757</v>
      </c>
      <c r="D316" s="31">
        <f t="shared" ca="1" si="23"/>
        <v>104.86001089112763</v>
      </c>
      <c r="E316" s="32">
        <v>65.946481363180567</v>
      </c>
      <c r="F316" s="32">
        <v>117.77938036508647</v>
      </c>
      <c r="G316" s="17"/>
      <c r="H316" s="17"/>
      <c r="I316" s="17"/>
      <c r="J316" s="17"/>
    </row>
    <row r="317" spans="3:10" x14ac:dyDescent="0.25">
      <c r="C317" s="31">
        <f t="shared" ca="1" si="23"/>
        <v>27.555151327482498</v>
      </c>
      <c r="D317" s="31">
        <f t="shared" ca="1" si="23"/>
        <v>115.61865965958853</v>
      </c>
      <c r="E317" s="32">
        <v>53.225719518248638</v>
      </c>
      <c r="F317" s="32">
        <v>123.34351982221548</v>
      </c>
      <c r="G317" s="17"/>
      <c r="H317" s="17"/>
      <c r="I317" s="17"/>
      <c r="J317" s="17"/>
    </row>
    <row r="318" spans="3:10" x14ac:dyDescent="0.25">
      <c r="C318" s="31">
        <f t="shared" ca="1" si="23"/>
        <v>75.443146297497378</v>
      </c>
      <c r="D318" s="31">
        <f t="shared" ca="1" si="23"/>
        <v>100.61138514029791</v>
      </c>
      <c r="E318" s="32">
        <v>49.316806766042959</v>
      </c>
      <c r="F318" s="32">
        <v>102.17096545245282</v>
      </c>
      <c r="G318" s="17"/>
      <c r="H318" s="17"/>
      <c r="I318" s="17"/>
      <c r="J318" s="17"/>
    </row>
    <row r="319" spans="3:10" x14ac:dyDescent="0.25">
      <c r="C319" s="31">
        <f t="shared" ca="1" si="23"/>
        <v>30.726545286685766</v>
      </c>
      <c r="D319" s="31">
        <f t="shared" ca="1" si="23"/>
        <v>95.698935283117322</v>
      </c>
      <c r="E319" s="32">
        <v>79.436380369756989</v>
      </c>
      <c r="F319" s="32">
        <v>93.467031030239966</v>
      </c>
      <c r="G319" s="17"/>
      <c r="H319" s="17"/>
      <c r="I319" s="17"/>
      <c r="J319" s="17"/>
    </row>
    <row r="320" spans="3:10" x14ac:dyDescent="0.25">
      <c r="C320" s="31">
        <f t="shared" ca="1" si="23"/>
        <v>70.846537056349121</v>
      </c>
      <c r="D320" s="31">
        <f t="shared" ca="1" si="23"/>
        <v>99.52554450128261</v>
      </c>
      <c r="E320" s="32">
        <v>32.168126953614021</v>
      </c>
      <c r="F320" s="32">
        <v>115.34328469858313</v>
      </c>
      <c r="G320" s="17"/>
      <c r="H320" s="17"/>
      <c r="I320" s="17"/>
      <c r="J320" s="17"/>
    </row>
    <row r="321" spans="3:10" x14ac:dyDescent="0.25">
      <c r="C321" s="31">
        <f t="shared" ca="1" si="23"/>
        <v>77.280839803679342</v>
      </c>
      <c r="D321" s="31">
        <f t="shared" ca="1" si="23"/>
        <v>109.86702893625211</v>
      </c>
      <c r="E321" s="32">
        <v>44.830153052571056</v>
      </c>
      <c r="F321" s="32">
        <v>89.453809626526123</v>
      </c>
      <c r="G321" s="17"/>
      <c r="H321" s="17"/>
      <c r="I321" s="17"/>
      <c r="J321" s="17"/>
    </row>
    <row r="322" spans="3:10" x14ac:dyDescent="0.25">
      <c r="C322" s="31">
        <f t="shared" ca="1" si="23"/>
        <v>39.665974485323801</v>
      </c>
      <c r="D322" s="31">
        <f t="shared" ca="1" si="23"/>
        <v>110.52109351100526</v>
      </c>
      <c r="E322" s="32">
        <v>63.607193079056231</v>
      </c>
      <c r="F322" s="32">
        <v>128.44555512016473</v>
      </c>
      <c r="G322" s="17"/>
      <c r="H322" s="17"/>
      <c r="I322" s="17"/>
      <c r="J322" s="17"/>
    </row>
    <row r="323" spans="3:10" x14ac:dyDescent="0.25">
      <c r="C323" s="31">
        <f t="shared" ca="1" si="23"/>
        <v>48.799240259088307</v>
      </c>
      <c r="D323" s="31">
        <f t="shared" ca="1" si="23"/>
        <v>110.86305181419461</v>
      </c>
      <c r="E323" s="32">
        <v>43.386374750583691</v>
      </c>
      <c r="F323" s="32">
        <v>121.11516160021414</v>
      </c>
      <c r="G323" s="17"/>
      <c r="H323" s="17"/>
      <c r="I323" s="17"/>
      <c r="J323" s="17"/>
    </row>
    <row r="324" spans="3:10" x14ac:dyDescent="0.25">
      <c r="C324" s="31">
        <f t="shared" ca="1" si="23"/>
        <v>46.452997926797423</v>
      </c>
      <c r="D324" s="31">
        <f t="shared" ca="1" si="23"/>
        <v>105.1367604850381</v>
      </c>
      <c r="E324" s="32">
        <v>28.645328114453402</v>
      </c>
      <c r="F324" s="32">
        <v>107.09009219426235</v>
      </c>
      <c r="G324" s="17"/>
      <c r="H324" s="17"/>
      <c r="I324" s="17"/>
      <c r="J324" s="17"/>
    </row>
    <row r="325" spans="3:10" x14ac:dyDescent="0.25">
      <c r="C325" s="31">
        <f t="shared" ca="1" si="23"/>
        <v>42.872017180601716</v>
      </c>
      <c r="D325" s="31">
        <f t="shared" ca="1" si="23"/>
        <v>84.570270030995431</v>
      </c>
      <c r="E325" s="32">
        <v>43.708609593653691</v>
      </c>
      <c r="F325" s="32">
        <v>124.77643761683723</v>
      </c>
      <c r="G325" s="17"/>
      <c r="H325" s="17"/>
      <c r="I325" s="17"/>
      <c r="J325" s="17"/>
    </row>
    <row r="326" spans="3:10" x14ac:dyDescent="0.25">
      <c r="C326" s="31">
        <f t="shared" ca="1" si="23"/>
        <v>57.754104693032289</v>
      </c>
      <c r="D326" s="31">
        <f t="shared" ca="1" si="23"/>
        <v>129.20134223857494</v>
      </c>
      <c r="E326" s="32">
        <v>55.50590132011699</v>
      </c>
      <c r="F326" s="32">
        <v>117.31876405604754</v>
      </c>
      <c r="G326" s="17"/>
      <c r="H326" s="17"/>
      <c r="I326" s="17"/>
      <c r="J326" s="17"/>
    </row>
    <row r="327" spans="3:10" x14ac:dyDescent="0.25">
      <c r="C327" s="31">
        <f t="shared" ca="1" si="23"/>
        <v>43.101619872851082</v>
      </c>
      <c r="D327" s="31">
        <f t="shared" ca="1" si="23"/>
        <v>127.85829067148525</v>
      </c>
      <c r="E327" s="32">
        <v>45.021112587702483</v>
      </c>
      <c r="F327" s="32">
        <v>94.229210816129779</v>
      </c>
      <c r="G327" s="17"/>
      <c r="H327" s="17"/>
      <c r="I327" s="17"/>
      <c r="J327" s="17"/>
    </row>
    <row r="328" spans="3:10" x14ac:dyDescent="0.25">
      <c r="C328" s="31">
        <f t="shared" ca="1" si="23"/>
        <v>34.11291796236118</v>
      </c>
      <c r="D328" s="31">
        <f t="shared" ca="1" si="23"/>
        <v>97.579824750000867</v>
      </c>
      <c r="E328" s="32">
        <v>51.873192811813681</v>
      </c>
      <c r="F328" s="32">
        <v>103.11331322517063</v>
      </c>
      <c r="G328" s="17"/>
      <c r="H328" s="17"/>
      <c r="I328" s="17"/>
      <c r="J328" s="17"/>
    </row>
    <row r="329" spans="3:10" x14ac:dyDescent="0.25">
      <c r="C329" s="31">
        <f t="shared" ca="1" si="23"/>
        <v>70.93884155853209</v>
      </c>
      <c r="D329" s="31">
        <f t="shared" ca="1" si="23"/>
        <v>96.808478582491077</v>
      </c>
      <c r="E329" s="32">
        <v>61.02003761493809</v>
      </c>
      <c r="F329" s="32">
        <v>123.65850776164321</v>
      </c>
      <c r="G329" s="17"/>
      <c r="H329" s="17"/>
      <c r="I329" s="17"/>
      <c r="J329" s="17"/>
    </row>
    <row r="330" spans="3:10" x14ac:dyDescent="0.25">
      <c r="C330" s="31">
        <f t="shared" ca="1" si="23"/>
        <v>23.888333982520773</v>
      </c>
      <c r="D330" s="31">
        <f t="shared" ca="1" si="23"/>
        <v>91.177107623793802</v>
      </c>
      <c r="E330" s="32">
        <v>49.285794561706446</v>
      </c>
      <c r="F330" s="32">
        <v>101.42979572495132</v>
      </c>
      <c r="G330" s="17"/>
      <c r="H330" s="17"/>
      <c r="I330" s="17"/>
      <c r="J330" s="17"/>
    </row>
    <row r="331" spans="3:10" x14ac:dyDescent="0.25">
      <c r="C331" s="31">
        <f t="shared" ca="1" si="23"/>
        <v>74.124717691558402</v>
      </c>
      <c r="D331" s="31">
        <f t="shared" ca="1" si="23"/>
        <v>82.71375214824819</v>
      </c>
      <c r="E331" s="32">
        <v>70.761307622390049</v>
      </c>
      <c r="F331" s="32">
        <v>104.64974454355445</v>
      </c>
      <c r="G331" s="17"/>
      <c r="H331" s="17"/>
      <c r="I331" s="17"/>
      <c r="J331" s="17"/>
    </row>
    <row r="332" spans="3:10" x14ac:dyDescent="0.25">
      <c r="C332" s="31">
        <f t="shared" ca="1" si="23"/>
        <v>34.482290922382958</v>
      </c>
      <c r="D332" s="31">
        <f t="shared" ca="1" si="23"/>
        <v>86.317813653466246</v>
      </c>
      <c r="E332" s="32">
        <v>54.902110561022354</v>
      </c>
      <c r="F332" s="32">
        <v>109.25058857110983</v>
      </c>
      <c r="G332" s="17"/>
      <c r="H332" s="17"/>
      <c r="I332" s="17"/>
      <c r="J332" s="17"/>
    </row>
    <row r="333" spans="3:10" x14ac:dyDescent="0.25">
      <c r="C333" s="31">
        <f t="shared" ca="1" si="23"/>
        <v>43.259294514985491</v>
      </c>
      <c r="D333" s="31">
        <f t="shared" ca="1" si="23"/>
        <v>99.810169642155756</v>
      </c>
      <c r="E333" s="32">
        <v>10.908591362953786</v>
      </c>
      <c r="F333" s="32">
        <v>113.11846808873113</v>
      </c>
      <c r="G333" s="17"/>
      <c r="H333" s="17"/>
      <c r="I333" s="17"/>
      <c r="J333" s="17"/>
    </row>
    <row r="334" spans="3:10" x14ac:dyDescent="0.25">
      <c r="C334" s="31">
        <f t="shared" ref="C334:D353" ca="1" si="24">_xlfn.NORM.INV(RAND(),C$4,C$5)</f>
        <v>24.475840608961732</v>
      </c>
      <c r="D334" s="31">
        <f t="shared" ca="1" si="24"/>
        <v>96.355666315625939</v>
      </c>
      <c r="E334" s="32">
        <v>86.617127057306703</v>
      </c>
      <c r="F334" s="32">
        <v>109.38949362492559</v>
      </c>
      <c r="G334" s="17"/>
      <c r="H334" s="17"/>
      <c r="I334" s="17"/>
      <c r="J334" s="17"/>
    </row>
    <row r="335" spans="3:10" x14ac:dyDescent="0.25">
      <c r="C335" s="31">
        <f t="shared" ca="1" si="24"/>
        <v>45.041514694364224</v>
      </c>
      <c r="D335" s="31">
        <f t="shared" ca="1" si="24"/>
        <v>82.596315496964522</v>
      </c>
      <c r="E335" s="32">
        <v>62.068099015705847</v>
      </c>
      <c r="F335" s="32">
        <v>112.52961756391856</v>
      </c>
      <c r="G335" s="17"/>
      <c r="H335" s="17"/>
      <c r="I335" s="17"/>
      <c r="J335" s="17"/>
    </row>
    <row r="336" spans="3:10" x14ac:dyDescent="0.25">
      <c r="C336" s="31">
        <f t="shared" ca="1" si="24"/>
        <v>69.374516501030953</v>
      </c>
      <c r="D336" s="31">
        <f t="shared" ca="1" si="24"/>
        <v>106.98115783249446</v>
      </c>
      <c r="E336" s="32">
        <v>13.761609055417523</v>
      </c>
      <c r="F336" s="32">
        <v>127.6425961577697</v>
      </c>
      <c r="G336" s="17"/>
      <c r="H336" s="17"/>
      <c r="I336" s="17"/>
      <c r="J336" s="17"/>
    </row>
    <row r="337" spans="3:10" x14ac:dyDescent="0.25">
      <c r="C337" s="31">
        <f t="shared" ca="1" si="24"/>
        <v>27.260430248365356</v>
      </c>
      <c r="D337" s="31">
        <f t="shared" ca="1" si="24"/>
        <v>116.75056216522569</v>
      </c>
      <c r="E337" s="32">
        <v>45.504781504251191</v>
      </c>
      <c r="F337" s="32">
        <v>101.84411505192858</v>
      </c>
      <c r="G337" s="17"/>
      <c r="H337" s="17"/>
      <c r="I337" s="17"/>
      <c r="J337" s="17"/>
    </row>
    <row r="338" spans="3:10" x14ac:dyDescent="0.25">
      <c r="C338" s="31">
        <f t="shared" ca="1" si="24"/>
        <v>44.274571992055378</v>
      </c>
      <c r="D338" s="31">
        <f t="shared" ca="1" si="24"/>
        <v>106.88431532289411</v>
      </c>
      <c r="E338" s="32">
        <v>48.563494317039812</v>
      </c>
      <c r="F338" s="32">
        <v>103.67998333496428</v>
      </c>
      <c r="G338" s="17"/>
      <c r="H338" s="17"/>
      <c r="I338" s="17"/>
      <c r="J338" s="17"/>
    </row>
    <row r="339" spans="3:10" x14ac:dyDescent="0.25">
      <c r="C339" s="31">
        <f t="shared" ca="1" si="24"/>
        <v>84.807272820679401</v>
      </c>
      <c r="D339" s="31">
        <f t="shared" ca="1" si="24"/>
        <v>121.86525347732868</v>
      </c>
      <c r="E339" s="32">
        <v>41.174735893080019</v>
      </c>
      <c r="F339" s="32">
        <v>82.980294236354027</v>
      </c>
      <c r="G339" s="17"/>
      <c r="H339" s="17"/>
      <c r="I339" s="17"/>
      <c r="J339" s="17"/>
    </row>
    <row r="340" spans="3:10" x14ac:dyDescent="0.25">
      <c r="C340" s="31">
        <f t="shared" ca="1" si="24"/>
        <v>27.596966632786337</v>
      </c>
      <c r="D340" s="31">
        <f t="shared" ca="1" si="24"/>
        <v>97.410865426311489</v>
      </c>
      <c r="E340" s="32">
        <v>37.954496316562029</v>
      </c>
      <c r="F340" s="32">
        <v>123.65734429553359</v>
      </c>
      <c r="G340" s="17"/>
      <c r="H340" s="17"/>
      <c r="I340" s="17"/>
      <c r="J340" s="17"/>
    </row>
    <row r="341" spans="3:10" x14ac:dyDescent="0.25">
      <c r="C341" s="31">
        <f t="shared" ca="1" si="24"/>
        <v>53.956329782154292</v>
      </c>
      <c r="D341" s="31">
        <f t="shared" ca="1" si="24"/>
        <v>93.101755096754928</v>
      </c>
      <c r="E341" s="32">
        <v>73.421059876336642</v>
      </c>
      <c r="F341" s="32">
        <v>123.18312397666796</v>
      </c>
      <c r="G341" s="17"/>
      <c r="H341" s="17"/>
      <c r="I341" s="17"/>
      <c r="J341" s="17"/>
    </row>
    <row r="342" spans="3:10" x14ac:dyDescent="0.25">
      <c r="C342" s="31">
        <f t="shared" ca="1" si="24"/>
        <v>65.192158270658595</v>
      </c>
      <c r="D342" s="31">
        <f t="shared" ca="1" si="24"/>
        <v>109.53346144781317</v>
      </c>
      <c r="E342" s="32">
        <v>54.642709725534139</v>
      </c>
      <c r="F342" s="32">
        <v>107.57430759216226</v>
      </c>
      <c r="G342" s="17"/>
      <c r="H342" s="17"/>
      <c r="I342" s="17"/>
      <c r="J342" s="17"/>
    </row>
    <row r="343" spans="3:10" x14ac:dyDescent="0.25">
      <c r="C343" s="31">
        <f t="shared" ca="1" si="24"/>
        <v>73.209224089927929</v>
      </c>
      <c r="D343" s="31">
        <f t="shared" ca="1" si="24"/>
        <v>114.41784840893155</v>
      </c>
      <c r="E343" s="32">
        <v>66.085429521979293</v>
      </c>
      <c r="F343" s="32">
        <v>133.24312733196041</v>
      </c>
      <c r="G343" s="17"/>
      <c r="H343" s="17"/>
      <c r="I343" s="17"/>
      <c r="J343" s="17"/>
    </row>
    <row r="344" spans="3:10" x14ac:dyDescent="0.25">
      <c r="C344" s="31">
        <f t="shared" ca="1" si="24"/>
        <v>43.181944603703833</v>
      </c>
      <c r="D344" s="31">
        <f t="shared" ca="1" si="24"/>
        <v>114.1719830666478</v>
      </c>
      <c r="E344" s="32">
        <v>58.146702812667321</v>
      </c>
      <c r="F344" s="32">
        <v>103.0746286626788</v>
      </c>
      <c r="G344" s="17"/>
      <c r="H344" s="17"/>
      <c r="I344" s="17"/>
      <c r="J344" s="17"/>
    </row>
    <row r="345" spans="3:10" x14ac:dyDescent="0.25">
      <c r="C345" s="31">
        <f t="shared" ca="1" si="24"/>
        <v>25.541257283686104</v>
      </c>
      <c r="D345" s="31">
        <f t="shared" ca="1" si="24"/>
        <v>115.81454780209103</v>
      </c>
      <c r="E345" s="32">
        <v>63.986588254708202</v>
      </c>
      <c r="F345" s="32">
        <v>117.06873565659811</v>
      </c>
      <c r="G345" s="17"/>
      <c r="H345" s="17"/>
      <c r="I345" s="17"/>
      <c r="J345" s="17"/>
    </row>
    <row r="346" spans="3:10" x14ac:dyDescent="0.25">
      <c r="C346" s="31">
        <f t="shared" ca="1" si="24"/>
        <v>62.095114954194244</v>
      </c>
      <c r="D346" s="31">
        <f t="shared" ca="1" si="24"/>
        <v>121.98019472099934</v>
      </c>
      <c r="E346" s="32">
        <v>57.195249338780712</v>
      </c>
      <c r="F346" s="32">
        <v>123.32237637337261</v>
      </c>
      <c r="G346" s="17"/>
      <c r="H346" s="17"/>
      <c r="I346" s="17"/>
      <c r="J346" s="17"/>
    </row>
    <row r="347" spans="3:10" x14ac:dyDescent="0.25">
      <c r="C347" s="31">
        <f t="shared" ca="1" si="24"/>
        <v>29.924568774557287</v>
      </c>
      <c r="D347" s="31">
        <f t="shared" ca="1" si="24"/>
        <v>118.20539532939956</v>
      </c>
      <c r="E347" s="32">
        <v>54.544895429368474</v>
      </c>
      <c r="F347" s="32">
        <v>114.71907203557576</v>
      </c>
      <c r="G347" s="17"/>
      <c r="H347" s="17"/>
      <c r="I347" s="17"/>
      <c r="J347" s="17"/>
    </row>
    <row r="348" spans="3:10" x14ac:dyDescent="0.25">
      <c r="C348" s="31">
        <f t="shared" ca="1" si="24"/>
        <v>26.162868238184004</v>
      </c>
      <c r="D348" s="31">
        <f t="shared" ca="1" si="24"/>
        <v>112.44014356202712</v>
      </c>
      <c r="E348" s="32">
        <v>55.795745649545417</v>
      </c>
      <c r="F348" s="32">
        <v>90.623538620954363</v>
      </c>
      <c r="G348" s="17"/>
      <c r="H348" s="17"/>
      <c r="I348" s="17"/>
      <c r="J348" s="17"/>
    </row>
    <row r="349" spans="3:10" x14ac:dyDescent="0.25">
      <c r="C349" s="31">
        <f t="shared" ca="1" si="24"/>
        <v>58.0142619414056</v>
      </c>
      <c r="D349" s="31">
        <f t="shared" ca="1" si="24"/>
        <v>87.901984356557136</v>
      </c>
      <c r="E349" s="32">
        <v>93.875027254664161</v>
      </c>
      <c r="F349" s="32">
        <v>104.77243474028784</v>
      </c>
      <c r="G349" s="17"/>
      <c r="H349" s="17"/>
      <c r="I349" s="17"/>
      <c r="J349" s="17"/>
    </row>
    <row r="350" spans="3:10" x14ac:dyDescent="0.25">
      <c r="C350" s="31">
        <f t="shared" ca="1" si="24"/>
        <v>50.65737548709383</v>
      </c>
      <c r="D350" s="31">
        <f t="shared" ca="1" si="24"/>
        <v>110.50504600966543</v>
      </c>
      <c r="E350" s="32">
        <v>39.534716901849414</v>
      </c>
      <c r="F350" s="32">
        <v>98.830901711391419</v>
      </c>
      <c r="G350" s="17"/>
      <c r="H350" s="17"/>
      <c r="I350" s="17"/>
      <c r="J350" s="17"/>
    </row>
    <row r="351" spans="3:10" x14ac:dyDescent="0.25">
      <c r="C351" s="31">
        <f t="shared" ca="1" si="24"/>
        <v>64.669520197972048</v>
      </c>
      <c r="D351" s="31">
        <f t="shared" ca="1" si="24"/>
        <v>97.722285124241893</v>
      </c>
      <c r="E351" s="32">
        <v>0.48285955825769378</v>
      </c>
      <c r="F351" s="32">
        <v>108.70453276540502</v>
      </c>
      <c r="G351" s="17"/>
      <c r="H351" s="17"/>
      <c r="I351" s="17"/>
      <c r="J351" s="17"/>
    </row>
    <row r="352" spans="3:10" x14ac:dyDescent="0.25">
      <c r="C352" s="31">
        <f t="shared" ca="1" si="24"/>
        <v>45.769626167052373</v>
      </c>
      <c r="D352" s="31">
        <f t="shared" ca="1" si="24"/>
        <v>113.0824032698842</v>
      </c>
      <c r="E352" s="32">
        <v>12.781156071666786</v>
      </c>
      <c r="F352" s="32">
        <v>107.4684531929604</v>
      </c>
      <c r="G352" s="17"/>
      <c r="H352" s="17"/>
      <c r="I352" s="17"/>
      <c r="J352" s="17"/>
    </row>
    <row r="353" spans="3:10" x14ac:dyDescent="0.25">
      <c r="C353" s="31">
        <f t="shared" ca="1" si="24"/>
        <v>43.866380007585718</v>
      </c>
      <c r="D353" s="31">
        <f t="shared" ca="1" si="24"/>
        <v>104.49961952649451</v>
      </c>
      <c r="E353" s="32">
        <v>49.299051195292385</v>
      </c>
      <c r="F353" s="32">
        <v>119.76274681009532</v>
      </c>
      <c r="G353" s="17"/>
      <c r="H353" s="17"/>
      <c r="I353" s="17"/>
      <c r="J353" s="17"/>
    </row>
    <row r="354" spans="3:10" x14ac:dyDescent="0.25">
      <c r="C354" s="31">
        <f t="shared" ref="C354:D373" ca="1" si="25">_xlfn.NORM.INV(RAND(),C$4,C$5)</f>
        <v>92.188780301640719</v>
      </c>
      <c r="D354" s="31">
        <f t="shared" ca="1" si="25"/>
        <v>101.89428496282878</v>
      </c>
      <c r="E354" s="32">
        <v>87.643016773741834</v>
      </c>
      <c r="F354" s="32">
        <v>128.03093031906479</v>
      </c>
      <c r="G354" s="17"/>
      <c r="H354" s="17"/>
      <c r="I354" s="17"/>
      <c r="J354" s="17"/>
    </row>
    <row r="355" spans="3:10" x14ac:dyDescent="0.25">
      <c r="C355" s="31">
        <f t="shared" ca="1" si="25"/>
        <v>56.278134164399809</v>
      </c>
      <c r="D355" s="31">
        <f t="shared" ca="1" si="25"/>
        <v>116.36822879571456</v>
      </c>
      <c r="E355" s="32">
        <v>46.491549704668465</v>
      </c>
      <c r="F355" s="32">
        <v>131.68906455249564</v>
      </c>
      <c r="G355" s="17"/>
      <c r="H355" s="17"/>
      <c r="I355" s="17"/>
      <c r="J355" s="17"/>
    </row>
    <row r="356" spans="3:10" x14ac:dyDescent="0.25">
      <c r="C356" s="31">
        <f t="shared" ca="1" si="25"/>
        <v>51.667883019060724</v>
      </c>
      <c r="D356" s="31">
        <f t="shared" ca="1" si="25"/>
        <v>128.40576278018543</v>
      </c>
      <c r="E356" s="32">
        <v>73.635194331713123</v>
      </c>
      <c r="F356" s="32">
        <v>117.72307748133706</v>
      </c>
      <c r="G356" s="17"/>
      <c r="H356" s="17"/>
      <c r="I356" s="17"/>
      <c r="J356" s="17"/>
    </row>
    <row r="357" spans="3:10" x14ac:dyDescent="0.25">
      <c r="C357" s="31">
        <f t="shared" ca="1" si="25"/>
        <v>31.838683539190551</v>
      </c>
      <c r="D357" s="31">
        <f t="shared" ca="1" si="25"/>
        <v>115.81156608060367</v>
      </c>
      <c r="E357" s="32">
        <v>81.387078281059331</v>
      </c>
      <c r="F357" s="32">
        <v>141.54297504578869</v>
      </c>
      <c r="G357" s="17"/>
      <c r="H357" s="17"/>
      <c r="I357" s="17"/>
      <c r="J357" s="17"/>
    </row>
    <row r="358" spans="3:10" x14ac:dyDescent="0.25">
      <c r="C358" s="31">
        <f t="shared" ca="1" si="25"/>
        <v>30.834848905206449</v>
      </c>
      <c r="D358" s="31">
        <f t="shared" ca="1" si="25"/>
        <v>117.56440557926663</v>
      </c>
      <c r="E358" s="32">
        <v>41.255087727172494</v>
      </c>
      <c r="F358" s="32">
        <v>95.747692448785727</v>
      </c>
      <c r="G358" s="17"/>
      <c r="H358" s="17"/>
      <c r="I358" s="17"/>
      <c r="J358" s="17"/>
    </row>
    <row r="359" spans="3:10" x14ac:dyDescent="0.25">
      <c r="C359" s="31">
        <f t="shared" ca="1" si="25"/>
        <v>58.894035209119721</v>
      </c>
      <c r="D359" s="31">
        <f t="shared" ca="1" si="25"/>
        <v>94.423865435626595</v>
      </c>
      <c r="E359" s="32">
        <v>57.349980789193189</v>
      </c>
      <c r="F359" s="32">
        <v>105.578922896406</v>
      </c>
      <c r="G359" s="17"/>
      <c r="H359" s="17"/>
      <c r="I359" s="17"/>
      <c r="J359" s="17"/>
    </row>
    <row r="360" spans="3:10" x14ac:dyDescent="0.25">
      <c r="C360" s="31">
        <f t="shared" ca="1" si="25"/>
        <v>73.838056017727553</v>
      </c>
      <c r="D360" s="31">
        <f t="shared" ca="1" si="25"/>
        <v>115.73565063298268</v>
      </c>
      <c r="E360" s="32">
        <v>49.031166986791462</v>
      </c>
      <c r="F360" s="32">
        <v>91.286320474341466</v>
      </c>
      <c r="G360" s="17"/>
      <c r="H360" s="17"/>
      <c r="I360" s="17"/>
      <c r="J360" s="17"/>
    </row>
    <row r="361" spans="3:10" x14ac:dyDescent="0.25">
      <c r="C361" s="31">
        <f t="shared" ca="1" si="25"/>
        <v>34.01774753004257</v>
      </c>
      <c r="D361" s="31">
        <f t="shared" ca="1" si="25"/>
        <v>112.7648726384449</v>
      </c>
      <c r="E361" s="32">
        <v>33.050423314401755</v>
      </c>
      <c r="F361" s="32">
        <v>111.03173176363315</v>
      </c>
      <c r="G361" s="17"/>
      <c r="H361" s="17"/>
      <c r="I361" s="17"/>
      <c r="J361" s="17"/>
    </row>
    <row r="362" spans="3:10" x14ac:dyDescent="0.25">
      <c r="C362" s="31">
        <f t="shared" ca="1" si="25"/>
        <v>64.077401816657613</v>
      </c>
      <c r="D362" s="31">
        <f t="shared" ca="1" si="25"/>
        <v>102.00459165045721</v>
      </c>
      <c r="E362" s="32">
        <v>28.018122482639761</v>
      </c>
      <c r="F362" s="32">
        <v>110.23591928328877</v>
      </c>
      <c r="G362" s="17"/>
      <c r="H362" s="17"/>
      <c r="I362" s="17"/>
      <c r="J362" s="17"/>
    </row>
    <row r="363" spans="3:10" x14ac:dyDescent="0.25">
      <c r="C363" s="31">
        <f t="shared" ca="1" si="25"/>
        <v>4.0515607066665211</v>
      </c>
      <c r="D363" s="31">
        <f t="shared" ca="1" si="25"/>
        <v>105.31178683210335</v>
      </c>
      <c r="E363" s="32">
        <v>39.782991843840421</v>
      </c>
      <c r="F363" s="32">
        <v>136.0909302015979</v>
      </c>
      <c r="G363" s="17"/>
      <c r="H363" s="17"/>
      <c r="I363" s="17"/>
      <c r="J363" s="17"/>
    </row>
    <row r="364" spans="3:10" x14ac:dyDescent="0.25">
      <c r="C364" s="31">
        <f t="shared" ca="1" si="25"/>
        <v>89.206532741440839</v>
      </c>
      <c r="D364" s="31">
        <f t="shared" ca="1" si="25"/>
        <v>104.70707238365874</v>
      </c>
      <c r="E364" s="32">
        <v>83.411885758554973</v>
      </c>
      <c r="F364" s="32">
        <v>92.098739361016911</v>
      </c>
      <c r="G364" s="17"/>
      <c r="H364" s="17"/>
      <c r="I364" s="17"/>
      <c r="J364" s="17"/>
    </row>
    <row r="365" spans="3:10" x14ac:dyDescent="0.25">
      <c r="C365" s="31">
        <f t="shared" ca="1" si="25"/>
        <v>32.19968830346285</v>
      </c>
      <c r="D365" s="31">
        <f t="shared" ca="1" si="25"/>
        <v>93.462957032333222</v>
      </c>
      <c r="E365" s="32">
        <v>37.990965382329208</v>
      </c>
      <c r="F365" s="32">
        <v>110.76397615298772</v>
      </c>
      <c r="G365" s="17"/>
      <c r="H365" s="17"/>
      <c r="I365" s="17"/>
      <c r="J365" s="17"/>
    </row>
    <row r="366" spans="3:10" x14ac:dyDescent="0.25">
      <c r="C366" s="31">
        <f t="shared" ca="1" si="25"/>
        <v>42.92094560808119</v>
      </c>
      <c r="D366" s="31">
        <f t="shared" ca="1" si="25"/>
        <v>105.32870532190601</v>
      </c>
      <c r="E366" s="32">
        <v>95.74246379714431</v>
      </c>
      <c r="F366" s="32">
        <v>106.85365400066792</v>
      </c>
      <c r="G366" s="17"/>
      <c r="H366" s="17"/>
      <c r="I366" s="17"/>
      <c r="J366" s="17"/>
    </row>
    <row r="367" spans="3:10" x14ac:dyDescent="0.25">
      <c r="C367" s="31">
        <f t="shared" ca="1" si="25"/>
        <v>76.075310786102023</v>
      </c>
      <c r="D367" s="31">
        <f t="shared" ca="1" si="25"/>
        <v>89.155380486928053</v>
      </c>
      <c r="E367" s="32">
        <v>74.780437177836276</v>
      </c>
      <c r="F367" s="32">
        <v>95.206940261055962</v>
      </c>
      <c r="G367" s="17"/>
      <c r="H367" s="17"/>
      <c r="I367" s="17"/>
      <c r="J367" s="17"/>
    </row>
    <row r="368" spans="3:10" x14ac:dyDescent="0.25">
      <c r="C368" s="31">
        <f t="shared" ca="1" si="25"/>
        <v>62.266138255026178</v>
      </c>
      <c r="D368" s="31">
        <f t="shared" ca="1" si="25"/>
        <v>84.172202774146456</v>
      </c>
      <c r="E368" s="32">
        <v>25.219031382973892</v>
      </c>
      <c r="F368" s="32">
        <v>110.81952373129698</v>
      </c>
      <c r="G368" s="17"/>
      <c r="H368" s="17"/>
      <c r="I368" s="17"/>
      <c r="J368" s="17"/>
    </row>
    <row r="369" spans="3:10" x14ac:dyDescent="0.25">
      <c r="C369" s="31">
        <f t="shared" ca="1" si="25"/>
        <v>76.44979315956148</v>
      </c>
      <c r="D369" s="31">
        <f t="shared" ca="1" si="25"/>
        <v>115.66989142629008</v>
      </c>
      <c r="E369" s="32">
        <v>56.532838809675823</v>
      </c>
      <c r="F369" s="32">
        <v>100.92445390403194</v>
      </c>
      <c r="G369" s="17"/>
      <c r="H369" s="17"/>
      <c r="I369" s="17"/>
      <c r="J369" s="17"/>
    </row>
    <row r="370" spans="3:10" x14ac:dyDescent="0.25">
      <c r="C370" s="31">
        <f t="shared" ca="1" si="25"/>
        <v>64.751503958279528</v>
      </c>
      <c r="D370" s="31">
        <f t="shared" ca="1" si="25"/>
        <v>136.19615589829161</v>
      </c>
      <c r="E370" s="32">
        <v>62.237740291193624</v>
      </c>
      <c r="F370" s="32">
        <v>96.067474168320373</v>
      </c>
      <c r="G370" s="17"/>
      <c r="H370" s="17"/>
      <c r="I370" s="17"/>
      <c r="J370" s="17"/>
    </row>
    <row r="371" spans="3:10" x14ac:dyDescent="0.25">
      <c r="C371" s="31">
        <f t="shared" ca="1" si="25"/>
        <v>67.328313975701661</v>
      </c>
      <c r="D371" s="31">
        <f t="shared" ca="1" si="25"/>
        <v>93.867128107409883</v>
      </c>
      <c r="E371" s="32">
        <v>20.553324153352239</v>
      </c>
      <c r="F371" s="32">
        <v>106.28066656244863</v>
      </c>
      <c r="G371" s="17"/>
      <c r="H371" s="17"/>
      <c r="I371" s="17"/>
      <c r="J371" s="17"/>
    </row>
    <row r="372" spans="3:10" x14ac:dyDescent="0.25">
      <c r="C372" s="31">
        <f t="shared" ca="1" si="25"/>
        <v>54.318570955899645</v>
      </c>
      <c r="D372" s="31">
        <f t="shared" ca="1" si="25"/>
        <v>114.54829859074314</v>
      </c>
      <c r="E372" s="32">
        <v>79.059761552047235</v>
      </c>
      <c r="F372" s="32">
        <v>130.36701841899585</v>
      </c>
      <c r="G372" s="17"/>
      <c r="H372" s="17"/>
      <c r="I372" s="17"/>
      <c r="J372" s="17"/>
    </row>
    <row r="373" spans="3:10" x14ac:dyDescent="0.25">
      <c r="C373" s="31">
        <f t="shared" ca="1" si="25"/>
        <v>22.93790464181378</v>
      </c>
      <c r="D373" s="31">
        <f t="shared" ca="1" si="25"/>
        <v>117.52336068232466</v>
      </c>
      <c r="E373" s="32">
        <v>59.247818441062428</v>
      </c>
      <c r="F373" s="32">
        <v>121.1884530999054</v>
      </c>
      <c r="G373" s="17"/>
      <c r="H373" s="17"/>
      <c r="I373" s="17"/>
      <c r="J373" s="17"/>
    </row>
    <row r="374" spans="3:10" x14ac:dyDescent="0.25">
      <c r="C374" s="31">
        <f t="shared" ref="C374:D393" ca="1" si="26">_xlfn.NORM.INV(RAND(),C$4,C$5)</f>
        <v>51.706934272502572</v>
      </c>
      <c r="D374" s="31">
        <f t="shared" ca="1" si="26"/>
        <v>129.55138077832126</v>
      </c>
      <c r="E374" s="32">
        <v>56.529715090038508</v>
      </c>
      <c r="F374" s="32">
        <v>133.56692704287255</v>
      </c>
      <c r="G374" s="17"/>
      <c r="H374" s="17"/>
      <c r="I374" s="17"/>
      <c r="J374" s="17"/>
    </row>
    <row r="375" spans="3:10" x14ac:dyDescent="0.25">
      <c r="C375" s="31">
        <f t="shared" ca="1" si="26"/>
        <v>77.525020911395472</v>
      </c>
      <c r="D375" s="31">
        <f t="shared" ca="1" si="26"/>
        <v>105.10490704541505</v>
      </c>
      <c r="E375" s="32">
        <v>42.579929088318551</v>
      </c>
      <c r="F375" s="32">
        <v>88.780747661621987</v>
      </c>
      <c r="G375" s="17"/>
      <c r="H375" s="17"/>
      <c r="I375" s="17"/>
      <c r="J375" s="17"/>
    </row>
    <row r="376" spans="3:10" x14ac:dyDescent="0.25">
      <c r="C376" s="31">
        <f t="shared" ca="1" si="26"/>
        <v>55.330735139619364</v>
      </c>
      <c r="D376" s="31">
        <f t="shared" ca="1" si="26"/>
        <v>106.78008613889077</v>
      </c>
      <c r="E376" s="32">
        <v>55.445577762748663</v>
      </c>
      <c r="F376" s="32">
        <v>90.698436481000527</v>
      </c>
      <c r="G376" s="17"/>
      <c r="H376" s="17"/>
      <c r="I376" s="17"/>
      <c r="J376" s="17"/>
    </row>
    <row r="377" spans="3:10" x14ac:dyDescent="0.25">
      <c r="C377" s="31">
        <f t="shared" ca="1" si="26"/>
        <v>29.620913412065068</v>
      </c>
      <c r="D377" s="31">
        <f t="shared" ca="1" si="26"/>
        <v>100.88893703668386</v>
      </c>
      <c r="E377" s="32">
        <v>60.616904868492014</v>
      </c>
      <c r="F377" s="32">
        <v>123.66370006528017</v>
      </c>
      <c r="G377" s="17"/>
      <c r="H377" s="17"/>
      <c r="I377" s="17"/>
      <c r="J377" s="17"/>
    </row>
    <row r="378" spans="3:10" x14ac:dyDescent="0.25">
      <c r="C378" s="31">
        <f t="shared" ca="1" si="26"/>
        <v>60.293986182685018</v>
      </c>
      <c r="D378" s="31">
        <f t="shared" ca="1" si="26"/>
        <v>93.333959053331967</v>
      </c>
      <c r="E378" s="32">
        <v>50.087631669906528</v>
      </c>
      <c r="F378" s="32">
        <v>96.132359157647272</v>
      </c>
      <c r="G378" s="17"/>
      <c r="H378" s="17"/>
      <c r="I378" s="17"/>
      <c r="J378" s="17"/>
    </row>
    <row r="379" spans="3:10" x14ac:dyDescent="0.25">
      <c r="C379" s="31">
        <f t="shared" ca="1" si="26"/>
        <v>40.227009181051685</v>
      </c>
      <c r="D379" s="31">
        <f t="shared" ca="1" si="26"/>
        <v>78.866014364011477</v>
      </c>
      <c r="E379" s="32">
        <v>37.015431813438433</v>
      </c>
      <c r="F379" s="32">
        <v>107.28517567054091</v>
      </c>
      <c r="G379" s="17"/>
      <c r="H379" s="17"/>
      <c r="I379" s="17"/>
      <c r="J379" s="17"/>
    </row>
    <row r="380" spans="3:10" x14ac:dyDescent="0.25">
      <c r="C380" s="31">
        <f t="shared" ca="1" si="26"/>
        <v>78.830679297644267</v>
      </c>
      <c r="D380" s="31">
        <f t="shared" ca="1" si="26"/>
        <v>114.10504558156236</v>
      </c>
      <c r="E380" s="32">
        <v>66.798772402722321</v>
      </c>
      <c r="F380" s="32">
        <v>89.813130389416685</v>
      </c>
      <c r="G380" s="17"/>
      <c r="H380" s="17"/>
      <c r="I380" s="17"/>
      <c r="J380" s="17"/>
    </row>
    <row r="381" spans="3:10" x14ac:dyDescent="0.25">
      <c r="C381" s="31">
        <f t="shared" ca="1" si="26"/>
        <v>11.036639006316165</v>
      </c>
      <c r="D381" s="31">
        <f t="shared" ca="1" si="26"/>
        <v>116.8356370525191</v>
      </c>
      <c r="E381" s="32">
        <v>64.726824767949012</v>
      </c>
      <c r="F381" s="32">
        <v>90.702282551257341</v>
      </c>
      <c r="G381" s="17"/>
      <c r="H381" s="17"/>
      <c r="I381" s="17"/>
      <c r="J381" s="17"/>
    </row>
    <row r="382" spans="3:10" x14ac:dyDescent="0.25">
      <c r="C382" s="31">
        <f t="shared" ca="1" si="26"/>
        <v>54.300516435214291</v>
      </c>
      <c r="D382" s="31">
        <f t="shared" ca="1" si="26"/>
        <v>122.90559092766169</v>
      </c>
      <c r="E382" s="32">
        <v>54.574012201461713</v>
      </c>
      <c r="F382" s="32">
        <v>96.601090722007669</v>
      </c>
      <c r="G382" s="17"/>
      <c r="H382" s="17"/>
      <c r="I382" s="17"/>
      <c r="J382" s="17"/>
    </row>
    <row r="383" spans="3:10" x14ac:dyDescent="0.25">
      <c r="C383" s="31">
        <f t="shared" ca="1" si="26"/>
        <v>70.300349453050444</v>
      </c>
      <c r="D383" s="31">
        <f t="shared" ca="1" si="26"/>
        <v>120.53697621794333</v>
      </c>
      <c r="E383" s="32">
        <v>49.520114920402229</v>
      </c>
      <c r="F383" s="32">
        <v>112.60616837777424</v>
      </c>
      <c r="G383" s="17"/>
      <c r="H383" s="17"/>
      <c r="I383" s="17"/>
      <c r="J383" s="17"/>
    </row>
    <row r="384" spans="3:10" x14ac:dyDescent="0.25">
      <c r="C384" s="31">
        <f t="shared" ca="1" si="26"/>
        <v>43.565009830330645</v>
      </c>
      <c r="D384" s="31">
        <f t="shared" ca="1" si="26"/>
        <v>94.470124275137337</v>
      </c>
      <c r="E384" s="32">
        <v>27.335926315226438</v>
      </c>
      <c r="F384" s="32">
        <v>94.297089154095204</v>
      </c>
      <c r="G384" s="17"/>
      <c r="H384" s="17"/>
      <c r="I384" s="17"/>
      <c r="J384" s="17"/>
    </row>
    <row r="385" spans="3:10" x14ac:dyDescent="0.25">
      <c r="C385" s="31">
        <f t="shared" ca="1" si="26"/>
        <v>48.122239347998445</v>
      </c>
      <c r="D385" s="31">
        <f t="shared" ca="1" si="26"/>
        <v>96.590051092911992</v>
      </c>
      <c r="E385" s="32">
        <v>37.852622419048167</v>
      </c>
      <c r="F385" s="32">
        <v>114.7096671901796</v>
      </c>
      <c r="G385" s="17"/>
      <c r="H385" s="17"/>
      <c r="I385" s="17"/>
      <c r="J385" s="17"/>
    </row>
    <row r="386" spans="3:10" x14ac:dyDescent="0.25">
      <c r="C386" s="31">
        <f t="shared" ca="1" si="26"/>
        <v>43.951889759205088</v>
      </c>
      <c r="D386" s="31">
        <f t="shared" ca="1" si="26"/>
        <v>122.37300020356341</v>
      </c>
      <c r="E386" s="32">
        <v>72.104637550450462</v>
      </c>
      <c r="F386" s="32">
        <v>101.45924257433067</v>
      </c>
      <c r="G386" s="17"/>
      <c r="H386" s="17"/>
      <c r="I386" s="17"/>
      <c r="J386" s="17"/>
    </row>
    <row r="387" spans="3:10" x14ac:dyDescent="0.25">
      <c r="C387" s="31">
        <f t="shared" ca="1" si="26"/>
        <v>62.599019878051195</v>
      </c>
      <c r="D387" s="31">
        <f t="shared" ca="1" si="26"/>
        <v>123.13471268717896</v>
      </c>
      <c r="E387" s="32">
        <v>54.004598120366261</v>
      </c>
      <c r="F387" s="32">
        <v>119.38396006357932</v>
      </c>
      <c r="G387" s="17"/>
      <c r="H387" s="17"/>
      <c r="I387" s="17"/>
      <c r="J387" s="17"/>
    </row>
    <row r="388" spans="3:10" x14ac:dyDescent="0.25">
      <c r="C388" s="31">
        <f t="shared" ca="1" si="26"/>
        <v>74.960257042871831</v>
      </c>
      <c r="D388" s="31">
        <f t="shared" ca="1" si="26"/>
        <v>125.34795482149848</v>
      </c>
      <c r="E388" s="32">
        <v>40.429073680582853</v>
      </c>
      <c r="F388" s="32">
        <v>110.97149366853236</v>
      </c>
      <c r="G388" s="17"/>
      <c r="H388" s="17"/>
      <c r="I388" s="17"/>
      <c r="J388" s="17"/>
    </row>
    <row r="389" spans="3:10" x14ac:dyDescent="0.25">
      <c r="C389" s="31">
        <f t="shared" ca="1" si="26"/>
        <v>44.558897499250122</v>
      </c>
      <c r="D389" s="31">
        <f t="shared" ca="1" si="26"/>
        <v>125.25378661399211</v>
      </c>
      <c r="E389" s="32">
        <v>78.622275166379509</v>
      </c>
      <c r="F389" s="32">
        <v>111.27883645444072</v>
      </c>
      <c r="G389" s="17"/>
      <c r="H389" s="17"/>
      <c r="I389" s="17"/>
      <c r="J389" s="17"/>
    </row>
    <row r="390" spans="3:10" x14ac:dyDescent="0.25">
      <c r="C390" s="31">
        <f t="shared" ca="1" si="26"/>
        <v>66.201364290232931</v>
      </c>
      <c r="D390" s="31">
        <f t="shared" ca="1" si="26"/>
        <v>109.54287897097122</v>
      </c>
      <c r="E390" s="32">
        <v>12.700186287692354</v>
      </c>
      <c r="F390" s="32">
        <v>111.2712786184361</v>
      </c>
      <c r="G390" s="17"/>
      <c r="H390" s="17"/>
      <c r="I390" s="17"/>
      <c r="J390" s="17"/>
    </row>
    <row r="391" spans="3:10" x14ac:dyDescent="0.25">
      <c r="C391" s="31">
        <f t="shared" ca="1" si="26"/>
        <v>62.503686972206886</v>
      </c>
      <c r="D391" s="31">
        <f t="shared" ca="1" si="26"/>
        <v>92.384878812272021</v>
      </c>
      <c r="E391" s="32">
        <v>45.010735697210535</v>
      </c>
      <c r="F391" s="32">
        <v>134.18771420427973</v>
      </c>
      <c r="G391" s="17"/>
      <c r="H391" s="17"/>
      <c r="I391" s="17"/>
      <c r="J391" s="17"/>
    </row>
    <row r="392" spans="3:10" x14ac:dyDescent="0.25">
      <c r="C392" s="31">
        <f t="shared" ca="1" si="26"/>
        <v>64.950403422855217</v>
      </c>
      <c r="D392" s="31">
        <f t="shared" ca="1" si="26"/>
        <v>115.79796026324527</v>
      </c>
      <c r="E392" s="32">
        <v>55.87778156946559</v>
      </c>
      <c r="F392" s="32">
        <v>89.855136402837047</v>
      </c>
      <c r="G392" s="17"/>
      <c r="H392" s="17"/>
      <c r="I392" s="17"/>
      <c r="J392" s="17"/>
    </row>
    <row r="393" spans="3:10" x14ac:dyDescent="0.25">
      <c r="C393" s="31">
        <f t="shared" ca="1" si="26"/>
        <v>52.162693649178564</v>
      </c>
      <c r="D393" s="31">
        <f t="shared" ca="1" si="26"/>
        <v>120.86266363298579</v>
      </c>
      <c r="E393" s="32">
        <v>7.274830853284314</v>
      </c>
      <c r="F393" s="32">
        <v>123.71127400991391</v>
      </c>
      <c r="G393" s="17"/>
      <c r="H393" s="17"/>
      <c r="I393" s="17"/>
      <c r="J393" s="17"/>
    </row>
    <row r="394" spans="3:10" x14ac:dyDescent="0.25">
      <c r="C394" s="31">
        <f t="shared" ref="C394:D413" ca="1" si="27">_xlfn.NORM.INV(RAND(),C$4,C$5)</f>
        <v>40.401270706206439</v>
      </c>
      <c r="D394" s="31">
        <f t="shared" ca="1" si="27"/>
        <v>119.55804665414806</v>
      </c>
      <c r="E394" s="32">
        <v>32.961726399938087</v>
      </c>
      <c r="F394" s="32">
        <v>126.50213140911029</v>
      </c>
      <c r="G394" s="17"/>
      <c r="H394" s="17"/>
      <c r="I394" s="17"/>
      <c r="J394" s="17"/>
    </row>
    <row r="395" spans="3:10" x14ac:dyDescent="0.25">
      <c r="C395" s="31">
        <f t="shared" ca="1" si="27"/>
        <v>67.155277479512975</v>
      </c>
      <c r="D395" s="31">
        <f t="shared" ca="1" si="27"/>
        <v>104.66242205879897</v>
      </c>
      <c r="E395" s="32">
        <v>38.285403121501815</v>
      </c>
      <c r="F395" s="32">
        <v>134.80480797646663</v>
      </c>
      <c r="G395" s="17"/>
      <c r="H395" s="17"/>
      <c r="I395" s="17"/>
      <c r="J395" s="17"/>
    </row>
    <row r="396" spans="3:10" x14ac:dyDescent="0.25">
      <c r="C396" s="31">
        <f t="shared" ca="1" si="27"/>
        <v>68.010312524983362</v>
      </c>
      <c r="D396" s="31">
        <f t="shared" ca="1" si="27"/>
        <v>93.688753442692033</v>
      </c>
      <c r="E396" s="32">
        <v>53.111582120053647</v>
      </c>
      <c r="F396" s="32">
        <v>99.925147880498116</v>
      </c>
      <c r="G396" s="17"/>
      <c r="H396" s="17"/>
      <c r="I396" s="17"/>
      <c r="J396" s="17"/>
    </row>
    <row r="397" spans="3:10" x14ac:dyDescent="0.25">
      <c r="C397" s="31">
        <f t="shared" ca="1" si="27"/>
        <v>77.577268010050631</v>
      </c>
      <c r="D397" s="31">
        <f t="shared" ca="1" si="27"/>
        <v>120.62650771327314</v>
      </c>
      <c r="E397" s="32">
        <v>54.291339631523897</v>
      </c>
      <c r="F397" s="32">
        <v>99.287465290185054</v>
      </c>
      <c r="G397" s="17"/>
      <c r="H397" s="17"/>
      <c r="I397" s="17"/>
      <c r="J397" s="17"/>
    </row>
    <row r="398" spans="3:10" x14ac:dyDescent="0.25">
      <c r="C398" s="31">
        <f t="shared" ca="1" si="27"/>
        <v>9.4196089305244541</v>
      </c>
      <c r="D398" s="31">
        <f t="shared" ca="1" si="27"/>
        <v>109.06645959687675</v>
      </c>
      <c r="E398" s="32">
        <v>69.652688469771306</v>
      </c>
      <c r="F398" s="32">
        <v>124.53780760720805</v>
      </c>
      <c r="G398" s="17"/>
      <c r="H398" s="17"/>
      <c r="I398" s="17"/>
      <c r="J398" s="17"/>
    </row>
    <row r="399" spans="3:10" x14ac:dyDescent="0.25">
      <c r="C399" s="31">
        <f t="shared" ca="1" si="27"/>
        <v>38.898330464402825</v>
      </c>
      <c r="D399" s="31">
        <f t="shared" ca="1" si="27"/>
        <v>104.2183963584424</v>
      </c>
      <c r="E399" s="32">
        <v>70.39882427151619</v>
      </c>
      <c r="F399" s="32">
        <v>83.761584923440651</v>
      </c>
      <c r="G399" s="17"/>
      <c r="H399" s="17"/>
      <c r="I399" s="17"/>
      <c r="J399" s="17"/>
    </row>
    <row r="400" spans="3:10" x14ac:dyDescent="0.25">
      <c r="C400" s="31">
        <f t="shared" ca="1" si="27"/>
        <v>39.365139317868284</v>
      </c>
      <c r="D400" s="31">
        <f t="shared" ca="1" si="27"/>
        <v>132.20360760060592</v>
      </c>
      <c r="E400" s="32">
        <v>68.607099756971209</v>
      </c>
      <c r="F400" s="32">
        <v>119.98482393458693</v>
      </c>
      <c r="G400" s="17"/>
      <c r="H400" s="17"/>
      <c r="I400" s="17"/>
      <c r="J400" s="17"/>
    </row>
    <row r="401" spans="3:10" x14ac:dyDescent="0.25">
      <c r="C401" s="31">
        <f t="shared" ca="1" si="27"/>
        <v>58.766816017440235</v>
      </c>
      <c r="D401" s="31">
        <f t="shared" ca="1" si="27"/>
        <v>103.71799575942831</v>
      </c>
      <c r="E401" s="32">
        <v>37.009912724287958</v>
      </c>
      <c r="F401" s="32">
        <v>108.92841696699253</v>
      </c>
      <c r="G401" s="17"/>
      <c r="H401" s="17"/>
      <c r="I401" s="17"/>
      <c r="J401" s="17"/>
    </row>
    <row r="402" spans="3:10" x14ac:dyDescent="0.25">
      <c r="C402" s="31">
        <f t="shared" ca="1" si="27"/>
        <v>40.381627118819615</v>
      </c>
      <c r="D402" s="31">
        <f t="shared" ca="1" si="27"/>
        <v>117.47941832393752</v>
      </c>
      <c r="E402" s="32">
        <v>37.231765243472935</v>
      </c>
      <c r="F402" s="32">
        <v>118.76988144275722</v>
      </c>
      <c r="G402" s="17"/>
      <c r="H402" s="17"/>
      <c r="I402" s="17"/>
      <c r="J402" s="17"/>
    </row>
    <row r="403" spans="3:10" x14ac:dyDescent="0.25">
      <c r="C403" s="31">
        <f t="shared" ca="1" si="27"/>
        <v>27.563511822147948</v>
      </c>
      <c r="D403" s="31">
        <f t="shared" ca="1" si="27"/>
        <v>95.65485407897468</v>
      </c>
      <c r="E403" s="32">
        <v>50.596585765717926</v>
      </c>
      <c r="F403" s="32">
        <v>102.68916354821384</v>
      </c>
      <c r="G403" s="17"/>
      <c r="H403" s="17"/>
      <c r="I403" s="17"/>
      <c r="J403" s="17"/>
    </row>
    <row r="404" spans="3:10" x14ac:dyDescent="0.25">
      <c r="C404" s="31">
        <f t="shared" ca="1" si="27"/>
        <v>41.927527483694611</v>
      </c>
      <c r="D404" s="31">
        <f t="shared" ca="1" si="27"/>
        <v>107.14680198369402</v>
      </c>
      <c r="E404" s="32">
        <v>32.288762081027762</v>
      </c>
      <c r="F404" s="32">
        <v>128.03911717108227</v>
      </c>
      <c r="G404" s="17"/>
      <c r="H404" s="17"/>
      <c r="I404" s="17"/>
      <c r="J404" s="17"/>
    </row>
    <row r="405" spans="3:10" x14ac:dyDescent="0.25">
      <c r="C405" s="31">
        <f t="shared" ca="1" si="27"/>
        <v>71.164263171610969</v>
      </c>
      <c r="D405" s="31">
        <f t="shared" ca="1" si="27"/>
        <v>126.82933025552023</v>
      </c>
      <c r="E405" s="32">
        <v>81.977047403341516</v>
      </c>
      <c r="F405" s="32">
        <v>102.41110329606524</v>
      </c>
      <c r="G405" s="17"/>
      <c r="H405" s="17"/>
      <c r="I405" s="17"/>
      <c r="J405" s="17"/>
    </row>
    <row r="406" spans="3:10" x14ac:dyDescent="0.25">
      <c r="C406" s="31">
        <f t="shared" ca="1" si="27"/>
        <v>57.352954060470118</v>
      </c>
      <c r="D406" s="31">
        <f t="shared" ca="1" si="27"/>
        <v>92.033698344324165</v>
      </c>
      <c r="E406" s="32">
        <v>48.083052729078574</v>
      </c>
      <c r="F406" s="32">
        <v>97.137557105102928</v>
      </c>
      <c r="G406" s="17"/>
      <c r="H406" s="17"/>
      <c r="I406" s="17"/>
      <c r="J406" s="17"/>
    </row>
    <row r="407" spans="3:10" x14ac:dyDescent="0.25">
      <c r="C407" s="31">
        <f t="shared" ca="1" si="27"/>
        <v>30.179298120436759</v>
      </c>
      <c r="D407" s="31">
        <f t="shared" ca="1" si="27"/>
        <v>123.31592143419419</v>
      </c>
      <c r="E407" s="32">
        <v>62.97683032381552</v>
      </c>
      <c r="F407" s="32">
        <v>117.28685885545579</v>
      </c>
      <c r="G407" s="17"/>
      <c r="H407" s="17"/>
      <c r="I407" s="17"/>
      <c r="J407" s="17"/>
    </row>
    <row r="408" spans="3:10" x14ac:dyDescent="0.25">
      <c r="C408" s="31">
        <f t="shared" ca="1" si="27"/>
        <v>58.104440310744948</v>
      </c>
      <c r="D408" s="31">
        <f t="shared" ca="1" si="27"/>
        <v>103.09394803641749</v>
      </c>
      <c r="E408" s="32">
        <v>27.227012769260828</v>
      </c>
      <c r="F408" s="32">
        <v>100.62193265709247</v>
      </c>
      <c r="G408" s="17"/>
      <c r="H408" s="17"/>
      <c r="I408" s="17"/>
      <c r="J408" s="17"/>
    </row>
    <row r="409" spans="3:10" x14ac:dyDescent="0.25">
      <c r="C409" s="31">
        <f t="shared" ca="1" si="27"/>
        <v>63.053439676554142</v>
      </c>
      <c r="D409" s="31">
        <f t="shared" ca="1" si="27"/>
        <v>76.011921678957691</v>
      </c>
      <c r="E409" s="32">
        <v>52.276326534446333</v>
      </c>
      <c r="F409" s="32">
        <v>134.55133999545927</v>
      </c>
      <c r="G409" s="17"/>
      <c r="H409" s="17"/>
      <c r="I409" s="17"/>
      <c r="J409" s="17"/>
    </row>
    <row r="410" spans="3:10" x14ac:dyDescent="0.25">
      <c r="C410" s="31">
        <f t="shared" ca="1" si="27"/>
        <v>63.214275436294983</v>
      </c>
      <c r="D410" s="31">
        <f t="shared" ca="1" si="27"/>
        <v>121.42038615620149</v>
      </c>
      <c r="E410" s="32">
        <v>20.4611951792097</v>
      </c>
      <c r="F410" s="32">
        <v>86.969290491044902</v>
      </c>
      <c r="G410" s="17"/>
      <c r="H410" s="17"/>
      <c r="I410" s="17"/>
      <c r="J410" s="17"/>
    </row>
    <row r="411" spans="3:10" x14ac:dyDescent="0.25">
      <c r="C411" s="31">
        <f t="shared" ca="1" si="27"/>
        <v>68.217379805766811</v>
      </c>
      <c r="D411" s="31">
        <f t="shared" ca="1" si="27"/>
        <v>113.83835150165331</v>
      </c>
      <c r="E411" s="32">
        <v>14.001586506017119</v>
      </c>
      <c r="F411" s="32">
        <v>123.59246036973592</v>
      </c>
      <c r="G411" s="17"/>
      <c r="H411" s="17"/>
      <c r="I411" s="17"/>
      <c r="J411" s="17"/>
    </row>
    <row r="412" spans="3:10" x14ac:dyDescent="0.25">
      <c r="C412" s="31">
        <f t="shared" ca="1" si="27"/>
        <v>31.959164070210598</v>
      </c>
      <c r="D412" s="31">
        <f t="shared" ca="1" si="27"/>
        <v>110.26468699544824</v>
      </c>
      <c r="E412" s="32">
        <v>58.568986868179053</v>
      </c>
      <c r="F412" s="32">
        <v>76.77102214562268</v>
      </c>
      <c r="G412" s="17"/>
      <c r="H412" s="17"/>
      <c r="I412" s="17"/>
      <c r="J412" s="17"/>
    </row>
    <row r="413" spans="3:10" x14ac:dyDescent="0.25">
      <c r="C413" s="31">
        <f t="shared" ca="1" si="27"/>
        <v>28.167709702137884</v>
      </c>
      <c r="D413" s="31">
        <f t="shared" ca="1" si="27"/>
        <v>104.52043056045437</v>
      </c>
      <c r="E413" s="32">
        <v>56.496456671122516</v>
      </c>
      <c r="F413" s="32">
        <v>123.98916657072266</v>
      </c>
      <c r="G413" s="17"/>
      <c r="H413" s="17"/>
      <c r="I413" s="17"/>
      <c r="J413" s="17"/>
    </row>
    <row r="414" spans="3:10" x14ac:dyDescent="0.25">
      <c r="C414" s="31">
        <f t="shared" ref="C414:D433" ca="1" si="28">_xlfn.NORM.INV(RAND(),C$4,C$5)</f>
        <v>41.994997238525897</v>
      </c>
      <c r="D414" s="31">
        <f t="shared" ca="1" si="28"/>
        <v>127.14965284159985</v>
      </c>
      <c r="E414" s="32">
        <v>89.795378681660225</v>
      </c>
      <c r="F414" s="32">
        <v>103.00435351283132</v>
      </c>
      <c r="G414" s="17"/>
      <c r="H414" s="17"/>
      <c r="I414" s="17"/>
      <c r="J414" s="17"/>
    </row>
    <row r="415" spans="3:10" x14ac:dyDescent="0.25">
      <c r="C415" s="31">
        <f t="shared" ca="1" si="28"/>
        <v>85.287922923071761</v>
      </c>
      <c r="D415" s="31">
        <f t="shared" ca="1" si="28"/>
        <v>115.39831997361895</v>
      </c>
      <c r="E415" s="32">
        <v>70.907109563293517</v>
      </c>
      <c r="F415" s="32">
        <v>98.728001400347651</v>
      </c>
      <c r="G415" s="17"/>
      <c r="H415" s="17"/>
      <c r="I415" s="17"/>
      <c r="J415" s="17"/>
    </row>
    <row r="416" spans="3:10" x14ac:dyDescent="0.25">
      <c r="C416" s="31">
        <f t="shared" ca="1" si="28"/>
        <v>59.353473740448983</v>
      </c>
      <c r="D416" s="31">
        <f t="shared" ca="1" si="28"/>
        <v>121.72766443759427</v>
      </c>
      <c r="E416" s="32">
        <v>88.18924496825025</v>
      </c>
      <c r="F416" s="32">
        <v>106.46125989981822</v>
      </c>
      <c r="G416" s="17"/>
      <c r="H416" s="17"/>
      <c r="I416" s="17"/>
      <c r="J416" s="17"/>
    </row>
    <row r="417" spans="3:10" x14ac:dyDescent="0.25">
      <c r="C417" s="31">
        <f t="shared" ca="1" si="28"/>
        <v>43.222080302155362</v>
      </c>
      <c r="D417" s="31">
        <f t="shared" ca="1" si="28"/>
        <v>107.89774403297565</v>
      </c>
      <c r="E417" s="32">
        <v>72.881946090499369</v>
      </c>
      <c r="F417" s="32">
        <v>134.24923207418394</v>
      </c>
      <c r="G417" s="17"/>
      <c r="H417" s="17"/>
      <c r="I417" s="17"/>
      <c r="J417" s="17"/>
    </row>
    <row r="418" spans="3:10" x14ac:dyDescent="0.25">
      <c r="C418" s="31">
        <f t="shared" ca="1" si="28"/>
        <v>18.431620387100619</v>
      </c>
      <c r="D418" s="31">
        <f t="shared" ca="1" si="28"/>
        <v>107.90847082051467</v>
      </c>
      <c r="E418" s="32">
        <v>45.883190699923418</v>
      </c>
      <c r="F418" s="32">
        <v>101.39584693332235</v>
      </c>
      <c r="G418" s="17"/>
      <c r="H418" s="17"/>
      <c r="I418" s="17"/>
      <c r="J418" s="17"/>
    </row>
    <row r="419" spans="3:10" x14ac:dyDescent="0.25">
      <c r="C419" s="31">
        <f t="shared" ca="1" si="28"/>
        <v>66.53938612755806</v>
      </c>
      <c r="D419" s="31">
        <f t="shared" ca="1" si="28"/>
        <v>123.79663513092319</v>
      </c>
      <c r="E419" s="32">
        <v>82.54039090092553</v>
      </c>
      <c r="F419" s="32">
        <v>104.13971655282023</v>
      </c>
      <c r="G419" s="17"/>
      <c r="H419" s="17"/>
      <c r="I419" s="17"/>
      <c r="J419" s="17"/>
    </row>
    <row r="420" spans="3:10" x14ac:dyDescent="0.25">
      <c r="C420" s="31">
        <f t="shared" ca="1" si="28"/>
        <v>44.103198260781127</v>
      </c>
      <c r="D420" s="31">
        <f t="shared" ca="1" si="28"/>
        <v>107.51655185083605</v>
      </c>
      <c r="E420" s="32">
        <v>64.63358514231706</v>
      </c>
      <c r="F420" s="32">
        <v>128.05426158383489</v>
      </c>
      <c r="G420" s="17"/>
      <c r="H420" s="17"/>
      <c r="I420" s="17"/>
      <c r="J420" s="17"/>
    </row>
    <row r="421" spans="3:10" x14ac:dyDescent="0.25">
      <c r="C421" s="31">
        <f t="shared" ca="1" si="28"/>
        <v>11.296941893816204</v>
      </c>
      <c r="D421" s="31">
        <f t="shared" ca="1" si="28"/>
        <v>124.56129482149794</v>
      </c>
      <c r="E421" s="32">
        <v>31.97010065642456</v>
      </c>
      <c r="F421" s="32">
        <v>109.19096255850344</v>
      </c>
      <c r="G421" s="17"/>
      <c r="H421" s="17"/>
      <c r="I421" s="17"/>
      <c r="J421" s="17"/>
    </row>
    <row r="422" spans="3:10" x14ac:dyDescent="0.25">
      <c r="C422" s="31">
        <f t="shared" ca="1" si="28"/>
        <v>67.851315833064689</v>
      </c>
      <c r="D422" s="31">
        <f t="shared" ca="1" si="28"/>
        <v>114.49481624503957</v>
      </c>
      <c r="E422" s="32">
        <v>50.326292466809086</v>
      </c>
      <c r="F422" s="32">
        <v>105.49908794930718</v>
      </c>
      <c r="G422" s="17"/>
      <c r="H422" s="17"/>
      <c r="I422" s="17"/>
      <c r="J422" s="17"/>
    </row>
    <row r="423" spans="3:10" x14ac:dyDescent="0.25">
      <c r="C423" s="31">
        <f t="shared" ca="1" si="28"/>
        <v>75.317699642480051</v>
      </c>
      <c r="D423" s="31">
        <f t="shared" ca="1" si="28"/>
        <v>110.89822845784835</v>
      </c>
      <c r="E423" s="32">
        <v>12.430139045954121</v>
      </c>
      <c r="F423" s="32">
        <v>112.28754314191858</v>
      </c>
      <c r="G423" s="17"/>
      <c r="H423" s="17"/>
      <c r="I423" s="17"/>
      <c r="J423" s="17"/>
    </row>
    <row r="424" spans="3:10" x14ac:dyDescent="0.25">
      <c r="C424" s="31">
        <f t="shared" ca="1" si="28"/>
        <v>34.791173989096563</v>
      </c>
      <c r="D424" s="31">
        <f t="shared" ca="1" si="28"/>
        <v>116.51522821861975</v>
      </c>
      <c r="E424" s="32">
        <v>28.103257444037979</v>
      </c>
      <c r="F424" s="32">
        <v>102.92148531839415</v>
      </c>
      <c r="G424" s="17"/>
      <c r="H424" s="17"/>
      <c r="I424" s="17"/>
      <c r="J424" s="17"/>
    </row>
    <row r="425" spans="3:10" x14ac:dyDescent="0.25">
      <c r="C425" s="31">
        <f t="shared" ca="1" si="28"/>
        <v>66.743026916871685</v>
      </c>
      <c r="D425" s="31">
        <f t="shared" ca="1" si="28"/>
        <v>104.96997058398449</v>
      </c>
      <c r="E425" s="32">
        <v>72.625701842988775</v>
      </c>
      <c r="F425" s="32">
        <v>122.52332960997273</v>
      </c>
      <c r="G425" s="17"/>
      <c r="H425" s="17"/>
      <c r="I425" s="17"/>
      <c r="J425" s="17"/>
    </row>
    <row r="426" spans="3:10" x14ac:dyDescent="0.25">
      <c r="C426" s="31">
        <f t="shared" ca="1" si="28"/>
        <v>57.752032370076108</v>
      </c>
      <c r="D426" s="31">
        <f t="shared" ca="1" si="28"/>
        <v>129.08439446615733</v>
      </c>
      <c r="E426" s="32">
        <v>43.543867923572215</v>
      </c>
      <c r="F426" s="32">
        <v>107.26897580820139</v>
      </c>
      <c r="G426" s="17"/>
      <c r="H426" s="17"/>
      <c r="I426" s="17"/>
      <c r="J426" s="17"/>
    </row>
    <row r="427" spans="3:10" x14ac:dyDescent="0.25">
      <c r="C427" s="31">
        <f t="shared" ca="1" si="28"/>
        <v>50.930965968876116</v>
      </c>
      <c r="D427" s="31">
        <f t="shared" ca="1" si="28"/>
        <v>92.391012231809867</v>
      </c>
      <c r="E427" s="32">
        <v>51.532560582314666</v>
      </c>
      <c r="F427" s="32">
        <v>110.83719571491483</v>
      </c>
      <c r="G427" s="17"/>
      <c r="H427" s="17"/>
      <c r="I427" s="17"/>
      <c r="J427" s="17"/>
    </row>
    <row r="428" spans="3:10" x14ac:dyDescent="0.25">
      <c r="C428" s="31">
        <f t="shared" ca="1" si="28"/>
        <v>38.595851878130013</v>
      </c>
      <c r="D428" s="31">
        <f t="shared" ca="1" si="28"/>
        <v>118.00761538743566</v>
      </c>
      <c r="E428" s="32">
        <v>57.669715067876254</v>
      </c>
      <c r="F428" s="32">
        <v>92.522989483253028</v>
      </c>
      <c r="G428" s="17"/>
      <c r="H428" s="17"/>
      <c r="I428" s="17"/>
      <c r="J428" s="17"/>
    </row>
    <row r="429" spans="3:10" x14ac:dyDescent="0.25">
      <c r="C429" s="31">
        <f t="shared" ca="1" si="28"/>
        <v>58.197124765496838</v>
      </c>
      <c r="D429" s="31">
        <f t="shared" ca="1" si="28"/>
        <v>112.88231889404791</v>
      </c>
      <c r="E429" s="32">
        <v>37.798509155032548</v>
      </c>
      <c r="F429" s="32">
        <v>125.7338402879181</v>
      </c>
      <c r="G429" s="17"/>
      <c r="H429" s="17"/>
      <c r="I429" s="17"/>
      <c r="J429" s="17"/>
    </row>
    <row r="430" spans="3:10" x14ac:dyDescent="0.25">
      <c r="C430" s="31">
        <f t="shared" ca="1" si="28"/>
        <v>41.285403791303949</v>
      </c>
      <c r="D430" s="31">
        <f t="shared" ca="1" si="28"/>
        <v>100.66820767450538</v>
      </c>
      <c r="E430" s="32">
        <v>53.346163475273087</v>
      </c>
      <c r="F430" s="32">
        <v>96.6232810909638</v>
      </c>
      <c r="G430" s="17"/>
      <c r="H430" s="17"/>
      <c r="I430" s="17"/>
      <c r="J430" s="17"/>
    </row>
    <row r="431" spans="3:10" x14ac:dyDescent="0.25">
      <c r="C431" s="31">
        <f t="shared" ca="1" si="28"/>
        <v>60.112975072106188</v>
      </c>
      <c r="D431" s="31">
        <f t="shared" ca="1" si="28"/>
        <v>117.92095447125666</v>
      </c>
      <c r="E431" s="32">
        <v>60.520701930993809</v>
      </c>
      <c r="F431" s="32">
        <v>130.55036787239587</v>
      </c>
      <c r="G431" s="17"/>
      <c r="H431" s="17"/>
      <c r="I431" s="17"/>
      <c r="J431" s="17"/>
    </row>
    <row r="432" spans="3:10" x14ac:dyDescent="0.25">
      <c r="C432" s="31">
        <f t="shared" ca="1" si="28"/>
        <v>32.570414464772874</v>
      </c>
      <c r="D432" s="31">
        <f t="shared" ca="1" si="28"/>
        <v>129.03218841891436</v>
      </c>
      <c r="E432" s="32">
        <v>24.809811353616904</v>
      </c>
      <c r="F432" s="32">
        <v>115.95471077748698</v>
      </c>
      <c r="G432" s="17"/>
      <c r="H432" s="17"/>
      <c r="I432" s="17"/>
      <c r="J432" s="17"/>
    </row>
    <row r="433" spans="3:10" x14ac:dyDescent="0.25">
      <c r="C433" s="31">
        <f t="shared" ca="1" si="28"/>
        <v>43.917749229440432</v>
      </c>
      <c r="D433" s="31">
        <f t="shared" ca="1" si="28"/>
        <v>113.62640627110075</v>
      </c>
      <c r="E433" s="32">
        <v>52.409859605780305</v>
      </c>
      <c r="F433" s="32">
        <v>100.54789414163069</v>
      </c>
      <c r="G433" s="17"/>
      <c r="H433" s="17"/>
      <c r="I433" s="17"/>
      <c r="J433" s="17"/>
    </row>
    <row r="434" spans="3:10" x14ac:dyDescent="0.25">
      <c r="C434" s="31">
        <f t="shared" ref="C434:D453" ca="1" si="29">_xlfn.NORM.INV(RAND(),C$4,C$5)</f>
        <v>51.263274701686278</v>
      </c>
      <c r="D434" s="31">
        <f t="shared" ca="1" si="29"/>
        <v>92.862707839125122</v>
      </c>
      <c r="E434" s="32">
        <v>95.142719167870268</v>
      </c>
      <c r="F434" s="32">
        <v>102.62932419916721</v>
      </c>
      <c r="G434" s="17"/>
      <c r="H434" s="17"/>
      <c r="I434" s="17"/>
      <c r="J434" s="17"/>
    </row>
    <row r="435" spans="3:10" x14ac:dyDescent="0.25">
      <c r="C435" s="31">
        <f t="shared" ca="1" si="29"/>
        <v>52.890770956692016</v>
      </c>
      <c r="D435" s="31">
        <f t="shared" ca="1" si="29"/>
        <v>121.02348368451142</v>
      </c>
      <c r="E435" s="32">
        <v>61.642029359206816</v>
      </c>
      <c r="F435" s="32">
        <v>91.955487271910926</v>
      </c>
      <c r="G435" s="17"/>
      <c r="H435" s="17"/>
      <c r="I435" s="17"/>
      <c r="J435" s="17"/>
    </row>
    <row r="436" spans="3:10" x14ac:dyDescent="0.25">
      <c r="C436" s="31">
        <f t="shared" ca="1" si="29"/>
        <v>61.001254031633771</v>
      </c>
      <c r="D436" s="31">
        <f t="shared" ca="1" si="29"/>
        <v>100.59355151448692</v>
      </c>
      <c r="E436" s="32">
        <v>45.04630801923296</v>
      </c>
      <c r="F436" s="32">
        <v>114.53783637447016</v>
      </c>
      <c r="G436" s="17"/>
      <c r="H436" s="17"/>
      <c r="I436" s="17"/>
      <c r="J436" s="17"/>
    </row>
    <row r="437" spans="3:10" x14ac:dyDescent="0.25">
      <c r="C437" s="31">
        <f t="shared" ca="1" si="29"/>
        <v>58.445498732911233</v>
      </c>
      <c r="D437" s="31">
        <f t="shared" ca="1" si="29"/>
        <v>120.13800439851434</v>
      </c>
      <c r="E437" s="32">
        <v>82.279106072363973</v>
      </c>
      <c r="F437" s="32">
        <v>136.9990201704081</v>
      </c>
      <c r="G437" s="17"/>
      <c r="H437" s="17"/>
      <c r="I437" s="17"/>
      <c r="J437" s="17"/>
    </row>
    <row r="438" spans="3:10" x14ac:dyDescent="0.25">
      <c r="C438" s="31">
        <f t="shared" ca="1" si="29"/>
        <v>68.811565680831336</v>
      </c>
      <c r="D438" s="31">
        <f t="shared" ca="1" si="29"/>
        <v>129.19265986609423</v>
      </c>
      <c r="E438" s="32">
        <v>57.432002579818977</v>
      </c>
      <c r="F438" s="32">
        <v>104.41757390681454</v>
      </c>
      <c r="G438" s="17"/>
      <c r="H438" s="17"/>
      <c r="I438" s="17"/>
      <c r="J438" s="17"/>
    </row>
    <row r="439" spans="3:10" x14ac:dyDescent="0.25">
      <c r="C439" s="31">
        <f t="shared" ca="1" si="29"/>
        <v>52.880447979143007</v>
      </c>
      <c r="D439" s="31">
        <f t="shared" ca="1" si="29"/>
        <v>98.894426295270506</v>
      </c>
      <c r="E439" s="32">
        <v>21.903510395935523</v>
      </c>
      <c r="F439" s="32">
        <v>98.658383203388681</v>
      </c>
      <c r="G439" s="17"/>
      <c r="H439" s="17"/>
      <c r="I439" s="17"/>
      <c r="J439" s="17"/>
    </row>
    <row r="440" spans="3:10" x14ac:dyDescent="0.25">
      <c r="C440" s="31">
        <f t="shared" ca="1" si="29"/>
        <v>49.537305368292081</v>
      </c>
      <c r="D440" s="31">
        <f t="shared" ca="1" si="29"/>
        <v>115.31894098030352</v>
      </c>
      <c r="E440" s="32">
        <v>66.12066963665373</v>
      </c>
      <c r="F440" s="32">
        <v>113.55899686787313</v>
      </c>
      <c r="G440" s="17"/>
      <c r="H440" s="17"/>
      <c r="I440" s="17"/>
      <c r="J440" s="17"/>
    </row>
    <row r="441" spans="3:10" x14ac:dyDescent="0.25">
      <c r="C441" s="31">
        <f t="shared" ca="1" si="29"/>
        <v>38.724512638427512</v>
      </c>
      <c r="D441" s="31">
        <f t="shared" ca="1" si="29"/>
        <v>120.98027577927076</v>
      </c>
      <c r="E441" s="32">
        <v>39.029256991732424</v>
      </c>
      <c r="F441" s="32">
        <v>117.8454318112655</v>
      </c>
      <c r="G441" s="17"/>
      <c r="H441" s="17"/>
      <c r="I441" s="17"/>
      <c r="J441" s="17"/>
    </row>
    <row r="442" spans="3:10" x14ac:dyDescent="0.25">
      <c r="C442" s="31">
        <f t="shared" ca="1" si="29"/>
        <v>48.281823628831731</v>
      </c>
      <c r="D442" s="31">
        <f t="shared" ca="1" si="29"/>
        <v>116.07048870416257</v>
      </c>
      <c r="E442" s="32">
        <v>79.869996025768984</v>
      </c>
      <c r="F442" s="32">
        <v>127.96971889406616</v>
      </c>
      <c r="G442" s="17"/>
      <c r="H442" s="17"/>
      <c r="I442" s="17"/>
      <c r="J442" s="17"/>
    </row>
    <row r="443" spans="3:10" x14ac:dyDescent="0.25">
      <c r="C443" s="31">
        <f t="shared" ca="1" si="29"/>
        <v>48.502239789807881</v>
      </c>
      <c r="D443" s="31">
        <f t="shared" ca="1" si="29"/>
        <v>117.67337170550391</v>
      </c>
      <c r="E443" s="32">
        <v>40.445062826682118</v>
      </c>
      <c r="F443" s="32">
        <v>104.51120043873625</v>
      </c>
      <c r="G443" s="17"/>
      <c r="H443" s="17"/>
      <c r="I443" s="17"/>
      <c r="J443" s="17"/>
    </row>
    <row r="444" spans="3:10" x14ac:dyDescent="0.25">
      <c r="C444" s="31">
        <f t="shared" ca="1" si="29"/>
        <v>55.372056391380895</v>
      </c>
      <c r="D444" s="31">
        <f t="shared" ca="1" si="29"/>
        <v>95.902839474950383</v>
      </c>
      <c r="E444" s="32">
        <v>49.976560926894251</v>
      </c>
      <c r="F444" s="32">
        <v>114.00596579395874</v>
      </c>
      <c r="G444" s="17"/>
      <c r="H444" s="17"/>
      <c r="I444" s="17"/>
      <c r="J444" s="17"/>
    </row>
    <row r="445" spans="3:10" x14ac:dyDescent="0.25">
      <c r="C445" s="31">
        <f t="shared" ca="1" si="29"/>
        <v>42.960787567569312</v>
      </c>
      <c r="D445" s="31">
        <f t="shared" ca="1" si="29"/>
        <v>101.39285139719009</v>
      </c>
      <c r="E445" s="32">
        <v>25.34601060834391</v>
      </c>
      <c r="F445" s="32">
        <v>113.29443604780739</v>
      </c>
      <c r="G445" s="17"/>
      <c r="H445" s="17"/>
      <c r="I445" s="17"/>
      <c r="J445" s="17"/>
    </row>
    <row r="446" spans="3:10" x14ac:dyDescent="0.25">
      <c r="C446" s="31">
        <f t="shared" ca="1" si="29"/>
        <v>51.322399870160957</v>
      </c>
      <c r="D446" s="31">
        <f t="shared" ca="1" si="29"/>
        <v>107.58092236303752</v>
      </c>
      <c r="E446" s="32">
        <v>41.871444090873943</v>
      </c>
      <c r="F446" s="32">
        <v>110.72759978761131</v>
      </c>
      <c r="G446" s="17"/>
      <c r="H446" s="17"/>
      <c r="I446" s="17"/>
      <c r="J446" s="17"/>
    </row>
    <row r="447" spans="3:10" x14ac:dyDescent="0.25">
      <c r="C447" s="31">
        <f t="shared" ca="1" si="29"/>
        <v>44.62641890279582</v>
      </c>
      <c r="D447" s="31">
        <f t="shared" ca="1" si="29"/>
        <v>92.927037993441786</v>
      </c>
      <c r="E447" s="32">
        <v>50.314643022900249</v>
      </c>
      <c r="F447" s="32">
        <v>117.89689644743717</v>
      </c>
      <c r="G447" s="17"/>
      <c r="H447" s="17"/>
      <c r="I447" s="17"/>
      <c r="J447" s="17"/>
    </row>
    <row r="448" spans="3:10" x14ac:dyDescent="0.25">
      <c r="C448" s="31">
        <f t="shared" ca="1" si="29"/>
        <v>64.962965383248203</v>
      </c>
      <c r="D448" s="31">
        <f t="shared" ca="1" si="29"/>
        <v>115.21128966569432</v>
      </c>
      <c r="E448" s="32">
        <v>50.644593230959572</v>
      </c>
      <c r="F448" s="32">
        <v>122.17274992668649</v>
      </c>
      <c r="G448" s="17"/>
      <c r="H448" s="17"/>
      <c r="I448" s="17"/>
      <c r="J448" s="17"/>
    </row>
    <row r="449" spans="3:10" x14ac:dyDescent="0.25">
      <c r="C449" s="31">
        <f t="shared" ca="1" si="29"/>
        <v>67.203947869593065</v>
      </c>
      <c r="D449" s="31">
        <f t="shared" ca="1" si="29"/>
        <v>108.4848547405437</v>
      </c>
      <c r="E449" s="32">
        <v>78.887759948640678</v>
      </c>
      <c r="F449" s="32">
        <v>120.35950541033063</v>
      </c>
      <c r="G449" s="17"/>
      <c r="H449" s="17"/>
      <c r="I449" s="17"/>
      <c r="J449" s="17"/>
    </row>
    <row r="450" spans="3:10" x14ac:dyDescent="0.25">
      <c r="C450" s="31">
        <f t="shared" ca="1" si="29"/>
        <v>67.133766041790807</v>
      </c>
      <c r="D450" s="31">
        <f t="shared" ca="1" si="29"/>
        <v>94.608906626980342</v>
      </c>
      <c r="E450" s="32">
        <v>50.263602908344048</v>
      </c>
      <c r="F450" s="32">
        <v>121.72464035386888</v>
      </c>
      <c r="G450" s="17"/>
      <c r="H450" s="17"/>
      <c r="I450" s="17"/>
      <c r="J450" s="17"/>
    </row>
    <row r="451" spans="3:10" x14ac:dyDescent="0.25">
      <c r="C451" s="31">
        <f t="shared" ca="1" si="29"/>
        <v>54.644279699405608</v>
      </c>
      <c r="D451" s="31">
        <f t="shared" ca="1" si="29"/>
        <v>124.93918185275228</v>
      </c>
      <c r="E451" s="32">
        <v>52.759296594514836</v>
      </c>
      <c r="F451" s="32">
        <v>125.71108762504159</v>
      </c>
      <c r="G451" s="17"/>
      <c r="H451" s="17"/>
      <c r="I451" s="17"/>
      <c r="J451" s="17"/>
    </row>
    <row r="452" spans="3:10" x14ac:dyDescent="0.25">
      <c r="C452" s="31">
        <f t="shared" ca="1" si="29"/>
        <v>19.671247654461411</v>
      </c>
      <c r="D452" s="31">
        <f t="shared" ca="1" si="29"/>
        <v>127.46365837115151</v>
      </c>
      <c r="E452" s="32">
        <v>33.403756987830867</v>
      </c>
      <c r="F452" s="32">
        <v>106.83067383895109</v>
      </c>
      <c r="G452" s="17"/>
      <c r="H452" s="17"/>
      <c r="I452" s="17"/>
      <c r="J452" s="17"/>
    </row>
    <row r="453" spans="3:10" x14ac:dyDescent="0.25">
      <c r="C453" s="31">
        <f t="shared" ca="1" si="29"/>
        <v>45.584860738226283</v>
      </c>
      <c r="D453" s="31">
        <f t="shared" ca="1" si="29"/>
        <v>105.38556398900138</v>
      </c>
      <c r="E453" s="32">
        <v>50.599844689838648</v>
      </c>
      <c r="F453" s="32">
        <v>104.50307457733878</v>
      </c>
      <c r="G453" s="17"/>
      <c r="H453" s="17"/>
      <c r="I453" s="17"/>
      <c r="J453" s="17"/>
    </row>
    <row r="454" spans="3:10" x14ac:dyDescent="0.25">
      <c r="C454" s="31">
        <f t="shared" ref="C454:D473" ca="1" si="30">_xlfn.NORM.INV(RAND(),C$4,C$5)</f>
        <v>34.398683633916306</v>
      </c>
      <c r="D454" s="31">
        <f t="shared" ca="1" si="30"/>
        <v>85.271416806842325</v>
      </c>
      <c r="E454" s="32">
        <v>31.08182067909727</v>
      </c>
      <c r="F454" s="32">
        <v>124.65999099723106</v>
      </c>
      <c r="G454" s="17"/>
      <c r="H454" s="17"/>
      <c r="I454" s="17"/>
      <c r="J454" s="17"/>
    </row>
    <row r="455" spans="3:10" x14ac:dyDescent="0.25">
      <c r="C455" s="31">
        <f t="shared" ca="1" si="30"/>
        <v>28.885991221696109</v>
      </c>
      <c r="D455" s="31">
        <f t="shared" ca="1" si="30"/>
        <v>138.90682545232471</v>
      </c>
      <c r="E455" s="32">
        <v>64.464437159262559</v>
      </c>
      <c r="F455" s="32">
        <v>96.237564101363716</v>
      </c>
      <c r="G455" s="17"/>
      <c r="H455" s="17"/>
      <c r="I455" s="17"/>
      <c r="J455" s="17"/>
    </row>
    <row r="456" spans="3:10" x14ac:dyDescent="0.25">
      <c r="C456" s="31">
        <f t="shared" ca="1" si="30"/>
        <v>62.012615401038481</v>
      </c>
      <c r="D456" s="31">
        <f t="shared" ca="1" si="30"/>
        <v>92.940012932249061</v>
      </c>
      <c r="E456" s="32">
        <v>15.066038696472873</v>
      </c>
      <c r="F456" s="32">
        <v>125.94872675696023</v>
      </c>
      <c r="G456" s="17"/>
      <c r="H456" s="17"/>
      <c r="I456" s="17"/>
      <c r="J456" s="17"/>
    </row>
    <row r="457" spans="3:10" x14ac:dyDescent="0.25">
      <c r="C457" s="31">
        <f t="shared" ca="1" si="30"/>
        <v>22.750948766028031</v>
      </c>
      <c r="D457" s="31">
        <f t="shared" ca="1" si="30"/>
        <v>114.37033062002641</v>
      </c>
      <c r="E457" s="32">
        <v>49.272426459040851</v>
      </c>
      <c r="F457" s="32">
        <v>110.14040915691872</v>
      </c>
      <c r="G457" s="17"/>
      <c r="H457" s="17"/>
      <c r="I457" s="17"/>
      <c r="J457" s="17"/>
    </row>
    <row r="458" spans="3:10" x14ac:dyDescent="0.25">
      <c r="C458" s="31">
        <f t="shared" ca="1" si="30"/>
        <v>52.998464312000124</v>
      </c>
      <c r="D458" s="31">
        <f t="shared" ca="1" si="30"/>
        <v>115.7743175194024</v>
      </c>
      <c r="E458" s="32">
        <v>42.896210125483407</v>
      </c>
      <c r="F458" s="32">
        <v>121.72748683026532</v>
      </c>
      <c r="G458" s="17"/>
      <c r="H458" s="17"/>
      <c r="I458" s="17"/>
      <c r="J458" s="17"/>
    </row>
    <row r="459" spans="3:10" x14ac:dyDescent="0.25">
      <c r="C459" s="31">
        <f t="shared" ca="1" si="30"/>
        <v>43.158988643143253</v>
      </c>
      <c r="D459" s="31">
        <f t="shared" ca="1" si="30"/>
        <v>124.42675597861918</v>
      </c>
      <c r="E459" s="32">
        <v>40.661482652242718</v>
      </c>
      <c r="F459" s="32">
        <v>91.661675092084252</v>
      </c>
      <c r="G459" s="17"/>
      <c r="H459" s="17"/>
      <c r="I459" s="17"/>
      <c r="J459" s="17"/>
    </row>
    <row r="460" spans="3:10" x14ac:dyDescent="0.25">
      <c r="C460" s="31">
        <f t="shared" ca="1" si="30"/>
        <v>37.604333494152179</v>
      </c>
      <c r="D460" s="31">
        <f t="shared" ca="1" si="30"/>
        <v>126.55107749773535</v>
      </c>
      <c r="E460" s="32">
        <v>60.992893520492686</v>
      </c>
      <c r="F460" s="32">
        <v>122.5165217387586</v>
      </c>
      <c r="G460" s="17"/>
      <c r="H460" s="17"/>
      <c r="I460" s="17"/>
      <c r="J460" s="17"/>
    </row>
    <row r="461" spans="3:10" x14ac:dyDescent="0.25">
      <c r="C461" s="31">
        <f t="shared" ca="1" si="30"/>
        <v>45.724846239848361</v>
      </c>
      <c r="D461" s="31">
        <f t="shared" ca="1" si="30"/>
        <v>107.09397564204485</v>
      </c>
      <c r="E461" s="32">
        <v>13.294755970897398</v>
      </c>
      <c r="F461" s="32">
        <v>112.7636863268814</v>
      </c>
      <c r="G461" s="17"/>
      <c r="H461" s="17"/>
      <c r="I461" s="17"/>
      <c r="J461" s="17"/>
    </row>
    <row r="462" spans="3:10" x14ac:dyDescent="0.25">
      <c r="C462" s="31">
        <f t="shared" ca="1" si="30"/>
        <v>50.727943111732394</v>
      </c>
      <c r="D462" s="31">
        <f t="shared" ca="1" si="30"/>
        <v>131.30569417255776</v>
      </c>
      <c r="E462" s="32">
        <v>40.51148033064139</v>
      </c>
      <c r="F462" s="32">
        <v>98.384828915578225</v>
      </c>
      <c r="G462" s="17"/>
      <c r="H462" s="17"/>
      <c r="I462" s="17"/>
      <c r="J462" s="17"/>
    </row>
    <row r="463" spans="3:10" x14ac:dyDescent="0.25">
      <c r="C463" s="31">
        <f t="shared" ca="1" si="30"/>
        <v>50.141520134582812</v>
      </c>
      <c r="D463" s="31">
        <f t="shared" ca="1" si="30"/>
        <v>103.77186725575609</v>
      </c>
      <c r="E463" s="32">
        <v>25.435725058535382</v>
      </c>
      <c r="F463" s="32">
        <v>122.73010841868243</v>
      </c>
      <c r="G463" s="17"/>
      <c r="H463" s="17"/>
      <c r="I463" s="17"/>
      <c r="J463" s="17"/>
    </row>
    <row r="464" spans="3:10" x14ac:dyDescent="0.25">
      <c r="C464" s="31">
        <f t="shared" ca="1" si="30"/>
        <v>52.406613478854496</v>
      </c>
      <c r="D464" s="31">
        <f t="shared" ca="1" si="30"/>
        <v>100.00737895983092</v>
      </c>
      <c r="E464" s="32">
        <v>61.34360356483694</v>
      </c>
      <c r="F464" s="32">
        <v>118.77231709549532</v>
      </c>
      <c r="G464" s="17"/>
      <c r="H464" s="17"/>
      <c r="I464" s="17"/>
      <c r="J464" s="17"/>
    </row>
    <row r="465" spans="3:10" x14ac:dyDescent="0.25">
      <c r="C465" s="31">
        <f t="shared" ca="1" si="30"/>
        <v>29.4844610681061</v>
      </c>
      <c r="D465" s="31">
        <f t="shared" ca="1" si="30"/>
        <v>107.93547388968499</v>
      </c>
      <c r="E465" s="32">
        <v>72.662477289075326</v>
      </c>
      <c r="F465" s="32">
        <v>107.83613213501548</v>
      </c>
      <c r="G465" s="17"/>
      <c r="H465" s="17"/>
      <c r="I465" s="17"/>
      <c r="J465" s="17"/>
    </row>
    <row r="466" spans="3:10" x14ac:dyDescent="0.25">
      <c r="C466" s="31">
        <f t="shared" ca="1" si="30"/>
        <v>50.143584904415938</v>
      </c>
      <c r="D466" s="31">
        <f t="shared" ca="1" si="30"/>
        <v>116.18345977610669</v>
      </c>
      <c r="E466" s="32">
        <v>63.32399633745122</v>
      </c>
      <c r="F466" s="32">
        <v>92.07972953551706</v>
      </c>
      <c r="G466" s="17"/>
      <c r="H466" s="17"/>
      <c r="I466" s="17"/>
      <c r="J466" s="17"/>
    </row>
    <row r="467" spans="3:10" x14ac:dyDescent="0.25">
      <c r="C467" s="31">
        <f t="shared" ca="1" si="30"/>
        <v>50.757578774329097</v>
      </c>
      <c r="D467" s="31">
        <f t="shared" ca="1" si="30"/>
        <v>128.7560098765307</v>
      </c>
      <c r="E467" s="32">
        <v>20.784362514015008</v>
      </c>
      <c r="F467" s="32">
        <v>128.25507914595141</v>
      </c>
      <c r="G467" s="17"/>
      <c r="H467" s="17"/>
      <c r="I467" s="17"/>
      <c r="J467" s="17"/>
    </row>
    <row r="468" spans="3:10" x14ac:dyDescent="0.25">
      <c r="C468" s="31">
        <f t="shared" ca="1" si="30"/>
        <v>40.28639665835415</v>
      </c>
      <c r="D468" s="31">
        <f t="shared" ca="1" si="30"/>
        <v>100.26439920336593</v>
      </c>
      <c r="E468" s="32">
        <v>60.200629909675385</v>
      </c>
      <c r="F468" s="32">
        <v>126.03246675947378</v>
      </c>
      <c r="G468" s="17"/>
      <c r="H468" s="17"/>
      <c r="I468" s="17"/>
      <c r="J468" s="17"/>
    </row>
    <row r="469" spans="3:10" x14ac:dyDescent="0.25">
      <c r="C469" s="31">
        <f t="shared" ca="1" si="30"/>
        <v>36.51349787035808</v>
      </c>
      <c r="D469" s="31">
        <f t="shared" ca="1" si="30"/>
        <v>107.18492136348152</v>
      </c>
      <c r="E469" s="32">
        <v>38.497848371216705</v>
      </c>
      <c r="F469" s="32">
        <v>88.068185445087067</v>
      </c>
      <c r="G469" s="17"/>
      <c r="H469" s="17"/>
      <c r="I469" s="17"/>
      <c r="J469" s="17"/>
    </row>
    <row r="470" spans="3:10" x14ac:dyDescent="0.25">
      <c r="C470" s="31">
        <f t="shared" ca="1" si="30"/>
        <v>53.663879965153683</v>
      </c>
      <c r="D470" s="31">
        <f t="shared" ca="1" si="30"/>
        <v>114.09868499395837</v>
      </c>
      <c r="E470" s="32">
        <v>28.007554701269733</v>
      </c>
      <c r="F470" s="32">
        <v>127.10180200974608</v>
      </c>
      <c r="G470" s="17"/>
      <c r="H470" s="17"/>
      <c r="I470" s="17"/>
      <c r="J470" s="17"/>
    </row>
    <row r="471" spans="3:10" x14ac:dyDescent="0.25">
      <c r="C471" s="31">
        <f t="shared" ca="1" si="30"/>
        <v>47.375682887991559</v>
      </c>
      <c r="D471" s="31">
        <f t="shared" ca="1" si="30"/>
        <v>113.80835680655809</v>
      </c>
      <c r="E471" s="32">
        <v>60.5344491579785</v>
      </c>
      <c r="F471" s="32">
        <v>96.089444234876396</v>
      </c>
      <c r="G471" s="17"/>
      <c r="H471" s="17"/>
      <c r="I471" s="17"/>
      <c r="J471" s="17"/>
    </row>
    <row r="472" spans="3:10" x14ac:dyDescent="0.25">
      <c r="C472" s="31">
        <f t="shared" ca="1" si="30"/>
        <v>87.168146892018399</v>
      </c>
      <c r="D472" s="31">
        <f t="shared" ca="1" si="30"/>
        <v>103.16904032088507</v>
      </c>
      <c r="E472" s="32">
        <v>64.018414950903576</v>
      </c>
      <c r="F472" s="32">
        <v>118.65706693553935</v>
      </c>
      <c r="G472" s="17"/>
      <c r="H472" s="17"/>
      <c r="I472" s="17"/>
      <c r="J472" s="17"/>
    </row>
    <row r="473" spans="3:10" x14ac:dyDescent="0.25">
      <c r="C473" s="31">
        <f t="shared" ca="1" si="30"/>
        <v>68.045876425877807</v>
      </c>
      <c r="D473" s="31">
        <f t="shared" ca="1" si="30"/>
        <v>112.5741739670826</v>
      </c>
      <c r="E473" s="32">
        <v>62.782575683666323</v>
      </c>
      <c r="F473" s="32">
        <v>131.65690205476957</v>
      </c>
      <c r="G473" s="17"/>
      <c r="H473" s="17"/>
      <c r="I473" s="17"/>
      <c r="J473" s="17"/>
    </row>
    <row r="474" spans="3:10" x14ac:dyDescent="0.25">
      <c r="C474" s="31">
        <f t="shared" ref="C474:D493" ca="1" si="31">_xlfn.NORM.INV(RAND(),C$4,C$5)</f>
        <v>64.893620268088156</v>
      </c>
      <c r="D474" s="31">
        <f t="shared" ca="1" si="31"/>
        <v>107.69025110256048</v>
      </c>
      <c r="E474" s="32">
        <v>33.989999048941783</v>
      </c>
      <c r="F474" s="32">
        <v>124.1855809798929</v>
      </c>
      <c r="G474" s="17"/>
      <c r="H474" s="17"/>
      <c r="I474" s="17"/>
      <c r="J474" s="17"/>
    </row>
    <row r="475" spans="3:10" x14ac:dyDescent="0.25">
      <c r="C475" s="31">
        <f t="shared" ca="1" si="31"/>
        <v>45.543067856011064</v>
      </c>
      <c r="D475" s="31">
        <f t="shared" ca="1" si="31"/>
        <v>110.58065826484729</v>
      </c>
      <c r="E475" s="32">
        <v>55.619429714853894</v>
      </c>
      <c r="F475" s="32">
        <v>127.32697125301215</v>
      </c>
      <c r="G475" s="17"/>
      <c r="H475" s="17"/>
      <c r="I475" s="17"/>
      <c r="J475" s="17"/>
    </row>
    <row r="476" spans="3:10" x14ac:dyDescent="0.25">
      <c r="C476" s="31">
        <f t="shared" ca="1" si="31"/>
        <v>58.789248825504949</v>
      </c>
      <c r="D476" s="31">
        <f t="shared" ca="1" si="31"/>
        <v>118.43109934377358</v>
      </c>
      <c r="E476" s="32">
        <v>57.110363963471791</v>
      </c>
      <c r="F476" s="32">
        <v>91.493326222592529</v>
      </c>
      <c r="G476" s="17"/>
      <c r="H476" s="17"/>
      <c r="I476" s="17"/>
      <c r="J476" s="17"/>
    </row>
    <row r="477" spans="3:10" x14ac:dyDescent="0.25">
      <c r="C477" s="31">
        <f t="shared" ca="1" si="31"/>
        <v>40.761384879694319</v>
      </c>
      <c r="D477" s="31">
        <f t="shared" ca="1" si="31"/>
        <v>124.42833492017603</v>
      </c>
      <c r="E477" s="32">
        <v>48.281626507479366</v>
      </c>
      <c r="F477" s="32">
        <v>90.53324400345241</v>
      </c>
      <c r="G477" s="17"/>
      <c r="H477" s="17"/>
      <c r="I477" s="17"/>
      <c r="J477" s="17"/>
    </row>
    <row r="478" spans="3:10" x14ac:dyDescent="0.25">
      <c r="C478" s="31">
        <f t="shared" ca="1" si="31"/>
        <v>42.485387696634348</v>
      </c>
      <c r="D478" s="31">
        <f t="shared" ca="1" si="31"/>
        <v>118.04299558808555</v>
      </c>
      <c r="E478" s="32">
        <v>76.223161778112441</v>
      </c>
      <c r="F478" s="32">
        <v>98.98244426528403</v>
      </c>
      <c r="G478" s="17"/>
      <c r="H478" s="17"/>
      <c r="I478" s="17"/>
      <c r="J478" s="17"/>
    </row>
    <row r="479" spans="3:10" x14ac:dyDescent="0.25">
      <c r="C479" s="31">
        <f t="shared" ca="1" si="31"/>
        <v>47.805309424601461</v>
      </c>
      <c r="D479" s="31">
        <f t="shared" ca="1" si="31"/>
        <v>106.57286163486084</v>
      </c>
      <c r="E479" s="32">
        <v>26.888135339529459</v>
      </c>
      <c r="F479" s="32">
        <v>116.26009425254587</v>
      </c>
      <c r="G479" s="17"/>
      <c r="H479" s="17"/>
      <c r="I479" s="17"/>
      <c r="J479" s="17"/>
    </row>
    <row r="480" spans="3:10" x14ac:dyDescent="0.25">
      <c r="C480" s="31">
        <f t="shared" ca="1" si="31"/>
        <v>49.638428538480788</v>
      </c>
      <c r="D480" s="31">
        <f t="shared" ca="1" si="31"/>
        <v>118.4636001980671</v>
      </c>
      <c r="E480" s="32">
        <v>60.868367008390493</v>
      </c>
      <c r="F480" s="32">
        <v>108.7537130129171</v>
      </c>
      <c r="G480" s="17"/>
      <c r="H480" s="17"/>
      <c r="I480" s="17"/>
      <c r="J480" s="17"/>
    </row>
    <row r="481" spans="3:10" x14ac:dyDescent="0.25">
      <c r="C481" s="31">
        <f t="shared" ca="1" si="31"/>
        <v>61.145323597468284</v>
      </c>
      <c r="D481" s="31">
        <f t="shared" ca="1" si="31"/>
        <v>98.323179059185009</v>
      </c>
      <c r="E481" s="32">
        <v>27.966899846587488</v>
      </c>
      <c r="F481" s="32">
        <v>102.58805777107028</v>
      </c>
      <c r="G481" s="17"/>
      <c r="H481" s="17"/>
      <c r="I481" s="17"/>
      <c r="J481" s="17"/>
    </row>
    <row r="482" spans="3:10" x14ac:dyDescent="0.25">
      <c r="C482" s="31">
        <f t="shared" ca="1" si="31"/>
        <v>47.1943053323713</v>
      </c>
      <c r="D482" s="31">
        <f t="shared" ca="1" si="31"/>
        <v>85.860630816289486</v>
      </c>
      <c r="E482" s="32">
        <v>55.566518317999481</v>
      </c>
      <c r="F482" s="32">
        <v>101.0328632764644</v>
      </c>
      <c r="G482" s="17"/>
      <c r="H482" s="17"/>
      <c r="I482" s="17"/>
      <c r="J482" s="17"/>
    </row>
    <row r="483" spans="3:10" x14ac:dyDescent="0.25">
      <c r="C483" s="31">
        <f t="shared" ca="1" si="31"/>
        <v>24.048130410221273</v>
      </c>
      <c r="D483" s="31">
        <f t="shared" ca="1" si="31"/>
        <v>106.58272020212199</v>
      </c>
      <c r="E483" s="32">
        <v>72.46892180147313</v>
      </c>
      <c r="F483" s="32">
        <v>107.19554989885133</v>
      </c>
      <c r="G483" s="17"/>
      <c r="H483" s="17"/>
      <c r="I483" s="17"/>
      <c r="J483" s="17"/>
    </row>
    <row r="484" spans="3:10" x14ac:dyDescent="0.25">
      <c r="C484" s="31">
        <f t="shared" ca="1" si="31"/>
        <v>-10.426058323600849</v>
      </c>
      <c r="D484" s="31">
        <f t="shared" ca="1" si="31"/>
        <v>99.125256686072902</v>
      </c>
      <c r="E484" s="32">
        <v>25.981300709980392</v>
      </c>
      <c r="F484" s="32">
        <v>111.23407657774197</v>
      </c>
      <c r="G484" s="17"/>
      <c r="H484" s="17"/>
      <c r="I484" s="17"/>
      <c r="J484" s="17"/>
    </row>
    <row r="485" spans="3:10" x14ac:dyDescent="0.25">
      <c r="C485" s="31">
        <f t="shared" ca="1" si="31"/>
        <v>57.668211167588851</v>
      </c>
      <c r="D485" s="31">
        <f t="shared" ca="1" si="31"/>
        <v>82.721490622907055</v>
      </c>
      <c r="E485" s="32">
        <v>53.241136596017832</v>
      </c>
      <c r="F485" s="32">
        <v>132.44212111252568</v>
      </c>
      <c r="G485" s="17"/>
      <c r="H485" s="17"/>
      <c r="I485" s="17"/>
      <c r="J485" s="17"/>
    </row>
    <row r="486" spans="3:10" x14ac:dyDescent="0.25">
      <c r="C486" s="31">
        <f t="shared" ca="1" si="31"/>
        <v>33.293135785772321</v>
      </c>
      <c r="D486" s="31">
        <f t="shared" ca="1" si="31"/>
        <v>109.67484995402084</v>
      </c>
      <c r="E486" s="32">
        <v>18.5650519496103</v>
      </c>
      <c r="F486" s="32">
        <v>99.306545063212809</v>
      </c>
      <c r="G486" s="17"/>
      <c r="H486" s="17"/>
      <c r="I486" s="17"/>
      <c r="J486" s="17"/>
    </row>
    <row r="487" spans="3:10" x14ac:dyDescent="0.25">
      <c r="C487" s="31">
        <f t="shared" ca="1" si="31"/>
        <v>33.998225059626961</v>
      </c>
      <c r="D487" s="31">
        <f t="shared" ca="1" si="31"/>
        <v>102.88620499229809</v>
      </c>
      <c r="E487" s="32">
        <v>31.659773597817519</v>
      </c>
      <c r="F487" s="32">
        <v>122.3083822661697</v>
      </c>
      <c r="G487" s="17"/>
      <c r="H487" s="17"/>
      <c r="I487" s="17"/>
      <c r="J487" s="17"/>
    </row>
    <row r="488" spans="3:10" x14ac:dyDescent="0.25">
      <c r="C488" s="31">
        <f t="shared" ca="1" si="31"/>
        <v>74.933249302836572</v>
      </c>
      <c r="D488" s="31">
        <f t="shared" ca="1" si="31"/>
        <v>122.84137675023646</v>
      </c>
      <c r="E488" s="32">
        <v>48.999919363148308</v>
      </c>
      <c r="F488" s="32">
        <v>122.43295020357428</v>
      </c>
      <c r="G488" s="17"/>
      <c r="H488" s="17"/>
      <c r="I488" s="17"/>
      <c r="J488" s="17"/>
    </row>
    <row r="489" spans="3:10" x14ac:dyDescent="0.25">
      <c r="C489" s="31">
        <f t="shared" ca="1" si="31"/>
        <v>31.912861330069099</v>
      </c>
      <c r="D489" s="31">
        <f t="shared" ca="1" si="31"/>
        <v>106.11155052401882</v>
      </c>
      <c r="E489" s="32">
        <v>6.5449797487681138</v>
      </c>
      <c r="F489" s="32">
        <v>116.63430954341192</v>
      </c>
      <c r="G489" s="17"/>
      <c r="H489" s="17"/>
      <c r="I489" s="17"/>
      <c r="J489" s="17"/>
    </row>
    <row r="490" spans="3:10" x14ac:dyDescent="0.25">
      <c r="C490" s="31">
        <f t="shared" ca="1" si="31"/>
        <v>48.311310680442837</v>
      </c>
      <c r="D490" s="31">
        <f t="shared" ca="1" si="31"/>
        <v>118.20080390133707</v>
      </c>
      <c r="E490" s="32">
        <v>69.64050389166016</v>
      </c>
      <c r="F490" s="32">
        <v>115.13758673760793</v>
      </c>
      <c r="G490" s="17"/>
      <c r="H490" s="17"/>
      <c r="I490" s="17"/>
      <c r="J490" s="17"/>
    </row>
    <row r="491" spans="3:10" x14ac:dyDescent="0.25">
      <c r="C491" s="31">
        <f t="shared" ca="1" si="31"/>
        <v>57.985974598202205</v>
      </c>
      <c r="D491" s="31">
        <f t="shared" ca="1" si="31"/>
        <v>80.159149958941171</v>
      </c>
      <c r="E491" s="32">
        <v>36.726524149933766</v>
      </c>
      <c r="F491" s="32">
        <v>104.88193466833107</v>
      </c>
      <c r="G491" s="17"/>
      <c r="H491" s="17"/>
      <c r="I491" s="17"/>
      <c r="J491" s="17"/>
    </row>
    <row r="492" spans="3:10" x14ac:dyDescent="0.25">
      <c r="C492" s="31">
        <f t="shared" ca="1" si="31"/>
        <v>131.55004145198728</v>
      </c>
      <c r="D492" s="31">
        <f t="shared" ca="1" si="31"/>
        <v>121.72059454987705</v>
      </c>
      <c r="E492" s="32">
        <v>71.114800099188287</v>
      </c>
      <c r="F492" s="32">
        <v>124.76174148796876</v>
      </c>
      <c r="G492" s="17"/>
      <c r="H492" s="17"/>
      <c r="I492" s="17"/>
      <c r="J492" s="17"/>
    </row>
    <row r="493" spans="3:10" x14ac:dyDescent="0.25">
      <c r="C493" s="31">
        <f t="shared" ca="1" si="31"/>
        <v>59.269892764833131</v>
      </c>
      <c r="D493" s="31">
        <f t="shared" ca="1" si="31"/>
        <v>97.043348952968188</v>
      </c>
      <c r="E493" s="32">
        <v>54.431315426378418</v>
      </c>
      <c r="F493" s="32">
        <v>117.49458213181853</v>
      </c>
      <c r="G493" s="17"/>
      <c r="H493" s="17"/>
      <c r="I493" s="17"/>
      <c r="J493" s="17"/>
    </row>
    <row r="494" spans="3:10" x14ac:dyDescent="0.25">
      <c r="C494" s="31">
        <f t="shared" ref="C494:D504" ca="1" si="32">_xlfn.NORM.INV(RAND(),C$4,C$5)</f>
        <v>60.302929028707993</v>
      </c>
      <c r="D494" s="31">
        <f t="shared" ca="1" si="32"/>
        <v>97.273415000538336</v>
      </c>
      <c r="E494" s="32">
        <v>52.27671451452315</v>
      </c>
      <c r="F494" s="32">
        <v>114.16437376010512</v>
      </c>
      <c r="G494" s="17"/>
      <c r="H494" s="17"/>
      <c r="I494" s="17"/>
      <c r="J494" s="17"/>
    </row>
    <row r="495" spans="3:10" x14ac:dyDescent="0.25">
      <c r="C495" s="31">
        <f t="shared" ca="1" si="32"/>
        <v>43.867700226029108</v>
      </c>
      <c r="D495" s="31">
        <f t="shared" ca="1" si="32"/>
        <v>98.954485132871469</v>
      </c>
      <c r="E495" s="32">
        <v>57.874513005157525</v>
      </c>
      <c r="F495" s="32">
        <v>116.71444275099631</v>
      </c>
      <c r="G495" s="17"/>
      <c r="H495" s="17"/>
      <c r="I495" s="17"/>
      <c r="J495" s="17"/>
    </row>
    <row r="496" spans="3:10" x14ac:dyDescent="0.25">
      <c r="C496" s="31">
        <f t="shared" ca="1" si="32"/>
        <v>35.277093641399318</v>
      </c>
      <c r="D496" s="31">
        <f t="shared" ca="1" si="32"/>
        <v>82.016893234376838</v>
      </c>
      <c r="E496" s="32">
        <v>46.722653929561183</v>
      </c>
      <c r="F496" s="32">
        <v>95.793210066046683</v>
      </c>
      <c r="G496" s="17"/>
      <c r="H496" s="17"/>
      <c r="I496" s="17"/>
      <c r="J496" s="17"/>
    </row>
    <row r="497" spans="3:10" x14ac:dyDescent="0.25">
      <c r="C497" s="31">
        <f t="shared" ca="1" si="32"/>
        <v>81.793189326572133</v>
      </c>
      <c r="D497" s="31">
        <f t="shared" ca="1" si="32"/>
        <v>138.16451191159146</v>
      </c>
      <c r="E497" s="32">
        <v>81.184133608497874</v>
      </c>
      <c r="F497" s="32">
        <v>117.42969135498944</v>
      </c>
      <c r="G497" s="17"/>
      <c r="H497" s="17"/>
      <c r="I497" s="17"/>
      <c r="J497" s="17"/>
    </row>
    <row r="498" spans="3:10" x14ac:dyDescent="0.25">
      <c r="C498" s="31">
        <f t="shared" ca="1" si="32"/>
        <v>31.699355655362201</v>
      </c>
      <c r="D498" s="31">
        <f t="shared" ca="1" si="32"/>
        <v>99.274166000658539</v>
      </c>
      <c r="E498" s="32">
        <v>60.830795405982798</v>
      </c>
      <c r="F498" s="32">
        <v>103.80967381894862</v>
      </c>
      <c r="G498" s="17"/>
      <c r="H498" s="17"/>
      <c r="I498" s="17"/>
      <c r="J498" s="17"/>
    </row>
    <row r="499" spans="3:10" x14ac:dyDescent="0.25">
      <c r="C499" s="31">
        <f t="shared" ca="1" si="32"/>
        <v>60.503932296022917</v>
      </c>
      <c r="D499" s="31">
        <f t="shared" ca="1" si="32"/>
        <v>111.62074143240307</v>
      </c>
      <c r="E499" s="32">
        <v>90.123278845686869</v>
      </c>
      <c r="F499" s="32">
        <v>104.93257690154101</v>
      </c>
      <c r="G499" s="17"/>
      <c r="H499" s="17"/>
      <c r="I499" s="17"/>
      <c r="J499" s="17"/>
    </row>
    <row r="500" spans="3:10" x14ac:dyDescent="0.25">
      <c r="C500" s="31">
        <f t="shared" ca="1" si="32"/>
        <v>27.05524382265509</v>
      </c>
      <c r="D500" s="31">
        <f t="shared" ca="1" si="32"/>
        <v>104.6877281177631</v>
      </c>
      <c r="E500" s="32">
        <v>36.454044255559694</v>
      </c>
      <c r="F500" s="32">
        <v>94.755055251709379</v>
      </c>
      <c r="G500" s="17"/>
      <c r="H500" s="17"/>
      <c r="I500" s="17"/>
      <c r="J500" s="17"/>
    </row>
    <row r="501" spans="3:10" x14ac:dyDescent="0.25">
      <c r="C501" s="31">
        <f t="shared" ca="1" si="32"/>
        <v>50.927156282951799</v>
      </c>
      <c r="D501" s="31">
        <f t="shared" ca="1" si="32"/>
        <v>109.12520348078289</v>
      </c>
      <c r="E501" s="32">
        <v>58.895188204601695</v>
      </c>
      <c r="F501" s="32">
        <v>108.34893119608115</v>
      </c>
      <c r="G501" s="17"/>
      <c r="H501" s="17"/>
      <c r="I501" s="17"/>
      <c r="J501" s="17"/>
    </row>
    <row r="502" spans="3:10" x14ac:dyDescent="0.25">
      <c r="C502" s="31">
        <f t="shared" ca="1" si="32"/>
        <v>69.217368946292538</v>
      </c>
      <c r="D502" s="31">
        <f t="shared" ca="1" si="32"/>
        <v>112.85146522268739</v>
      </c>
      <c r="E502" s="32">
        <v>72.569485036192248</v>
      </c>
      <c r="F502" s="32">
        <v>109.42675122099105</v>
      </c>
      <c r="G502" s="17"/>
      <c r="H502" s="17"/>
      <c r="I502" s="17"/>
      <c r="J502" s="17"/>
    </row>
    <row r="503" spans="3:10" x14ac:dyDescent="0.25">
      <c r="C503" s="31">
        <f t="shared" ca="1" si="32"/>
        <v>28.49765402856648</v>
      </c>
      <c r="D503" s="31">
        <f t="shared" ca="1" si="32"/>
        <v>103.03980523076883</v>
      </c>
      <c r="E503" s="32">
        <v>49.120308635327156</v>
      </c>
      <c r="F503" s="32">
        <v>103.36671185770096</v>
      </c>
      <c r="G503" s="17"/>
      <c r="H503" s="17"/>
      <c r="I503" s="17"/>
      <c r="J503" s="17"/>
    </row>
    <row r="504" spans="3:10" x14ac:dyDescent="0.25">
      <c r="C504" s="31">
        <f t="shared" ca="1" si="32"/>
        <v>33.329386264461846</v>
      </c>
      <c r="D504" s="31">
        <f t="shared" ca="1" si="32"/>
        <v>108.56440502900895</v>
      </c>
      <c r="E504" s="32">
        <v>48.968469788425146</v>
      </c>
      <c r="F504" s="32">
        <v>126.39865344390205</v>
      </c>
      <c r="G504" s="17"/>
      <c r="H504" s="17"/>
      <c r="I504" s="17"/>
      <c r="J504" s="17"/>
    </row>
  </sheetData>
  <mergeCells count="4">
    <mergeCell ref="H4:I4"/>
    <mergeCell ref="J4:K4"/>
    <mergeCell ref="C12:D13"/>
    <mergeCell ref="E12:F13"/>
  </mergeCells>
  <conditionalFormatting sqref="M7:AR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:AR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1:AR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croll Bar 1">
              <controlPr defaultSize="0" autoPict="0">
                <anchor moveWithCells="1">
                  <from>
                    <xdr:col>7</xdr:col>
                    <xdr:colOff>123825</xdr:colOff>
                    <xdr:row>8</xdr:row>
                    <xdr:rowOff>133350</xdr:rowOff>
                  </from>
                  <to>
                    <xdr:col>7</xdr:col>
                    <xdr:colOff>542925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croll Bar 2">
              <controlPr defaultSize="0" autoPict="0">
                <anchor moveWithCells="1">
                  <from>
                    <xdr:col>8</xdr:col>
                    <xdr:colOff>95250</xdr:colOff>
                    <xdr:row>8</xdr:row>
                    <xdr:rowOff>133350</xdr:rowOff>
                  </from>
                  <to>
                    <xdr:col>8</xdr:col>
                    <xdr:colOff>514350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Scroll Bar 3">
              <controlPr defaultSize="0" autoPict="0">
                <anchor moveWithCells="1">
                  <from>
                    <xdr:col>9</xdr:col>
                    <xdr:colOff>133350</xdr:colOff>
                    <xdr:row>8</xdr:row>
                    <xdr:rowOff>133350</xdr:rowOff>
                  </from>
                  <to>
                    <xdr:col>9</xdr:col>
                    <xdr:colOff>552450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croll Bar 4">
              <controlPr defaultSize="0" autoPict="0">
                <anchor moveWithCells="1">
                  <from>
                    <xdr:col>10</xdr:col>
                    <xdr:colOff>123825</xdr:colOff>
                    <xdr:row>8</xdr:row>
                    <xdr:rowOff>133350</xdr:rowOff>
                  </from>
                  <to>
                    <xdr:col>10</xdr:col>
                    <xdr:colOff>542925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T1424"/>
  <sheetViews>
    <sheetView showGridLines="0" topLeftCell="G2" zoomScale="80" zoomScaleNormal="80" workbookViewId="0">
      <selection activeCell="A2" sqref="A1:F1048576"/>
    </sheetView>
  </sheetViews>
  <sheetFormatPr defaultRowHeight="15" x14ac:dyDescent="0.25"/>
  <cols>
    <col min="1" max="5" width="15.28515625" hidden="1" customWidth="1"/>
    <col min="6" max="6" width="19.7109375" hidden="1" customWidth="1"/>
    <col min="7" max="7" width="8.28515625" customWidth="1"/>
    <col min="8" max="9" width="12.5703125" customWidth="1"/>
    <col min="10" max="13" width="9.28515625" customWidth="1"/>
    <col min="14" max="14" width="21.28515625" customWidth="1"/>
    <col min="15" max="46" width="5" customWidth="1"/>
  </cols>
  <sheetData>
    <row r="2" spans="2:46" ht="21" x14ac:dyDescent="0.4">
      <c r="C2" s="30" t="s">
        <v>16</v>
      </c>
      <c r="D2" s="16"/>
      <c r="E2" s="15"/>
      <c r="H2" s="58" t="s">
        <v>45</v>
      </c>
      <c r="I2" s="16"/>
      <c r="K2" s="16"/>
      <c r="L2" s="16"/>
      <c r="O2" s="55" t="s">
        <v>34</v>
      </c>
    </row>
    <row r="3" spans="2:46" thickBot="1" x14ac:dyDescent="0.35">
      <c r="C3" s="16" t="s">
        <v>10</v>
      </c>
      <c r="D3" s="16" t="s">
        <v>11</v>
      </c>
      <c r="I3" s="16"/>
      <c r="J3" s="16"/>
      <c r="K3" s="16"/>
      <c r="L3" s="16"/>
      <c r="O3" s="15" t="s">
        <v>14</v>
      </c>
    </row>
    <row r="4" spans="2:46" ht="19.899999999999999" customHeight="1" x14ac:dyDescent="0.3">
      <c r="B4" s="15" t="s">
        <v>7</v>
      </c>
      <c r="C4" s="18">
        <v>60</v>
      </c>
      <c r="D4" s="18">
        <v>115</v>
      </c>
      <c r="H4" s="165" t="s">
        <v>42</v>
      </c>
      <c r="I4" s="166"/>
      <c r="J4" s="164" t="s">
        <v>38</v>
      </c>
      <c r="K4" s="163"/>
      <c r="L4" s="162" t="s">
        <v>39</v>
      </c>
      <c r="M4" s="163"/>
      <c r="N4" s="16" t="s">
        <v>41</v>
      </c>
      <c r="O4" s="13">
        <f t="shared" ref="O4:AT4" si="0">O8+O7</f>
        <v>0</v>
      </c>
      <c r="P4" s="13">
        <f t="shared" si="0"/>
        <v>0</v>
      </c>
      <c r="Q4" s="13">
        <f t="shared" si="0"/>
        <v>0</v>
      </c>
      <c r="R4" s="13">
        <f t="shared" si="0"/>
        <v>0</v>
      </c>
      <c r="S4" s="13">
        <f t="shared" si="0"/>
        <v>3</v>
      </c>
      <c r="T4" s="13">
        <f t="shared" si="0"/>
        <v>11</v>
      </c>
      <c r="U4" s="13">
        <f t="shared" si="0"/>
        <v>19</v>
      </c>
      <c r="V4" s="13">
        <f t="shared" si="0"/>
        <v>48</v>
      </c>
      <c r="W4" s="13">
        <f t="shared" si="0"/>
        <v>133</v>
      </c>
      <c r="X4" s="13">
        <f t="shared" si="0"/>
        <v>192</v>
      </c>
      <c r="Y4" s="13">
        <f t="shared" si="0"/>
        <v>273</v>
      </c>
      <c r="Z4" s="13">
        <f t="shared" si="0"/>
        <v>278</v>
      </c>
      <c r="AA4" s="13">
        <f t="shared" si="0"/>
        <v>229</v>
      </c>
      <c r="AB4" s="13">
        <f t="shared" si="0"/>
        <v>129</v>
      </c>
      <c r="AC4" s="13">
        <f t="shared" si="0"/>
        <v>65</v>
      </c>
      <c r="AD4" s="13">
        <f t="shared" si="0"/>
        <v>50</v>
      </c>
      <c r="AE4" s="13">
        <f t="shared" si="0"/>
        <v>32</v>
      </c>
      <c r="AF4" s="13">
        <f t="shared" si="0"/>
        <v>30</v>
      </c>
      <c r="AG4" s="13">
        <f t="shared" si="0"/>
        <v>29</v>
      </c>
      <c r="AH4" s="13">
        <f t="shared" si="0"/>
        <v>52</v>
      </c>
      <c r="AI4" s="13">
        <f t="shared" si="0"/>
        <v>37</v>
      </c>
      <c r="AJ4" s="13">
        <f t="shared" si="0"/>
        <v>54</v>
      </c>
      <c r="AK4" s="13">
        <f t="shared" si="0"/>
        <v>49</v>
      </c>
      <c r="AL4" s="13">
        <f t="shared" si="0"/>
        <v>47</v>
      </c>
      <c r="AM4" s="13">
        <f t="shared" si="0"/>
        <v>42</v>
      </c>
      <c r="AN4" s="13">
        <f t="shared" si="0"/>
        <v>26</v>
      </c>
      <c r="AO4" s="13">
        <f t="shared" si="0"/>
        <v>22</v>
      </c>
      <c r="AP4" s="13">
        <f t="shared" si="0"/>
        <v>19</v>
      </c>
      <c r="AQ4" s="13">
        <f t="shared" si="0"/>
        <v>15</v>
      </c>
      <c r="AR4" s="13">
        <f t="shared" si="0"/>
        <v>4</v>
      </c>
      <c r="AS4" s="13">
        <f t="shared" si="0"/>
        <v>6</v>
      </c>
      <c r="AT4" s="13">
        <f t="shared" si="0"/>
        <v>4</v>
      </c>
    </row>
    <row r="5" spans="2:46" ht="19.899999999999999" customHeight="1" x14ac:dyDescent="0.3">
      <c r="B5" s="15" t="s">
        <v>8</v>
      </c>
      <c r="C5" s="18">
        <v>10</v>
      </c>
      <c r="D5" s="18">
        <v>20</v>
      </c>
      <c r="H5" s="63" t="s">
        <v>43</v>
      </c>
      <c r="I5" s="64" t="s">
        <v>44</v>
      </c>
      <c r="J5" s="60" t="s">
        <v>7</v>
      </c>
      <c r="K5" s="27" t="s">
        <v>8</v>
      </c>
      <c r="L5" s="26" t="s">
        <v>7</v>
      </c>
      <c r="M5" s="27" t="s">
        <v>8</v>
      </c>
      <c r="N5" s="16" t="s">
        <v>13</v>
      </c>
      <c r="O5" s="13">
        <f t="shared" ref="O5:AT5" si="1">O6+step</f>
        <v>10</v>
      </c>
      <c r="P5" s="13">
        <f t="shared" si="1"/>
        <v>15</v>
      </c>
      <c r="Q5" s="13">
        <f t="shared" si="1"/>
        <v>20</v>
      </c>
      <c r="R5" s="13">
        <f t="shared" si="1"/>
        <v>25</v>
      </c>
      <c r="S5" s="13">
        <f t="shared" si="1"/>
        <v>30</v>
      </c>
      <c r="T5" s="13">
        <f t="shared" si="1"/>
        <v>35</v>
      </c>
      <c r="U5" s="13">
        <f t="shared" si="1"/>
        <v>40</v>
      </c>
      <c r="V5" s="13">
        <f t="shared" si="1"/>
        <v>45</v>
      </c>
      <c r="W5" s="13">
        <f t="shared" si="1"/>
        <v>50</v>
      </c>
      <c r="X5" s="13">
        <f t="shared" si="1"/>
        <v>55</v>
      </c>
      <c r="Y5" s="13">
        <f t="shared" si="1"/>
        <v>60</v>
      </c>
      <c r="Z5" s="13">
        <f t="shared" si="1"/>
        <v>65</v>
      </c>
      <c r="AA5" s="13">
        <f t="shared" si="1"/>
        <v>70</v>
      </c>
      <c r="AB5" s="13">
        <f t="shared" si="1"/>
        <v>75</v>
      </c>
      <c r="AC5" s="13">
        <f t="shared" si="1"/>
        <v>80</v>
      </c>
      <c r="AD5" s="13">
        <f t="shared" si="1"/>
        <v>85</v>
      </c>
      <c r="AE5" s="13">
        <f t="shared" si="1"/>
        <v>90</v>
      </c>
      <c r="AF5" s="13">
        <f t="shared" si="1"/>
        <v>95</v>
      </c>
      <c r="AG5" s="13">
        <f t="shared" si="1"/>
        <v>100</v>
      </c>
      <c r="AH5" s="13">
        <f t="shared" si="1"/>
        <v>105</v>
      </c>
      <c r="AI5" s="13">
        <f t="shared" si="1"/>
        <v>110</v>
      </c>
      <c r="AJ5" s="13">
        <f t="shared" si="1"/>
        <v>115</v>
      </c>
      <c r="AK5" s="13">
        <f t="shared" si="1"/>
        <v>120</v>
      </c>
      <c r="AL5" s="13">
        <f t="shared" si="1"/>
        <v>125</v>
      </c>
      <c r="AM5" s="13">
        <f t="shared" si="1"/>
        <v>130</v>
      </c>
      <c r="AN5" s="13">
        <f t="shared" si="1"/>
        <v>135</v>
      </c>
      <c r="AO5" s="13">
        <f t="shared" si="1"/>
        <v>140</v>
      </c>
      <c r="AP5" s="13">
        <f t="shared" si="1"/>
        <v>145</v>
      </c>
      <c r="AQ5" s="13">
        <f t="shared" si="1"/>
        <v>150</v>
      </c>
      <c r="AR5" s="13">
        <f t="shared" si="1"/>
        <v>155</v>
      </c>
      <c r="AS5" s="13">
        <f t="shared" si="1"/>
        <v>160</v>
      </c>
      <c r="AT5" s="13">
        <f t="shared" si="1"/>
        <v>165</v>
      </c>
    </row>
    <row r="6" spans="2:46" ht="32.450000000000003" customHeight="1" x14ac:dyDescent="0.3">
      <c r="B6" s="15" t="s">
        <v>9</v>
      </c>
      <c r="C6" s="18">
        <v>5</v>
      </c>
      <c r="D6" s="7"/>
      <c r="H6" s="65">
        <f>I27/100</f>
        <v>0.01</v>
      </c>
      <c r="I6" s="68">
        <f>1-H6</f>
        <v>0.99</v>
      </c>
      <c r="J6" s="61">
        <v>1</v>
      </c>
      <c r="K6" s="29">
        <v>1</v>
      </c>
      <c r="L6" s="28">
        <v>4</v>
      </c>
      <c r="M6" s="29">
        <v>1</v>
      </c>
      <c r="N6" s="16" t="s">
        <v>12</v>
      </c>
      <c r="O6" s="13">
        <v>5</v>
      </c>
      <c r="P6" s="13">
        <f t="shared" ref="P6:AT6" si="2">O6+step</f>
        <v>10</v>
      </c>
      <c r="Q6" s="13">
        <f t="shared" si="2"/>
        <v>15</v>
      </c>
      <c r="R6" s="13">
        <f t="shared" si="2"/>
        <v>20</v>
      </c>
      <c r="S6" s="13">
        <f t="shared" si="2"/>
        <v>25</v>
      </c>
      <c r="T6" s="13">
        <f t="shared" si="2"/>
        <v>30</v>
      </c>
      <c r="U6" s="13">
        <f t="shared" si="2"/>
        <v>35</v>
      </c>
      <c r="V6" s="13">
        <f t="shared" si="2"/>
        <v>40</v>
      </c>
      <c r="W6" s="13">
        <f t="shared" si="2"/>
        <v>45</v>
      </c>
      <c r="X6" s="13">
        <f t="shared" si="2"/>
        <v>50</v>
      </c>
      <c r="Y6" s="13">
        <f t="shared" si="2"/>
        <v>55</v>
      </c>
      <c r="Z6" s="13">
        <f t="shared" si="2"/>
        <v>60</v>
      </c>
      <c r="AA6" s="13">
        <f t="shared" si="2"/>
        <v>65</v>
      </c>
      <c r="AB6" s="13">
        <f t="shared" si="2"/>
        <v>70</v>
      </c>
      <c r="AC6" s="13">
        <f t="shared" si="2"/>
        <v>75</v>
      </c>
      <c r="AD6" s="13">
        <f t="shared" si="2"/>
        <v>80</v>
      </c>
      <c r="AE6" s="13">
        <f t="shared" si="2"/>
        <v>85</v>
      </c>
      <c r="AF6" s="13">
        <f t="shared" si="2"/>
        <v>90</v>
      </c>
      <c r="AG6" s="13">
        <f t="shared" si="2"/>
        <v>95</v>
      </c>
      <c r="AH6" s="13">
        <f t="shared" si="2"/>
        <v>100</v>
      </c>
      <c r="AI6" s="13">
        <f t="shared" si="2"/>
        <v>105</v>
      </c>
      <c r="AJ6" s="13">
        <f t="shared" si="2"/>
        <v>110</v>
      </c>
      <c r="AK6" s="13">
        <f t="shared" si="2"/>
        <v>115</v>
      </c>
      <c r="AL6" s="13">
        <f t="shared" si="2"/>
        <v>120</v>
      </c>
      <c r="AM6" s="13">
        <f t="shared" si="2"/>
        <v>125</v>
      </c>
      <c r="AN6" s="13">
        <f t="shared" si="2"/>
        <v>130</v>
      </c>
      <c r="AO6" s="13">
        <f t="shared" si="2"/>
        <v>135</v>
      </c>
      <c r="AP6" s="13">
        <f t="shared" si="2"/>
        <v>140</v>
      </c>
      <c r="AQ6" s="13">
        <f t="shared" si="2"/>
        <v>145</v>
      </c>
      <c r="AR6" s="13">
        <f t="shared" si="2"/>
        <v>150</v>
      </c>
      <c r="AS6" s="13">
        <f t="shared" si="2"/>
        <v>155</v>
      </c>
      <c r="AT6" s="13">
        <f t="shared" si="2"/>
        <v>160</v>
      </c>
    </row>
    <row r="7" spans="2:46" ht="32.450000000000003" hidden="1" customHeight="1" x14ac:dyDescent="0.3">
      <c r="H7" s="66"/>
      <c r="I7" s="8"/>
      <c r="J7" s="14"/>
      <c r="K7" s="22"/>
      <c r="L7" s="21"/>
      <c r="M7" s="8"/>
      <c r="N7" s="5" t="s">
        <v>10</v>
      </c>
      <c r="O7" s="3">
        <f>COUNTIFS($E$14:$E$1424,"&gt;"&amp;O$6,$E$14:$E$1424,"&lt;="&amp;O$5)</f>
        <v>0</v>
      </c>
      <c r="P7" s="3">
        <f t="shared" ref="P7:AT7" si="3">COUNTIFS($E$14:$E$1424,"&gt;"&amp;P$6,$E$14:$E$1424,"&lt;="&amp;P$5)</f>
        <v>0</v>
      </c>
      <c r="Q7" s="3">
        <f t="shared" si="3"/>
        <v>0</v>
      </c>
      <c r="R7" s="3">
        <f t="shared" si="3"/>
        <v>0</v>
      </c>
      <c r="S7" s="3">
        <f t="shared" si="3"/>
        <v>3</v>
      </c>
      <c r="T7" s="3">
        <f t="shared" si="3"/>
        <v>11</v>
      </c>
      <c r="U7" s="3">
        <f t="shared" si="3"/>
        <v>19</v>
      </c>
      <c r="V7" s="3">
        <f t="shared" si="3"/>
        <v>48</v>
      </c>
      <c r="W7" s="3">
        <f t="shared" si="3"/>
        <v>133</v>
      </c>
      <c r="X7" s="3">
        <f t="shared" si="3"/>
        <v>192</v>
      </c>
      <c r="Y7" s="3">
        <f t="shared" si="3"/>
        <v>273</v>
      </c>
      <c r="Z7" s="3">
        <f t="shared" si="3"/>
        <v>276</v>
      </c>
      <c r="AA7" s="3">
        <f t="shared" si="3"/>
        <v>225</v>
      </c>
      <c r="AB7" s="3">
        <f t="shared" si="3"/>
        <v>125</v>
      </c>
      <c r="AC7" s="3">
        <f t="shared" si="3"/>
        <v>56</v>
      </c>
      <c r="AD7" s="3">
        <f t="shared" si="3"/>
        <v>35</v>
      </c>
      <c r="AE7" s="3">
        <f t="shared" si="3"/>
        <v>11</v>
      </c>
      <c r="AF7" s="3">
        <f t="shared" si="3"/>
        <v>4</v>
      </c>
      <c r="AG7" s="3">
        <f t="shared" si="3"/>
        <v>0</v>
      </c>
      <c r="AH7" s="3">
        <f t="shared" si="3"/>
        <v>0</v>
      </c>
      <c r="AI7" s="3">
        <f t="shared" si="3"/>
        <v>0</v>
      </c>
      <c r="AJ7" s="3">
        <f t="shared" si="3"/>
        <v>0</v>
      </c>
      <c r="AK7" s="3">
        <f t="shared" si="3"/>
        <v>0</v>
      </c>
      <c r="AL7" s="3">
        <f t="shared" si="3"/>
        <v>0</v>
      </c>
      <c r="AM7" s="3">
        <f t="shared" si="3"/>
        <v>0</v>
      </c>
      <c r="AN7" s="3">
        <f t="shared" si="3"/>
        <v>0</v>
      </c>
      <c r="AO7" s="3">
        <f t="shared" si="3"/>
        <v>0</v>
      </c>
      <c r="AP7" s="3">
        <f t="shared" si="3"/>
        <v>0</v>
      </c>
      <c r="AQ7" s="3">
        <f t="shared" si="3"/>
        <v>0</v>
      </c>
      <c r="AR7" s="3">
        <f t="shared" si="3"/>
        <v>0</v>
      </c>
      <c r="AS7" s="3">
        <f t="shared" si="3"/>
        <v>0</v>
      </c>
      <c r="AT7" s="3">
        <f t="shared" si="3"/>
        <v>0</v>
      </c>
    </row>
    <row r="8" spans="2:46" ht="32.450000000000003" hidden="1" customHeight="1" x14ac:dyDescent="0.3">
      <c r="H8" s="66"/>
      <c r="I8" s="22"/>
      <c r="J8" s="14"/>
      <c r="K8" s="22"/>
      <c r="L8" s="21"/>
      <c r="M8" s="8"/>
      <c r="N8" s="5" t="s">
        <v>11</v>
      </c>
      <c r="O8" s="3">
        <f>COUNTIFS($F$14:$F$504,"&gt;"&amp;O$6,$F$14:$F$504,"&lt;="&amp;O$5)</f>
        <v>0</v>
      </c>
      <c r="P8" s="3">
        <f t="shared" ref="P8:AT8" si="4">COUNTIFS($F$14:$F$504,"&gt;"&amp;P$6,$F$14:$F$504,"&lt;="&amp;P$5)</f>
        <v>0</v>
      </c>
      <c r="Q8" s="3">
        <f t="shared" si="4"/>
        <v>0</v>
      </c>
      <c r="R8" s="3">
        <f t="shared" si="4"/>
        <v>0</v>
      </c>
      <c r="S8" s="3">
        <f t="shared" si="4"/>
        <v>0</v>
      </c>
      <c r="T8" s="3">
        <f t="shared" si="4"/>
        <v>0</v>
      </c>
      <c r="U8" s="3">
        <f t="shared" si="4"/>
        <v>0</v>
      </c>
      <c r="V8" s="3">
        <f t="shared" si="4"/>
        <v>0</v>
      </c>
      <c r="W8" s="3">
        <f t="shared" si="4"/>
        <v>0</v>
      </c>
      <c r="X8" s="3">
        <f t="shared" si="4"/>
        <v>0</v>
      </c>
      <c r="Y8" s="3">
        <f t="shared" si="4"/>
        <v>0</v>
      </c>
      <c r="Z8" s="3">
        <f t="shared" si="4"/>
        <v>2</v>
      </c>
      <c r="AA8" s="3">
        <f t="shared" si="4"/>
        <v>4</v>
      </c>
      <c r="AB8" s="3">
        <f t="shared" si="4"/>
        <v>4</v>
      </c>
      <c r="AC8" s="3">
        <f t="shared" si="4"/>
        <v>9</v>
      </c>
      <c r="AD8" s="3">
        <f t="shared" si="4"/>
        <v>15</v>
      </c>
      <c r="AE8" s="3">
        <f t="shared" si="4"/>
        <v>21</v>
      </c>
      <c r="AF8" s="3">
        <f t="shared" si="4"/>
        <v>26</v>
      </c>
      <c r="AG8" s="3">
        <f t="shared" si="4"/>
        <v>29</v>
      </c>
      <c r="AH8" s="3">
        <f t="shared" si="4"/>
        <v>52</v>
      </c>
      <c r="AI8" s="3">
        <f t="shared" si="4"/>
        <v>37</v>
      </c>
      <c r="AJ8" s="3">
        <f t="shared" si="4"/>
        <v>54</v>
      </c>
      <c r="AK8" s="3">
        <f t="shared" si="4"/>
        <v>49</v>
      </c>
      <c r="AL8" s="3">
        <f t="shared" si="4"/>
        <v>47</v>
      </c>
      <c r="AM8" s="3">
        <f t="shared" si="4"/>
        <v>42</v>
      </c>
      <c r="AN8" s="3">
        <f t="shared" si="4"/>
        <v>26</v>
      </c>
      <c r="AO8" s="3">
        <f t="shared" si="4"/>
        <v>22</v>
      </c>
      <c r="AP8" s="3">
        <f t="shared" si="4"/>
        <v>19</v>
      </c>
      <c r="AQ8" s="3">
        <f t="shared" si="4"/>
        <v>15</v>
      </c>
      <c r="AR8" s="3">
        <f t="shared" si="4"/>
        <v>4</v>
      </c>
      <c r="AS8" s="3">
        <f t="shared" si="4"/>
        <v>6</v>
      </c>
      <c r="AT8" s="3">
        <f t="shared" si="4"/>
        <v>4</v>
      </c>
    </row>
    <row r="9" spans="2:46" ht="32.450000000000003" customHeight="1" x14ac:dyDescent="0.3">
      <c r="H9" s="66"/>
      <c r="I9" s="22"/>
      <c r="J9" s="14"/>
      <c r="K9" s="22"/>
      <c r="L9" s="21"/>
      <c r="M9" s="8"/>
      <c r="N9" s="5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</row>
    <row r="10" spans="2:46" ht="19.899999999999999" customHeight="1" x14ac:dyDescent="0.4">
      <c r="H10" s="66"/>
      <c r="I10" s="22"/>
      <c r="J10" s="14"/>
      <c r="K10" s="22"/>
      <c r="L10" s="21"/>
      <c r="M10" s="8"/>
      <c r="O10" s="55" t="s">
        <v>37</v>
      </c>
    </row>
    <row r="11" spans="2:46" ht="19.899999999999999" customHeight="1" thickBot="1" x14ac:dyDescent="0.35">
      <c r="H11" s="66"/>
      <c r="I11" s="22"/>
      <c r="J11" s="14"/>
      <c r="K11" s="22"/>
      <c r="L11" s="21"/>
      <c r="M11" s="8"/>
      <c r="N11" s="5" t="s">
        <v>38</v>
      </c>
      <c r="O11" s="13">
        <f t="shared" ref="O11:AT11" si="5">_xlfn.NORM.DIST(O6,$J$6,$K$6,FALSE)*COUNT($E$14:$F$1424)*$I$27/100*step</f>
        <v>1.2727254470240599E-2</v>
      </c>
      <c r="P11" s="13">
        <f t="shared" si="5"/>
        <v>9.7760646666571391E-17</v>
      </c>
      <c r="Q11" s="13">
        <f t="shared" si="5"/>
        <v>1.0428728379789118E-41</v>
      </c>
      <c r="R11" s="13">
        <f t="shared" si="5"/>
        <v>1.5450288709717013E-77</v>
      </c>
      <c r="S11" s="13">
        <f t="shared" si="5"/>
        <v>3.1789214341465293E-124</v>
      </c>
      <c r="T11" s="13">
        <f t="shared" si="5"/>
        <v>9.083661509393344E-182</v>
      </c>
      <c r="U11" s="13">
        <f t="shared" si="5"/>
        <v>3.6047906064883175E-250</v>
      </c>
      <c r="V11" s="13">
        <f t="shared" si="5"/>
        <v>0</v>
      </c>
      <c r="W11" s="13">
        <f t="shared" si="5"/>
        <v>0</v>
      </c>
      <c r="X11" s="13">
        <f t="shared" si="5"/>
        <v>0</v>
      </c>
      <c r="Y11" s="13">
        <f t="shared" si="5"/>
        <v>0</v>
      </c>
      <c r="Z11" s="13">
        <f t="shared" si="5"/>
        <v>0</v>
      </c>
      <c r="AA11" s="13">
        <f t="shared" si="5"/>
        <v>0</v>
      </c>
      <c r="AB11" s="13">
        <f t="shared" si="5"/>
        <v>0</v>
      </c>
      <c r="AC11" s="13">
        <f t="shared" si="5"/>
        <v>0</v>
      </c>
      <c r="AD11" s="13">
        <f t="shared" si="5"/>
        <v>0</v>
      </c>
      <c r="AE11" s="13">
        <f t="shared" si="5"/>
        <v>0</v>
      </c>
      <c r="AF11" s="13">
        <f t="shared" si="5"/>
        <v>0</v>
      </c>
      <c r="AG11" s="13">
        <f t="shared" si="5"/>
        <v>0</v>
      </c>
      <c r="AH11" s="13">
        <f t="shared" si="5"/>
        <v>0</v>
      </c>
      <c r="AI11" s="13">
        <f t="shared" si="5"/>
        <v>0</v>
      </c>
      <c r="AJ11" s="13">
        <f t="shared" si="5"/>
        <v>0</v>
      </c>
      <c r="AK11" s="13">
        <f t="shared" si="5"/>
        <v>0</v>
      </c>
      <c r="AL11" s="13">
        <f t="shared" si="5"/>
        <v>0</v>
      </c>
      <c r="AM11" s="13">
        <f t="shared" si="5"/>
        <v>0</v>
      </c>
      <c r="AN11" s="13">
        <f t="shared" si="5"/>
        <v>0</v>
      </c>
      <c r="AO11" s="13">
        <f t="shared" si="5"/>
        <v>0</v>
      </c>
      <c r="AP11" s="13">
        <f t="shared" si="5"/>
        <v>0</v>
      </c>
      <c r="AQ11" s="13">
        <f t="shared" si="5"/>
        <v>0</v>
      </c>
      <c r="AR11" s="13">
        <f t="shared" si="5"/>
        <v>0</v>
      </c>
      <c r="AS11" s="13">
        <f t="shared" si="5"/>
        <v>0</v>
      </c>
      <c r="AT11" s="13">
        <f t="shared" si="5"/>
        <v>0</v>
      </c>
    </row>
    <row r="12" spans="2:46" ht="19.899999999999999" customHeight="1" x14ac:dyDescent="0.25">
      <c r="C12" s="158" t="s">
        <v>35</v>
      </c>
      <c r="D12" s="159"/>
      <c r="E12" s="158" t="s">
        <v>36</v>
      </c>
      <c r="F12" s="159"/>
      <c r="H12" s="66"/>
      <c r="I12" s="22"/>
      <c r="J12" s="14"/>
      <c r="K12" s="22"/>
      <c r="L12" s="21"/>
      <c r="M12" s="8"/>
      <c r="N12" s="5" t="s">
        <v>39</v>
      </c>
      <c r="O12" s="13">
        <f t="shared" ref="O12:AT12" si="6">_xlfn.NORM.DIST(O6,$L$6,$M$6,FALSE) * COUNT($E$14:$F$1424) * (100-$I$27)/100*step</f>
        <v>2278.130174275283</v>
      </c>
      <c r="P12" s="13">
        <f t="shared" si="6"/>
        <v>5.7203829442801254E-5</v>
      </c>
      <c r="Q12" s="13">
        <f t="shared" si="6"/>
        <v>1.9948471389865217E-23</v>
      </c>
      <c r="R12" s="13">
        <f t="shared" si="6"/>
        <v>9.6612227140284938E-53</v>
      </c>
      <c r="S12" s="13">
        <f t="shared" si="6"/>
        <v>6.4981916787555753E-93</v>
      </c>
      <c r="T12" s="13">
        <f t="shared" si="6"/>
        <v>6.0700307904713633E-144</v>
      </c>
      <c r="U12" s="13">
        <f t="shared" si="6"/>
        <v>7.8745767973978019E-206</v>
      </c>
      <c r="V12" s="13">
        <f t="shared" si="6"/>
        <v>1.4187357225924254E-278</v>
      </c>
      <c r="W12" s="13">
        <f t="shared" si="6"/>
        <v>0</v>
      </c>
      <c r="X12" s="13">
        <f t="shared" si="6"/>
        <v>0</v>
      </c>
      <c r="Y12" s="13">
        <f t="shared" si="6"/>
        <v>0</v>
      </c>
      <c r="Z12" s="13">
        <f t="shared" si="6"/>
        <v>0</v>
      </c>
      <c r="AA12" s="13">
        <f t="shared" si="6"/>
        <v>0</v>
      </c>
      <c r="AB12" s="13">
        <f t="shared" si="6"/>
        <v>0</v>
      </c>
      <c r="AC12" s="13">
        <f t="shared" si="6"/>
        <v>0</v>
      </c>
      <c r="AD12" s="13">
        <f t="shared" si="6"/>
        <v>0</v>
      </c>
      <c r="AE12" s="13">
        <f t="shared" si="6"/>
        <v>0</v>
      </c>
      <c r="AF12" s="13">
        <f t="shared" si="6"/>
        <v>0</v>
      </c>
      <c r="AG12" s="13">
        <f t="shared" si="6"/>
        <v>0</v>
      </c>
      <c r="AH12" s="13">
        <f t="shared" si="6"/>
        <v>0</v>
      </c>
      <c r="AI12" s="13">
        <f t="shared" si="6"/>
        <v>0</v>
      </c>
      <c r="AJ12" s="13">
        <f t="shared" si="6"/>
        <v>0</v>
      </c>
      <c r="AK12" s="13">
        <f t="shared" si="6"/>
        <v>0</v>
      </c>
      <c r="AL12" s="13">
        <f t="shared" si="6"/>
        <v>0</v>
      </c>
      <c r="AM12" s="13">
        <f t="shared" si="6"/>
        <v>0</v>
      </c>
      <c r="AN12" s="13">
        <f t="shared" si="6"/>
        <v>0</v>
      </c>
      <c r="AO12" s="13">
        <f t="shared" si="6"/>
        <v>0</v>
      </c>
      <c r="AP12" s="13">
        <f t="shared" si="6"/>
        <v>0</v>
      </c>
      <c r="AQ12" s="13">
        <f t="shared" si="6"/>
        <v>0</v>
      </c>
      <c r="AR12" s="13">
        <f t="shared" si="6"/>
        <v>0</v>
      </c>
      <c r="AS12" s="13">
        <f t="shared" si="6"/>
        <v>0</v>
      </c>
      <c r="AT12" s="13">
        <f t="shared" si="6"/>
        <v>0</v>
      </c>
    </row>
    <row r="13" spans="2:46" ht="19.899999999999999" customHeight="1" thickBot="1" x14ac:dyDescent="0.3">
      <c r="C13" s="160"/>
      <c r="D13" s="161"/>
      <c r="E13" s="160"/>
      <c r="F13" s="161"/>
      <c r="H13" s="66"/>
      <c r="I13" s="22"/>
      <c r="J13" s="14"/>
      <c r="K13" s="22"/>
      <c r="L13" s="21"/>
      <c r="M13" s="8"/>
      <c r="N13" s="5" t="s">
        <v>40</v>
      </c>
      <c r="O13" s="13">
        <f t="shared" ref="O13:AT13" si="7">O11+O12</f>
        <v>2278.1429015297531</v>
      </c>
      <c r="P13" s="13">
        <f t="shared" si="7"/>
        <v>5.7203829442899015E-5</v>
      </c>
      <c r="Q13" s="13">
        <f t="shared" si="7"/>
        <v>1.9948471389865217E-23</v>
      </c>
      <c r="R13" s="13">
        <f t="shared" si="7"/>
        <v>9.6612227140284938E-53</v>
      </c>
      <c r="S13" s="13">
        <f t="shared" si="7"/>
        <v>6.4981916787555753E-93</v>
      </c>
      <c r="T13" s="13">
        <f t="shared" si="7"/>
        <v>6.0700307904713633E-144</v>
      </c>
      <c r="U13" s="13">
        <f t="shared" si="7"/>
        <v>7.8745767973978019E-206</v>
      </c>
      <c r="V13" s="13">
        <f t="shared" si="7"/>
        <v>1.4187357225924254E-278</v>
      </c>
      <c r="W13" s="13">
        <f t="shared" si="7"/>
        <v>0</v>
      </c>
      <c r="X13" s="13">
        <f t="shared" si="7"/>
        <v>0</v>
      </c>
      <c r="Y13" s="13">
        <f t="shared" si="7"/>
        <v>0</v>
      </c>
      <c r="Z13" s="13">
        <f t="shared" si="7"/>
        <v>0</v>
      </c>
      <c r="AA13" s="13">
        <f t="shared" si="7"/>
        <v>0</v>
      </c>
      <c r="AB13" s="13">
        <f t="shared" si="7"/>
        <v>0</v>
      </c>
      <c r="AC13" s="13">
        <f t="shared" si="7"/>
        <v>0</v>
      </c>
      <c r="AD13" s="13">
        <f t="shared" si="7"/>
        <v>0</v>
      </c>
      <c r="AE13" s="13">
        <f t="shared" si="7"/>
        <v>0</v>
      </c>
      <c r="AF13" s="13">
        <f t="shared" si="7"/>
        <v>0</v>
      </c>
      <c r="AG13" s="13">
        <f t="shared" si="7"/>
        <v>0</v>
      </c>
      <c r="AH13" s="13">
        <f t="shared" si="7"/>
        <v>0</v>
      </c>
      <c r="AI13" s="13">
        <f t="shared" si="7"/>
        <v>0</v>
      </c>
      <c r="AJ13" s="13">
        <f t="shared" si="7"/>
        <v>0</v>
      </c>
      <c r="AK13" s="13">
        <f t="shared" si="7"/>
        <v>0</v>
      </c>
      <c r="AL13" s="13">
        <f t="shared" si="7"/>
        <v>0</v>
      </c>
      <c r="AM13" s="13">
        <f t="shared" si="7"/>
        <v>0</v>
      </c>
      <c r="AN13" s="13">
        <f t="shared" si="7"/>
        <v>0</v>
      </c>
      <c r="AO13" s="13">
        <f t="shared" si="7"/>
        <v>0</v>
      </c>
      <c r="AP13" s="13">
        <f t="shared" si="7"/>
        <v>0</v>
      </c>
      <c r="AQ13" s="13">
        <f t="shared" si="7"/>
        <v>0</v>
      </c>
      <c r="AR13" s="13">
        <f t="shared" si="7"/>
        <v>0</v>
      </c>
      <c r="AS13" s="13">
        <f t="shared" si="7"/>
        <v>0</v>
      </c>
      <c r="AT13" s="13">
        <f t="shared" si="7"/>
        <v>0</v>
      </c>
    </row>
    <row r="14" spans="2:46" ht="16.149999999999999" customHeight="1" x14ac:dyDescent="0.3">
      <c r="C14" s="56">
        <f t="shared" ref="C14:D33" ca="1" si="8">_xlfn.NORM.INV(RAND(),C$4,C$5)</f>
        <v>77.119274976762753</v>
      </c>
      <c r="D14" s="56">
        <f t="shared" ca="1" si="8"/>
        <v>113.65547179253579</v>
      </c>
      <c r="E14" s="57">
        <v>55.761207881365095</v>
      </c>
      <c r="F14" s="57">
        <v>132.73877073265234</v>
      </c>
      <c r="H14" s="66"/>
      <c r="I14" s="22"/>
      <c r="J14" s="14"/>
      <c r="K14" s="22"/>
      <c r="L14" s="21"/>
      <c r="M14" s="8"/>
    </row>
    <row r="15" spans="2:46" ht="16.149999999999999" customHeight="1" x14ac:dyDescent="0.3">
      <c r="C15" s="31">
        <f t="shared" ca="1" si="8"/>
        <v>65.637088177793501</v>
      </c>
      <c r="D15" s="31">
        <f t="shared" ca="1" si="8"/>
        <v>120.78991632853746</v>
      </c>
      <c r="E15" s="32">
        <v>59.51845323562744</v>
      </c>
      <c r="F15" s="32">
        <v>124.3401098428234</v>
      </c>
      <c r="H15" s="66"/>
      <c r="I15" s="22"/>
      <c r="J15" s="14"/>
      <c r="K15" s="22"/>
      <c r="L15" s="21"/>
      <c r="M15" s="8"/>
      <c r="N15" s="5"/>
    </row>
    <row r="16" spans="2:46" ht="16.149999999999999" customHeight="1" x14ac:dyDescent="0.3">
      <c r="C16" s="31">
        <f t="shared" ca="1" si="8"/>
        <v>54.755102309630423</v>
      </c>
      <c r="D16" s="31">
        <f t="shared" ca="1" si="8"/>
        <v>123.57596442323508</v>
      </c>
      <c r="E16" s="32">
        <v>71.200217271666162</v>
      </c>
      <c r="F16" s="32">
        <v>96.790730152291331</v>
      </c>
      <c r="H16" s="66"/>
      <c r="I16" s="22"/>
      <c r="J16" s="14"/>
      <c r="K16" s="22"/>
      <c r="L16" s="21"/>
      <c r="M16" s="8"/>
    </row>
    <row r="17" spans="3:13" ht="16.149999999999999" customHeight="1" x14ac:dyDescent="0.3">
      <c r="C17" s="31">
        <f t="shared" ca="1" si="8"/>
        <v>52.955949560133455</v>
      </c>
      <c r="D17" s="31">
        <f t="shared" ca="1" si="8"/>
        <v>130.48757639060324</v>
      </c>
      <c r="E17" s="32">
        <v>57.793729252365161</v>
      </c>
      <c r="F17" s="32">
        <v>128.20710428778344</v>
      </c>
      <c r="H17" s="66"/>
      <c r="I17" s="22"/>
      <c r="J17" s="14"/>
      <c r="K17" s="22"/>
      <c r="L17" s="21"/>
      <c r="M17" s="8"/>
    </row>
    <row r="18" spans="3:13" ht="16.149999999999999" customHeight="1" x14ac:dyDescent="0.3">
      <c r="C18" s="31">
        <f t="shared" ca="1" si="8"/>
        <v>64.886113442340431</v>
      </c>
      <c r="D18" s="31">
        <f t="shared" ca="1" si="8"/>
        <v>140.080061100911</v>
      </c>
      <c r="E18" s="32">
        <v>68.315341448371171</v>
      </c>
      <c r="F18" s="32">
        <v>66.60917875234432</v>
      </c>
      <c r="H18" s="66"/>
      <c r="I18" s="22"/>
      <c r="J18" s="14"/>
      <c r="K18" s="22"/>
      <c r="L18" s="21"/>
      <c r="M18" s="8"/>
    </row>
    <row r="19" spans="3:13" ht="16.149999999999999" customHeight="1" x14ac:dyDescent="0.3">
      <c r="C19" s="31">
        <f t="shared" ca="1" si="8"/>
        <v>43.036855737848086</v>
      </c>
      <c r="D19" s="31">
        <f t="shared" ca="1" si="8"/>
        <v>106.86369513900776</v>
      </c>
      <c r="E19" s="32">
        <v>65.728227424301878</v>
      </c>
      <c r="F19" s="32">
        <v>139.1293094078398</v>
      </c>
      <c r="H19" s="66"/>
      <c r="I19" s="22"/>
      <c r="J19" s="14"/>
      <c r="K19" s="22"/>
      <c r="L19" s="21"/>
      <c r="M19" s="8"/>
    </row>
    <row r="20" spans="3:13" ht="16.149999999999999" customHeight="1" x14ac:dyDescent="0.3">
      <c r="C20" s="31">
        <f t="shared" ca="1" si="8"/>
        <v>66.312079266902899</v>
      </c>
      <c r="D20" s="31">
        <f t="shared" ca="1" si="8"/>
        <v>95.348287534718679</v>
      </c>
      <c r="E20" s="32">
        <v>67.094170351232265</v>
      </c>
      <c r="F20" s="32">
        <v>116.0516476748322</v>
      </c>
      <c r="H20" s="66"/>
      <c r="I20" s="22"/>
      <c r="J20" s="14"/>
      <c r="K20" s="22"/>
      <c r="L20" s="21"/>
      <c r="M20" s="8"/>
    </row>
    <row r="21" spans="3:13" ht="16.149999999999999" customHeight="1" x14ac:dyDescent="0.3">
      <c r="C21" s="31">
        <f t="shared" ca="1" si="8"/>
        <v>57.150507499282106</v>
      </c>
      <c r="D21" s="31">
        <f t="shared" ca="1" si="8"/>
        <v>124.94777728962849</v>
      </c>
      <c r="E21" s="32">
        <v>65.109761379067493</v>
      </c>
      <c r="F21" s="32">
        <v>113.39459809446238</v>
      </c>
      <c r="H21" s="66"/>
      <c r="I21" s="22"/>
      <c r="J21" s="14"/>
      <c r="K21" s="22"/>
      <c r="L21" s="21"/>
      <c r="M21" s="8"/>
    </row>
    <row r="22" spans="3:13" ht="16.149999999999999" customHeight="1" x14ac:dyDescent="0.3">
      <c r="C22" s="31">
        <f t="shared" ca="1" si="8"/>
        <v>59.684428142323384</v>
      </c>
      <c r="D22" s="31">
        <f t="shared" ca="1" si="8"/>
        <v>121.61280435819322</v>
      </c>
      <c r="E22" s="32">
        <v>45.711514468716707</v>
      </c>
      <c r="F22" s="32">
        <v>85.839334656015595</v>
      </c>
      <c r="H22" s="66"/>
      <c r="I22" s="22"/>
      <c r="J22" s="14"/>
      <c r="K22" s="22"/>
      <c r="L22" s="21"/>
      <c r="M22" s="8"/>
    </row>
    <row r="23" spans="3:13" ht="16.149999999999999" customHeight="1" x14ac:dyDescent="0.3">
      <c r="C23" s="31">
        <f t="shared" ca="1" si="8"/>
        <v>68.593019589231176</v>
      </c>
      <c r="D23" s="31">
        <f t="shared" ca="1" si="8"/>
        <v>120.44826774357172</v>
      </c>
      <c r="E23" s="32">
        <v>62.131490481652044</v>
      </c>
      <c r="F23" s="32">
        <v>152.61221341133455</v>
      </c>
      <c r="H23" s="66"/>
      <c r="I23" s="22"/>
      <c r="J23" s="14"/>
      <c r="K23" s="22"/>
      <c r="L23" s="21"/>
      <c r="M23" s="8"/>
    </row>
    <row r="24" spans="3:13" ht="16.149999999999999" customHeight="1" x14ac:dyDescent="0.3">
      <c r="C24" s="31">
        <f t="shared" ca="1" si="8"/>
        <v>54.054413823197713</v>
      </c>
      <c r="D24" s="31">
        <f t="shared" ca="1" si="8"/>
        <v>141.04112652431508</v>
      </c>
      <c r="E24" s="32">
        <v>70.350916122882978</v>
      </c>
      <c r="F24" s="32">
        <v>107.95860585255124</v>
      </c>
      <c r="H24" s="66"/>
      <c r="I24" s="22"/>
      <c r="J24" s="14"/>
      <c r="K24" s="22"/>
      <c r="L24" s="21"/>
      <c r="M24" s="8"/>
    </row>
    <row r="25" spans="3:13" ht="16.149999999999999" customHeight="1" thickBot="1" x14ac:dyDescent="0.35">
      <c r="C25" s="31">
        <f t="shared" ca="1" si="8"/>
        <v>53.415552326109264</v>
      </c>
      <c r="D25" s="31">
        <f t="shared" ca="1" si="8"/>
        <v>117.80713921599914</v>
      </c>
      <c r="E25" s="32">
        <v>48.919641424198765</v>
      </c>
      <c r="F25" s="32">
        <v>101.15719755118531</v>
      </c>
      <c r="H25" s="67"/>
      <c r="I25" s="24"/>
      <c r="J25" s="62"/>
      <c r="K25" s="24"/>
      <c r="L25" s="23"/>
      <c r="M25" s="25"/>
    </row>
    <row r="26" spans="3:13" ht="16.149999999999999" customHeight="1" x14ac:dyDescent="0.3">
      <c r="C26" s="31">
        <f t="shared" ca="1" si="8"/>
        <v>57.054110887932659</v>
      </c>
      <c r="D26" s="31">
        <f t="shared" ca="1" si="8"/>
        <v>161.04840653497746</v>
      </c>
      <c r="E26" s="32">
        <v>56.028967291602243</v>
      </c>
      <c r="F26" s="32">
        <v>113.96220444532393</v>
      </c>
      <c r="I26" s="17"/>
    </row>
    <row r="27" spans="3:13" ht="16.149999999999999" customHeight="1" x14ac:dyDescent="0.3">
      <c r="C27" s="31">
        <f t="shared" ca="1" si="8"/>
        <v>56.793884058734214</v>
      </c>
      <c r="D27" s="31">
        <f t="shared" ca="1" si="8"/>
        <v>90.844844939090947</v>
      </c>
      <c r="E27" s="32">
        <v>62.730084385893605</v>
      </c>
      <c r="F27" s="32">
        <v>84.903951975437124</v>
      </c>
      <c r="I27" s="70">
        <v>1</v>
      </c>
    </row>
    <row r="28" spans="3:13" ht="16.149999999999999" customHeight="1" x14ac:dyDescent="0.3">
      <c r="C28" s="31">
        <f t="shared" ca="1" si="8"/>
        <v>46.432226251592837</v>
      </c>
      <c r="D28" s="31">
        <f t="shared" ca="1" si="8"/>
        <v>75.976306712511629</v>
      </c>
      <c r="E28" s="32">
        <v>72.362953016670104</v>
      </c>
      <c r="F28" s="32">
        <v>125.34582995151294</v>
      </c>
      <c r="I28" s="17"/>
    </row>
    <row r="29" spans="3:13" ht="16.149999999999999" customHeight="1" x14ac:dyDescent="0.3">
      <c r="C29" s="31">
        <f t="shared" ca="1" si="8"/>
        <v>61.835929158161257</v>
      </c>
      <c r="D29" s="31">
        <f t="shared" ca="1" si="8"/>
        <v>123.80451652526176</v>
      </c>
      <c r="E29" s="32">
        <v>56.342749648363366</v>
      </c>
      <c r="F29" s="32">
        <v>101.43253637132959</v>
      </c>
      <c r="I29" s="17"/>
    </row>
    <row r="30" spans="3:13" ht="16.149999999999999" customHeight="1" x14ac:dyDescent="0.3">
      <c r="C30" s="31">
        <f t="shared" ca="1" si="8"/>
        <v>47.613644828480076</v>
      </c>
      <c r="D30" s="31">
        <f t="shared" ca="1" si="8"/>
        <v>133.00195828295895</v>
      </c>
      <c r="E30" s="32">
        <v>34.772123967684145</v>
      </c>
      <c r="F30" s="32">
        <v>116.09586569761137</v>
      </c>
      <c r="I30" s="17"/>
    </row>
    <row r="31" spans="3:13" ht="16.149999999999999" customHeight="1" x14ac:dyDescent="0.3">
      <c r="C31" s="31">
        <f t="shared" ca="1" si="8"/>
        <v>59.909000654340026</v>
      </c>
      <c r="D31" s="31">
        <f t="shared" ca="1" si="8"/>
        <v>99.40199167673947</v>
      </c>
      <c r="E31" s="32">
        <v>77.665382746105024</v>
      </c>
      <c r="F31" s="32">
        <v>137.07349796362101</v>
      </c>
      <c r="I31" s="17"/>
    </row>
    <row r="32" spans="3:13" ht="16.149999999999999" customHeight="1" x14ac:dyDescent="0.3">
      <c r="C32" s="31">
        <f t="shared" ca="1" si="8"/>
        <v>43.260644321111776</v>
      </c>
      <c r="D32" s="31">
        <f t="shared" ca="1" si="8"/>
        <v>145.80530530832303</v>
      </c>
      <c r="E32" s="32">
        <v>55.709458984885764</v>
      </c>
      <c r="F32" s="32">
        <v>142.88911515234076</v>
      </c>
      <c r="I32" s="17"/>
    </row>
    <row r="33" spans="3:9" x14ac:dyDescent="0.25">
      <c r="C33" s="31">
        <f t="shared" ca="1" si="8"/>
        <v>67.46074824036657</v>
      </c>
      <c r="D33" s="31">
        <f t="shared" ca="1" si="8"/>
        <v>114.25300232795284</v>
      </c>
      <c r="E33" s="32">
        <v>56.581614773794875</v>
      </c>
      <c r="F33" s="32">
        <v>155.97513178865557</v>
      </c>
      <c r="I33" s="17"/>
    </row>
    <row r="34" spans="3:9" x14ac:dyDescent="0.25">
      <c r="C34" s="31">
        <f t="shared" ref="C34:D53" ca="1" si="9">_xlfn.NORM.INV(RAND(),C$4,C$5)</f>
        <v>70.671046438131654</v>
      </c>
      <c r="D34" s="31">
        <f t="shared" ca="1" si="9"/>
        <v>114.12502120812124</v>
      </c>
      <c r="E34" s="32">
        <v>41.227531267891152</v>
      </c>
      <c r="F34" s="32">
        <v>69.411644662704333</v>
      </c>
      <c r="I34" s="17"/>
    </row>
    <row r="35" spans="3:9" x14ac:dyDescent="0.25">
      <c r="C35" s="31">
        <f t="shared" ca="1" si="9"/>
        <v>53.476615392417408</v>
      </c>
      <c r="D35" s="31">
        <f t="shared" ca="1" si="9"/>
        <v>110.65560181680016</v>
      </c>
      <c r="E35" s="32">
        <v>70.708969596444689</v>
      </c>
      <c r="F35" s="32">
        <v>93.142370478569688</v>
      </c>
      <c r="I35" s="17"/>
    </row>
    <row r="36" spans="3:9" x14ac:dyDescent="0.25">
      <c r="C36" s="31">
        <f t="shared" ca="1" si="9"/>
        <v>47.725155490630854</v>
      </c>
      <c r="D36" s="31">
        <f t="shared" ca="1" si="9"/>
        <v>114.0561268161441</v>
      </c>
      <c r="E36" s="32">
        <v>48.59457401736725</v>
      </c>
      <c r="F36" s="32">
        <v>111.63661918358065</v>
      </c>
      <c r="I36" s="17"/>
    </row>
    <row r="37" spans="3:9" x14ac:dyDescent="0.25">
      <c r="C37" s="31">
        <f t="shared" ca="1" si="9"/>
        <v>79.60096393213334</v>
      </c>
      <c r="D37" s="31">
        <f t="shared" ca="1" si="9"/>
        <v>78.412908416873194</v>
      </c>
      <c r="E37" s="32">
        <v>75.546229507460538</v>
      </c>
      <c r="F37" s="32">
        <v>89.747510343558119</v>
      </c>
      <c r="I37" s="17"/>
    </row>
    <row r="38" spans="3:9" x14ac:dyDescent="0.25">
      <c r="C38" s="31">
        <f t="shared" ca="1" si="9"/>
        <v>67.87332661043537</v>
      </c>
      <c r="D38" s="31">
        <f t="shared" ca="1" si="9"/>
        <v>142.57188451207244</v>
      </c>
      <c r="E38" s="32">
        <v>66.36012070722947</v>
      </c>
      <c r="F38" s="32">
        <v>98.260632686326971</v>
      </c>
      <c r="I38" s="17"/>
    </row>
    <row r="39" spans="3:9" x14ac:dyDescent="0.25">
      <c r="C39" s="31">
        <f t="shared" ca="1" si="9"/>
        <v>55.038008214168507</v>
      </c>
      <c r="D39" s="31">
        <f t="shared" ca="1" si="9"/>
        <v>90.60065318902133</v>
      </c>
      <c r="E39" s="32">
        <v>68.253959526875548</v>
      </c>
      <c r="F39" s="32">
        <v>117.45053941383804</v>
      </c>
      <c r="I39" s="17"/>
    </row>
    <row r="40" spans="3:9" x14ac:dyDescent="0.25">
      <c r="C40" s="31">
        <f t="shared" ca="1" si="9"/>
        <v>53.891257878819111</v>
      </c>
      <c r="D40" s="31">
        <f t="shared" ca="1" si="9"/>
        <v>104.93286201237488</v>
      </c>
      <c r="E40" s="32">
        <v>63.365048576987405</v>
      </c>
      <c r="F40" s="32">
        <v>109.20716917162629</v>
      </c>
      <c r="I40" s="17"/>
    </row>
    <row r="41" spans="3:9" x14ac:dyDescent="0.25">
      <c r="C41" s="31">
        <f t="shared" ca="1" si="9"/>
        <v>48.590809786401834</v>
      </c>
      <c r="D41" s="31">
        <f t="shared" ca="1" si="9"/>
        <v>141.8293608707192</v>
      </c>
      <c r="E41" s="32">
        <v>67.521262665214408</v>
      </c>
      <c r="F41" s="32">
        <v>111.18324111147949</v>
      </c>
      <c r="I41" s="17"/>
    </row>
    <row r="42" spans="3:9" x14ac:dyDescent="0.25">
      <c r="C42" s="31">
        <f t="shared" ca="1" si="9"/>
        <v>65.8994938342978</v>
      </c>
      <c r="D42" s="31">
        <f t="shared" ca="1" si="9"/>
        <v>146.13744122410233</v>
      </c>
      <c r="E42" s="32">
        <v>71.387127609772534</v>
      </c>
      <c r="F42" s="32">
        <v>124.44981907201519</v>
      </c>
      <c r="I42" s="17"/>
    </row>
    <row r="43" spans="3:9" x14ac:dyDescent="0.25">
      <c r="C43" s="31">
        <f t="shared" ca="1" si="9"/>
        <v>68.054861465324365</v>
      </c>
      <c r="D43" s="31">
        <f t="shared" ca="1" si="9"/>
        <v>99.746892276394078</v>
      </c>
      <c r="E43" s="32">
        <v>65.091763057216951</v>
      </c>
      <c r="F43" s="32">
        <v>81.106777155936854</v>
      </c>
      <c r="I43" s="17"/>
    </row>
    <row r="44" spans="3:9" x14ac:dyDescent="0.25">
      <c r="C44" s="31">
        <f t="shared" ca="1" si="9"/>
        <v>65.385436124475845</v>
      </c>
      <c r="D44" s="31">
        <f t="shared" ca="1" si="9"/>
        <v>114.52266389074437</v>
      </c>
      <c r="E44" s="32">
        <v>52.846541038403963</v>
      </c>
      <c r="F44" s="32">
        <v>120.31998772737673</v>
      </c>
      <c r="I44" s="17"/>
    </row>
    <row r="45" spans="3:9" x14ac:dyDescent="0.25">
      <c r="C45" s="31">
        <f t="shared" ca="1" si="9"/>
        <v>56.735998839559855</v>
      </c>
      <c r="D45" s="31">
        <f t="shared" ca="1" si="9"/>
        <v>114.95825197439369</v>
      </c>
      <c r="E45" s="32">
        <v>61.015381528224566</v>
      </c>
      <c r="F45" s="32">
        <v>92.791353055428544</v>
      </c>
      <c r="I45" s="17"/>
    </row>
    <row r="46" spans="3:9" x14ac:dyDescent="0.25">
      <c r="C46" s="31">
        <f t="shared" ca="1" si="9"/>
        <v>72.567830568215626</v>
      </c>
      <c r="D46" s="31">
        <f t="shared" ca="1" si="9"/>
        <v>120.35217896044668</v>
      </c>
      <c r="E46" s="32">
        <v>57.123860885666666</v>
      </c>
      <c r="F46" s="32">
        <v>109.57199231778517</v>
      </c>
      <c r="I46" s="17"/>
    </row>
    <row r="47" spans="3:9" x14ac:dyDescent="0.25">
      <c r="C47" s="31">
        <f t="shared" ca="1" si="9"/>
        <v>64.735340112549508</v>
      </c>
      <c r="D47" s="31">
        <f t="shared" ca="1" si="9"/>
        <v>108.52889615584719</v>
      </c>
      <c r="E47" s="32">
        <v>67.178928922908526</v>
      </c>
      <c r="F47" s="32">
        <v>121.47186291669627</v>
      </c>
      <c r="I47" s="17"/>
    </row>
    <row r="48" spans="3:9" x14ac:dyDescent="0.25">
      <c r="C48" s="31">
        <f t="shared" ca="1" si="9"/>
        <v>55.50146358648135</v>
      </c>
      <c r="D48" s="31">
        <f t="shared" ca="1" si="9"/>
        <v>115.2949392666019</v>
      </c>
      <c r="E48" s="32">
        <v>66.503961288482103</v>
      </c>
      <c r="F48" s="32">
        <v>143.77287560146956</v>
      </c>
      <c r="I48" s="17"/>
    </row>
    <row r="49" spans="3:12" x14ac:dyDescent="0.25">
      <c r="C49" s="31">
        <f t="shared" ca="1" si="9"/>
        <v>60.88197801817563</v>
      </c>
      <c r="D49" s="31">
        <f t="shared" ca="1" si="9"/>
        <v>138.28013755609118</v>
      </c>
      <c r="E49" s="32">
        <v>80.417614218158704</v>
      </c>
      <c r="F49" s="32">
        <v>142.03455401412606</v>
      </c>
      <c r="I49" s="17"/>
    </row>
    <row r="50" spans="3:12" x14ac:dyDescent="0.25">
      <c r="C50" s="31">
        <f t="shared" ca="1" si="9"/>
        <v>70.788242907298923</v>
      </c>
      <c r="D50" s="31">
        <f t="shared" ca="1" si="9"/>
        <v>122.08745598553057</v>
      </c>
      <c r="E50" s="32">
        <v>53.979173782751822</v>
      </c>
      <c r="F50" s="32">
        <v>140.28534255586163</v>
      </c>
      <c r="I50" s="17"/>
    </row>
    <row r="51" spans="3:12" x14ac:dyDescent="0.25">
      <c r="C51" s="31">
        <f t="shared" ca="1" si="9"/>
        <v>58.461831357290301</v>
      </c>
      <c r="D51" s="31">
        <f t="shared" ca="1" si="9"/>
        <v>109.993061576288</v>
      </c>
      <c r="E51" s="32">
        <v>83.517976556942656</v>
      </c>
      <c r="F51" s="32">
        <v>103.59537022538473</v>
      </c>
      <c r="I51" s="17"/>
      <c r="J51" s="17"/>
      <c r="K51" s="17"/>
      <c r="L51" s="17"/>
    </row>
    <row r="52" spans="3:12" x14ac:dyDescent="0.25">
      <c r="C52" s="31">
        <f t="shared" ca="1" si="9"/>
        <v>63.18061161588767</v>
      </c>
      <c r="D52" s="31">
        <f t="shared" ca="1" si="9"/>
        <v>80.41724159143169</v>
      </c>
      <c r="E52" s="32">
        <v>51.848374741502766</v>
      </c>
      <c r="F52" s="32">
        <v>113.2859225025006</v>
      </c>
      <c r="I52" s="17"/>
      <c r="J52" s="17"/>
      <c r="K52" s="17"/>
      <c r="L52" s="17"/>
    </row>
    <row r="53" spans="3:12" x14ac:dyDescent="0.25">
      <c r="C53" s="31">
        <f t="shared" ca="1" si="9"/>
        <v>59.989271128436947</v>
      </c>
      <c r="D53" s="31">
        <f t="shared" ca="1" si="9"/>
        <v>77.067650771205479</v>
      </c>
      <c r="E53" s="32">
        <v>38.284924113794204</v>
      </c>
      <c r="F53" s="32">
        <v>106.55643287421638</v>
      </c>
      <c r="I53" s="17"/>
      <c r="J53" s="17"/>
      <c r="K53" s="17"/>
      <c r="L53" s="17"/>
    </row>
    <row r="54" spans="3:12" x14ac:dyDescent="0.25">
      <c r="C54" s="31">
        <f t="shared" ref="C54:D73" ca="1" si="10">_xlfn.NORM.INV(RAND(),C$4,C$5)</f>
        <v>59.543469861664178</v>
      </c>
      <c r="D54" s="31">
        <f t="shared" ca="1" si="10"/>
        <v>130.04284496734124</v>
      </c>
      <c r="E54" s="32">
        <v>42.348231974032231</v>
      </c>
      <c r="F54" s="32">
        <v>155.00744277482156</v>
      </c>
      <c r="I54" s="17"/>
      <c r="J54" s="17"/>
      <c r="K54" s="17"/>
      <c r="L54" s="17"/>
    </row>
    <row r="55" spans="3:12" x14ac:dyDescent="0.25">
      <c r="C55" s="31">
        <f t="shared" ca="1" si="10"/>
        <v>65.256898390911289</v>
      </c>
      <c r="D55" s="31">
        <f t="shared" ca="1" si="10"/>
        <v>138.68344398779684</v>
      </c>
      <c r="E55" s="32">
        <v>81.414486007681091</v>
      </c>
      <c r="F55" s="32">
        <v>99.45408641199478</v>
      </c>
      <c r="I55" s="17"/>
      <c r="J55" s="17"/>
      <c r="K55" s="17"/>
      <c r="L55" s="17"/>
    </row>
    <row r="56" spans="3:12" x14ac:dyDescent="0.25">
      <c r="C56" s="31">
        <f t="shared" ca="1" si="10"/>
        <v>72.451958274938363</v>
      </c>
      <c r="D56" s="31">
        <f t="shared" ca="1" si="10"/>
        <v>133.4368185380192</v>
      </c>
      <c r="E56" s="32">
        <v>47.666022759916125</v>
      </c>
      <c r="F56" s="32">
        <v>122.39422965736522</v>
      </c>
      <c r="I56" s="17"/>
      <c r="J56" s="17"/>
      <c r="K56" s="17"/>
      <c r="L56" s="17"/>
    </row>
    <row r="57" spans="3:12" x14ac:dyDescent="0.25">
      <c r="C57" s="31">
        <f t="shared" ca="1" si="10"/>
        <v>50.31761198430415</v>
      </c>
      <c r="D57" s="31">
        <f t="shared" ca="1" si="10"/>
        <v>74.166353968239079</v>
      </c>
      <c r="E57" s="32">
        <v>50.29452164357135</v>
      </c>
      <c r="F57" s="32">
        <v>116.41324713149668</v>
      </c>
      <c r="I57" s="17"/>
      <c r="J57" s="17"/>
      <c r="K57" s="17"/>
      <c r="L57" s="17"/>
    </row>
    <row r="58" spans="3:12" x14ac:dyDescent="0.25">
      <c r="C58" s="31">
        <f t="shared" ca="1" si="10"/>
        <v>61.047392082375993</v>
      </c>
      <c r="D58" s="31">
        <f t="shared" ca="1" si="10"/>
        <v>91.176618470304675</v>
      </c>
      <c r="E58" s="32">
        <v>60.769361779276934</v>
      </c>
      <c r="F58" s="32">
        <v>112.49871113885521</v>
      </c>
      <c r="I58" s="17"/>
      <c r="J58" s="17"/>
      <c r="K58" s="17"/>
      <c r="L58" s="17"/>
    </row>
    <row r="59" spans="3:12" x14ac:dyDescent="0.25">
      <c r="C59" s="31">
        <f t="shared" ca="1" si="10"/>
        <v>46.530790277604126</v>
      </c>
      <c r="D59" s="31">
        <f t="shared" ca="1" si="10"/>
        <v>137.49730581191335</v>
      </c>
      <c r="E59" s="32">
        <v>58.006757529604371</v>
      </c>
      <c r="F59" s="32">
        <v>140.32338112972832</v>
      </c>
      <c r="I59" s="17"/>
      <c r="J59" s="17"/>
      <c r="K59" s="17"/>
      <c r="L59" s="17"/>
    </row>
    <row r="60" spans="3:12" x14ac:dyDescent="0.25">
      <c r="C60" s="31">
        <f t="shared" ca="1" si="10"/>
        <v>53.536774323266584</v>
      </c>
      <c r="D60" s="31">
        <f t="shared" ca="1" si="10"/>
        <v>106.23195187208648</v>
      </c>
      <c r="E60" s="32">
        <v>51.336657499439845</v>
      </c>
      <c r="F60" s="32">
        <v>108.96782373127527</v>
      </c>
      <c r="I60" s="17"/>
      <c r="J60" s="17"/>
      <c r="K60" s="17"/>
      <c r="L60" s="17"/>
    </row>
    <row r="61" spans="3:12" x14ac:dyDescent="0.25">
      <c r="C61" s="31">
        <f t="shared" ca="1" si="10"/>
        <v>64.387448649996685</v>
      </c>
      <c r="D61" s="31">
        <f t="shared" ca="1" si="10"/>
        <v>115.27487308042876</v>
      </c>
      <c r="E61" s="32">
        <v>40.013602495273325</v>
      </c>
      <c r="F61" s="32">
        <v>105.96986507939454</v>
      </c>
      <c r="I61" s="17"/>
      <c r="J61" s="17"/>
      <c r="K61" s="17"/>
      <c r="L61" s="17"/>
    </row>
    <row r="62" spans="3:12" x14ac:dyDescent="0.25">
      <c r="C62" s="31">
        <f t="shared" ca="1" si="10"/>
        <v>62.801074130306219</v>
      </c>
      <c r="D62" s="31">
        <f t="shared" ca="1" si="10"/>
        <v>109.92241248813698</v>
      </c>
      <c r="E62" s="32">
        <v>62.072281970644788</v>
      </c>
      <c r="F62" s="32">
        <v>113.00872933480917</v>
      </c>
      <c r="I62" s="17"/>
      <c r="J62" s="17"/>
      <c r="K62" s="17"/>
      <c r="L62" s="17"/>
    </row>
    <row r="63" spans="3:12" x14ac:dyDescent="0.25">
      <c r="C63" s="31">
        <f t="shared" ca="1" si="10"/>
        <v>50.173173645905607</v>
      </c>
      <c r="D63" s="31">
        <f t="shared" ca="1" si="10"/>
        <v>108.69513296024267</v>
      </c>
      <c r="E63" s="32">
        <v>74.523818975726698</v>
      </c>
      <c r="F63" s="32">
        <v>126.14474341243715</v>
      </c>
      <c r="I63" s="17"/>
      <c r="J63" s="17"/>
      <c r="K63" s="17"/>
      <c r="L63" s="17"/>
    </row>
    <row r="64" spans="3:12" x14ac:dyDescent="0.25">
      <c r="C64" s="31">
        <f t="shared" ca="1" si="10"/>
        <v>61.836131830324106</v>
      </c>
      <c r="D64" s="31">
        <f t="shared" ca="1" si="10"/>
        <v>109.02194234737468</v>
      </c>
      <c r="E64" s="32">
        <v>61.427117257577528</v>
      </c>
      <c r="F64" s="32">
        <v>117.43095688518814</v>
      </c>
      <c r="I64" s="17"/>
      <c r="J64" s="17"/>
      <c r="K64" s="17"/>
      <c r="L64" s="17"/>
    </row>
    <row r="65" spans="3:12" x14ac:dyDescent="0.25">
      <c r="C65" s="31">
        <f t="shared" ca="1" si="10"/>
        <v>43.236288714588454</v>
      </c>
      <c r="D65" s="31">
        <f t="shared" ca="1" si="10"/>
        <v>123.05803736560095</v>
      </c>
      <c r="E65" s="32">
        <v>65.395650972652732</v>
      </c>
      <c r="F65" s="32">
        <v>114.80941505205034</v>
      </c>
      <c r="I65" s="17"/>
      <c r="J65" s="17"/>
      <c r="K65" s="17"/>
      <c r="L65" s="17"/>
    </row>
    <row r="66" spans="3:12" x14ac:dyDescent="0.25">
      <c r="C66" s="31">
        <f t="shared" ca="1" si="10"/>
        <v>71.604499976479715</v>
      </c>
      <c r="D66" s="31">
        <f t="shared" ca="1" si="10"/>
        <v>140.32185570828349</v>
      </c>
      <c r="E66" s="32">
        <v>71.796266790112526</v>
      </c>
      <c r="F66" s="32">
        <v>106.64477091231777</v>
      </c>
      <c r="I66" s="17"/>
      <c r="J66" s="17"/>
      <c r="K66" s="17"/>
      <c r="L66" s="17"/>
    </row>
    <row r="67" spans="3:12" x14ac:dyDescent="0.25">
      <c r="C67" s="31">
        <f t="shared" ca="1" si="10"/>
        <v>64.153608385100299</v>
      </c>
      <c r="D67" s="31">
        <f t="shared" ca="1" si="10"/>
        <v>132.31221127117922</v>
      </c>
      <c r="E67" s="32">
        <v>50.793981459365817</v>
      </c>
      <c r="F67" s="32">
        <v>121.84276438992433</v>
      </c>
      <c r="I67" s="17"/>
      <c r="J67" s="17"/>
      <c r="K67" s="17"/>
      <c r="L67" s="17"/>
    </row>
    <row r="68" spans="3:12" x14ac:dyDescent="0.25">
      <c r="C68" s="31">
        <f t="shared" ca="1" si="10"/>
        <v>56.720709655808427</v>
      </c>
      <c r="D68" s="31">
        <f t="shared" ca="1" si="10"/>
        <v>133.8714995173915</v>
      </c>
      <c r="E68" s="32">
        <v>66.588056751514102</v>
      </c>
      <c r="F68" s="32">
        <v>163.91432017289603</v>
      </c>
      <c r="I68" s="17"/>
      <c r="J68" s="17"/>
      <c r="K68" s="17"/>
      <c r="L68" s="17"/>
    </row>
    <row r="69" spans="3:12" x14ac:dyDescent="0.25">
      <c r="C69" s="31">
        <f t="shared" ca="1" si="10"/>
        <v>56.433497254586747</v>
      </c>
      <c r="D69" s="31">
        <f t="shared" ca="1" si="10"/>
        <v>125.55182812629431</v>
      </c>
      <c r="E69" s="32">
        <v>46.668675899525191</v>
      </c>
      <c r="F69" s="32">
        <v>96.601283222757814</v>
      </c>
      <c r="I69" s="17"/>
      <c r="J69" s="17"/>
      <c r="K69" s="17"/>
      <c r="L69" s="17"/>
    </row>
    <row r="70" spans="3:12" x14ac:dyDescent="0.25">
      <c r="C70" s="31">
        <f t="shared" ca="1" si="10"/>
        <v>39.729339610610346</v>
      </c>
      <c r="D70" s="31">
        <f t="shared" ca="1" si="10"/>
        <v>102.44979278469897</v>
      </c>
      <c r="E70" s="32">
        <v>45.37419668709434</v>
      </c>
      <c r="F70" s="32">
        <v>118.66472864501942</v>
      </c>
      <c r="I70" s="17"/>
      <c r="J70" s="17"/>
      <c r="K70" s="17"/>
      <c r="L70" s="17"/>
    </row>
    <row r="71" spans="3:12" x14ac:dyDescent="0.25">
      <c r="C71" s="31">
        <f t="shared" ca="1" si="10"/>
        <v>73.591748393751161</v>
      </c>
      <c r="D71" s="31">
        <f t="shared" ca="1" si="10"/>
        <v>149.30391335326084</v>
      </c>
      <c r="E71" s="32">
        <v>56.098834461929975</v>
      </c>
      <c r="F71" s="32">
        <v>87.40186455225026</v>
      </c>
      <c r="I71" s="17"/>
      <c r="J71" s="17"/>
      <c r="K71" s="17"/>
      <c r="L71" s="17"/>
    </row>
    <row r="72" spans="3:12" x14ac:dyDescent="0.25">
      <c r="C72" s="31">
        <f t="shared" ca="1" si="10"/>
        <v>57.769695724276097</v>
      </c>
      <c r="D72" s="31">
        <f t="shared" ca="1" si="10"/>
        <v>115.82259427322234</v>
      </c>
      <c r="E72" s="32">
        <v>56.880155009087787</v>
      </c>
      <c r="F72" s="32">
        <v>140.97707266428438</v>
      </c>
      <c r="I72" s="17"/>
      <c r="J72" s="17"/>
      <c r="K72" s="17"/>
      <c r="L72" s="17"/>
    </row>
    <row r="73" spans="3:12" x14ac:dyDescent="0.25">
      <c r="C73" s="31">
        <f t="shared" ca="1" si="10"/>
        <v>57.493391633623226</v>
      </c>
      <c r="D73" s="31">
        <f t="shared" ca="1" si="10"/>
        <v>125.42609824896219</v>
      </c>
      <c r="E73" s="32">
        <v>54.612541714420772</v>
      </c>
      <c r="F73" s="32">
        <v>129.12927086551537</v>
      </c>
      <c r="I73" s="17"/>
      <c r="J73" s="17"/>
      <c r="K73" s="17"/>
      <c r="L73" s="17"/>
    </row>
    <row r="74" spans="3:12" x14ac:dyDescent="0.25">
      <c r="C74" s="31">
        <f t="shared" ref="C74:D93" ca="1" si="11">_xlfn.NORM.INV(RAND(),C$4,C$5)</f>
        <v>55.46146670887201</v>
      </c>
      <c r="D74" s="31">
        <f t="shared" ca="1" si="11"/>
        <v>79.459093064724129</v>
      </c>
      <c r="E74" s="32">
        <v>61.192185225546837</v>
      </c>
      <c r="F74" s="32">
        <v>85.045819800803585</v>
      </c>
      <c r="I74" s="17"/>
      <c r="J74" s="17"/>
      <c r="K74" s="17"/>
      <c r="L74" s="17"/>
    </row>
    <row r="75" spans="3:12" x14ac:dyDescent="0.25">
      <c r="C75" s="31">
        <f t="shared" ca="1" si="11"/>
        <v>50.065407917202265</v>
      </c>
      <c r="D75" s="31">
        <f t="shared" ca="1" si="11"/>
        <v>138.53077237929281</v>
      </c>
      <c r="E75" s="32">
        <v>82.785032697530298</v>
      </c>
      <c r="F75" s="32">
        <v>86.556473754969403</v>
      </c>
      <c r="I75" s="17"/>
      <c r="J75" s="17"/>
      <c r="K75" s="17"/>
      <c r="L75" s="17"/>
    </row>
    <row r="76" spans="3:12" x14ac:dyDescent="0.25">
      <c r="C76" s="31">
        <f t="shared" ca="1" si="11"/>
        <v>39.528685959003326</v>
      </c>
      <c r="D76" s="31">
        <f t="shared" ca="1" si="11"/>
        <v>119.72910624045593</v>
      </c>
      <c r="E76" s="32">
        <v>59.771236020572438</v>
      </c>
      <c r="F76" s="32">
        <v>130.5723178804723</v>
      </c>
      <c r="I76" s="17"/>
      <c r="J76" s="17"/>
      <c r="K76" s="17"/>
      <c r="L76" s="17"/>
    </row>
    <row r="77" spans="3:12" x14ac:dyDescent="0.25">
      <c r="C77" s="31">
        <f t="shared" ca="1" si="11"/>
        <v>73.524545556775806</v>
      </c>
      <c r="D77" s="31">
        <f t="shared" ca="1" si="11"/>
        <v>118.8801887508195</v>
      </c>
      <c r="E77" s="32">
        <v>58.751825253809955</v>
      </c>
      <c r="F77" s="32">
        <v>110.76117504915602</v>
      </c>
      <c r="I77" s="17"/>
      <c r="J77" s="17"/>
      <c r="K77" s="17"/>
      <c r="L77" s="17"/>
    </row>
    <row r="78" spans="3:12" x14ac:dyDescent="0.25">
      <c r="C78" s="31">
        <f t="shared" ca="1" si="11"/>
        <v>56.884278599010514</v>
      </c>
      <c r="D78" s="31">
        <f t="shared" ca="1" si="11"/>
        <v>99.286312470199434</v>
      </c>
      <c r="E78" s="32">
        <v>43.514066366972095</v>
      </c>
      <c r="F78" s="32">
        <v>134.39747402657702</v>
      </c>
      <c r="I78" s="17"/>
      <c r="J78" s="17"/>
      <c r="K78" s="17"/>
      <c r="L78" s="17"/>
    </row>
    <row r="79" spans="3:12" x14ac:dyDescent="0.25">
      <c r="C79" s="31">
        <f t="shared" ca="1" si="11"/>
        <v>47.293443115263841</v>
      </c>
      <c r="D79" s="31">
        <f t="shared" ca="1" si="11"/>
        <v>140.59660214949415</v>
      </c>
      <c r="E79" s="32">
        <v>48.535988503350254</v>
      </c>
      <c r="F79" s="32">
        <v>119.27165977685965</v>
      </c>
      <c r="I79" s="17"/>
      <c r="J79" s="17"/>
      <c r="K79" s="17"/>
      <c r="L79" s="17"/>
    </row>
    <row r="80" spans="3:12" x14ac:dyDescent="0.25">
      <c r="C80" s="31">
        <f t="shared" ca="1" si="11"/>
        <v>49.57206200029588</v>
      </c>
      <c r="D80" s="31">
        <f t="shared" ca="1" si="11"/>
        <v>138.11311372332847</v>
      </c>
      <c r="E80" s="32">
        <v>60.891586993055078</v>
      </c>
      <c r="F80" s="32">
        <v>101.7182222605792</v>
      </c>
      <c r="I80" s="17"/>
      <c r="J80" s="17"/>
      <c r="K80" s="17"/>
      <c r="L80" s="17"/>
    </row>
    <row r="81" spans="3:12" x14ac:dyDescent="0.25">
      <c r="C81" s="31">
        <f t="shared" ca="1" si="11"/>
        <v>57.99228890564018</v>
      </c>
      <c r="D81" s="31">
        <f t="shared" ca="1" si="11"/>
        <v>105.30222300540977</v>
      </c>
      <c r="E81" s="32">
        <v>60.35305815033287</v>
      </c>
      <c r="F81" s="32">
        <v>109.24923752563782</v>
      </c>
      <c r="I81" s="17"/>
      <c r="J81" s="17"/>
      <c r="K81" s="17"/>
      <c r="L81" s="17"/>
    </row>
    <row r="82" spans="3:12" x14ac:dyDescent="0.25">
      <c r="C82" s="31">
        <f t="shared" ca="1" si="11"/>
        <v>51.764893932884533</v>
      </c>
      <c r="D82" s="31">
        <f t="shared" ca="1" si="11"/>
        <v>140.45269167526342</v>
      </c>
      <c r="E82" s="32">
        <v>47.753105262920272</v>
      </c>
      <c r="F82" s="32">
        <v>108.93175869114322</v>
      </c>
      <c r="I82" s="17"/>
      <c r="J82" s="17"/>
      <c r="K82" s="17"/>
      <c r="L82" s="17"/>
    </row>
    <row r="83" spans="3:12" x14ac:dyDescent="0.25">
      <c r="C83" s="31">
        <f t="shared" ca="1" si="11"/>
        <v>53.050586272306248</v>
      </c>
      <c r="D83" s="31">
        <f t="shared" ca="1" si="11"/>
        <v>143.69726103275485</v>
      </c>
      <c r="E83" s="32">
        <v>83.55518057893029</v>
      </c>
      <c r="F83" s="32">
        <v>95.0099591321285</v>
      </c>
      <c r="I83" s="17"/>
      <c r="J83" s="17"/>
      <c r="K83" s="17"/>
      <c r="L83" s="17"/>
    </row>
    <row r="84" spans="3:12" x14ac:dyDescent="0.25">
      <c r="C84" s="31">
        <f t="shared" ca="1" si="11"/>
        <v>77.805905560994006</v>
      </c>
      <c r="D84" s="31">
        <f t="shared" ca="1" si="11"/>
        <v>98.729150895989108</v>
      </c>
      <c r="E84" s="32">
        <v>64.800900288341026</v>
      </c>
      <c r="F84" s="32">
        <v>74.252184259123652</v>
      </c>
      <c r="I84" s="17"/>
      <c r="J84" s="17"/>
      <c r="K84" s="17"/>
      <c r="L84" s="17"/>
    </row>
    <row r="85" spans="3:12" x14ac:dyDescent="0.25">
      <c r="C85" s="31">
        <f t="shared" ca="1" si="11"/>
        <v>68.677442521184716</v>
      </c>
      <c r="D85" s="31">
        <f t="shared" ca="1" si="11"/>
        <v>93.203118729751367</v>
      </c>
      <c r="E85" s="32">
        <v>57.042569285326309</v>
      </c>
      <c r="F85" s="32">
        <v>104.33350837154961</v>
      </c>
      <c r="I85" s="17"/>
      <c r="J85" s="17"/>
      <c r="K85" s="17"/>
      <c r="L85" s="17"/>
    </row>
    <row r="86" spans="3:12" x14ac:dyDescent="0.25">
      <c r="C86" s="31">
        <f t="shared" ca="1" si="11"/>
        <v>51.341690255739223</v>
      </c>
      <c r="D86" s="31">
        <f t="shared" ca="1" si="11"/>
        <v>89.020796902567696</v>
      </c>
      <c r="E86" s="32">
        <v>51.202766724390926</v>
      </c>
      <c r="F86" s="32">
        <v>103.50362488565271</v>
      </c>
      <c r="I86" s="17"/>
      <c r="J86" s="17"/>
      <c r="K86" s="17"/>
      <c r="L86" s="17"/>
    </row>
    <row r="87" spans="3:12" x14ac:dyDescent="0.25">
      <c r="C87" s="31">
        <f t="shared" ca="1" si="11"/>
        <v>67.745003341235474</v>
      </c>
      <c r="D87" s="31">
        <f t="shared" ca="1" si="11"/>
        <v>152.2040824039903</v>
      </c>
      <c r="E87" s="32">
        <v>54.88321781512456</v>
      </c>
      <c r="F87" s="32">
        <v>108.05531246884017</v>
      </c>
      <c r="I87" s="17"/>
      <c r="J87" s="17"/>
      <c r="K87" s="17"/>
      <c r="L87" s="17"/>
    </row>
    <row r="88" spans="3:12" x14ac:dyDescent="0.25">
      <c r="C88" s="31">
        <f t="shared" ca="1" si="11"/>
        <v>55.940238924262886</v>
      </c>
      <c r="D88" s="31">
        <f t="shared" ca="1" si="11"/>
        <v>95.844814275567984</v>
      </c>
      <c r="E88" s="32">
        <v>57.275934446582639</v>
      </c>
      <c r="F88" s="32">
        <v>145.10551581880728</v>
      </c>
      <c r="I88" s="17"/>
      <c r="J88" s="17"/>
      <c r="K88" s="17"/>
      <c r="L88" s="17"/>
    </row>
    <row r="89" spans="3:12" x14ac:dyDescent="0.25">
      <c r="C89" s="31">
        <f t="shared" ca="1" si="11"/>
        <v>71.025252671991865</v>
      </c>
      <c r="D89" s="31">
        <f t="shared" ca="1" si="11"/>
        <v>112.77065184291297</v>
      </c>
      <c r="E89" s="32">
        <v>46.600726190830557</v>
      </c>
      <c r="F89" s="32">
        <v>148.92358209466414</v>
      </c>
      <c r="I89" s="17"/>
      <c r="J89" s="17"/>
      <c r="K89" s="17"/>
      <c r="L89" s="17"/>
    </row>
    <row r="90" spans="3:12" x14ac:dyDescent="0.25">
      <c r="C90" s="31">
        <f t="shared" ca="1" si="11"/>
        <v>53.196033728568977</v>
      </c>
      <c r="D90" s="31">
        <f t="shared" ca="1" si="11"/>
        <v>124.54913281278681</v>
      </c>
      <c r="E90" s="32">
        <v>65.956024799447079</v>
      </c>
      <c r="F90" s="32">
        <v>103.1976110578094</v>
      </c>
      <c r="I90" s="17"/>
      <c r="J90" s="17"/>
      <c r="K90" s="17"/>
      <c r="L90" s="17"/>
    </row>
    <row r="91" spans="3:12" x14ac:dyDescent="0.25">
      <c r="C91" s="31">
        <f t="shared" ca="1" si="11"/>
        <v>63.512329536460847</v>
      </c>
      <c r="D91" s="31">
        <f t="shared" ca="1" si="11"/>
        <v>93.155166500347576</v>
      </c>
      <c r="E91" s="32">
        <v>59.617010084534705</v>
      </c>
      <c r="F91" s="32">
        <v>125.17811453240328</v>
      </c>
      <c r="I91" s="17"/>
      <c r="J91" s="17"/>
      <c r="K91" s="17"/>
      <c r="L91" s="17"/>
    </row>
    <row r="92" spans="3:12" x14ac:dyDescent="0.25">
      <c r="C92" s="31">
        <f t="shared" ca="1" si="11"/>
        <v>82.921172545960744</v>
      </c>
      <c r="D92" s="31">
        <f t="shared" ca="1" si="11"/>
        <v>108.28354456933751</v>
      </c>
      <c r="E92" s="32">
        <v>46.75534421408689</v>
      </c>
      <c r="F92" s="32">
        <v>115.65841326492919</v>
      </c>
      <c r="I92" s="17"/>
      <c r="J92" s="17"/>
      <c r="K92" s="17"/>
      <c r="L92" s="17"/>
    </row>
    <row r="93" spans="3:12" x14ac:dyDescent="0.25">
      <c r="C93" s="31">
        <f t="shared" ca="1" si="11"/>
        <v>73.907558712937259</v>
      </c>
      <c r="D93" s="31">
        <f t="shared" ca="1" si="11"/>
        <v>128.58524340102969</v>
      </c>
      <c r="E93" s="32">
        <v>62.842223711554055</v>
      </c>
      <c r="F93" s="32">
        <v>93.257305446284604</v>
      </c>
      <c r="I93" s="17"/>
      <c r="J93" s="17"/>
      <c r="K93" s="17"/>
      <c r="L93" s="17"/>
    </row>
    <row r="94" spans="3:12" x14ac:dyDescent="0.25">
      <c r="C94" s="31">
        <f t="shared" ref="C94:D113" ca="1" si="12">_xlfn.NORM.INV(RAND(),C$4,C$5)</f>
        <v>63.920245020133763</v>
      </c>
      <c r="D94" s="31">
        <f t="shared" ca="1" si="12"/>
        <v>124.43469147435016</v>
      </c>
      <c r="E94" s="32">
        <v>68.578083496243224</v>
      </c>
      <c r="F94" s="32">
        <v>113.93650246099541</v>
      </c>
      <c r="I94" s="17"/>
      <c r="J94" s="17"/>
      <c r="K94" s="17"/>
      <c r="L94" s="17"/>
    </row>
    <row r="95" spans="3:12" x14ac:dyDescent="0.25">
      <c r="C95" s="31">
        <f t="shared" ca="1" si="12"/>
        <v>73.190698322149331</v>
      </c>
      <c r="D95" s="31">
        <f t="shared" ca="1" si="12"/>
        <v>131.17260410308882</v>
      </c>
      <c r="E95" s="32">
        <v>54.676176702239857</v>
      </c>
      <c r="F95" s="32">
        <v>107.31122034594161</v>
      </c>
      <c r="I95" s="17"/>
      <c r="J95" s="17"/>
      <c r="K95" s="17"/>
      <c r="L95" s="17"/>
    </row>
    <row r="96" spans="3:12" x14ac:dyDescent="0.25">
      <c r="C96" s="31">
        <f t="shared" ca="1" si="12"/>
        <v>54.422766986575347</v>
      </c>
      <c r="D96" s="31">
        <f t="shared" ca="1" si="12"/>
        <v>130.22019194343233</v>
      </c>
      <c r="E96" s="32">
        <v>52.269354239167171</v>
      </c>
      <c r="F96" s="32">
        <v>97.523146128592217</v>
      </c>
      <c r="I96" s="17"/>
      <c r="J96" s="17"/>
      <c r="K96" s="17"/>
      <c r="L96" s="17"/>
    </row>
    <row r="97" spans="3:12" x14ac:dyDescent="0.25">
      <c r="C97" s="31">
        <f t="shared" ca="1" si="12"/>
        <v>71.017326256606893</v>
      </c>
      <c r="D97" s="31">
        <f t="shared" ca="1" si="12"/>
        <v>96.466413229091003</v>
      </c>
      <c r="E97" s="32">
        <v>55.252739576387285</v>
      </c>
      <c r="F97" s="32">
        <v>102.12726539165155</v>
      </c>
      <c r="I97" s="17"/>
      <c r="J97" s="17"/>
      <c r="K97" s="17"/>
      <c r="L97" s="17"/>
    </row>
    <row r="98" spans="3:12" x14ac:dyDescent="0.25">
      <c r="C98" s="31">
        <f t="shared" ca="1" si="12"/>
        <v>66.584921273505515</v>
      </c>
      <c r="D98" s="31">
        <f t="shared" ca="1" si="12"/>
        <v>128.91344656245377</v>
      </c>
      <c r="E98" s="32">
        <v>55.276596410632756</v>
      </c>
      <c r="F98" s="32">
        <v>112.41289634604702</v>
      </c>
      <c r="I98" s="17"/>
      <c r="J98" s="17"/>
      <c r="K98" s="17"/>
      <c r="L98" s="17"/>
    </row>
    <row r="99" spans="3:12" x14ac:dyDescent="0.25">
      <c r="C99" s="31">
        <f t="shared" ca="1" si="12"/>
        <v>61.862227675266645</v>
      </c>
      <c r="D99" s="31">
        <f t="shared" ca="1" si="12"/>
        <v>137.99472514888285</v>
      </c>
      <c r="E99" s="32">
        <v>55.910185317218485</v>
      </c>
      <c r="F99" s="32">
        <v>113.74678292032054</v>
      </c>
      <c r="I99" s="17"/>
      <c r="J99" s="17"/>
      <c r="K99" s="17"/>
      <c r="L99" s="17"/>
    </row>
    <row r="100" spans="3:12" x14ac:dyDescent="0.25">
      <c r="C100" s="31">
        <f t="shared" ca="1" si="12"/>
        <v>64.900545786688909</v>
      </c>
      <c r="D100" s="31">
        <f t="shared" ca="1" si="12"/>
        <v>154.39194938396528</v>
      </c>
      <c r="E100" s="32">
        <v>67.071595328850009</v>
      </c>
      <c r="F100" s="32">
        <v>102.98458218090263</v>
      </c>
      <c r="I100" s="17"/>
      <c r="J100" s="17"/>
      <c r="K100" s="17"/>
      <c r="L100" s="17"/>
    </row>
    <row r="101" spans="3:12" x14ac:dyDescent="0.25">
      <c r="C101" s="31">
        <f t="shared" ca="1" si="12"/>
        <v>46.722856259888076</v>
      </c>
      <c r="D101" s="31">
        <f t="shared" ca="1" si="12"/>
        <v>125.9104483554058</v>
      </c>
      <c r="E101" s="32">
        <v>56.890486404076988</v>
      </c>
      <c r="F101" s="32">
        <v>117.04095278804984</v>
      </c>
      <c r="I101" s="17"/>
      <c r="J101" s="17"/>
      <c r="K101" s="17"/>
      <c r="L101" s="17"/>
    </row>
    <row r="102" spans="3:12" x14ac:dyDescent="0.25">
      <c r="C102" s="31">
        <f t="shared" ca="1" si="12"/>
        <v>55.102156061870161</v>
      </c>
      <c r="D102" s="31">
        <f t="shared" ca="1" si="12"/>
        <v>123.80710202434049</v>
      </c>
      <c r="E102" s="32">
        <v>52.835082534558552</v>
      </c>
      <c r="F102" s="32">
        <v>120.1244401766881</v>
      </c>
      <c r="I102" s="17"/>
      <c r="J102" s="17"/>
      <c r="K102" s="17"/>
      <c r="L102" s="17"/>
    </row>
    <row r="103" spans="3:12" x14ac:dyDescent="0.25">
      <c r="C103" s="31">
        <f t="shared" ca="1" si="12"/>
        <v>50.73773135111</v>
      </c>
      <c r="D103" s="31">
        <f t="shared" ca="1" si="12"/>
        <v>139.2147250424695</v>
      </c>
      <c r="E103" s="32">
        <v>68.58611471101058</v>
      </c>
      <c r="F103" s="32">
        <v>111.57575883934967</v>
      </c>
      <c r="I103" s="17"/>
      <c r="J103" s="17"/>
      <c r="K103" s="17"/>
      <c r="L103" s="17"/>
    </row>
    <row r="104" spans="3:12" x14ac:dyDescent="0.25">
      <c r="C104" s="31">
        <f t="shared" ca="1" si="12"/>
        <v>50.925121191823216</v>
      </c>
      <c r="D104" s="31">
        <f t="shared" ca="1" si="12"/>
        <v>125.36452884340153</v>
      </c>
      <c r="E104" s="32">
        <v>60.270018026504694</v>
      </c>
      <c r="F104" s="32">
        <v>129.36416630968586</v>
      </c>
      <c r="I104" s="17"/>
      <c r="J104" s="17"/>
      <c r="K104" s="17"/>
      <c r="L104" s="17"/>
    </row>
    <row r="105" spans="3:12" x14ac:dyDescent="0.25">
      <c r="C105" s="31">
        <f t="shared" ca="1" si="12"/>
        <v>45.635919095035767</v>
      </c>
      <c r="D105" s="31">
        <f t="shared" ca="1" si="12"/>
        <v>115.60160353290843</v>
      </c>
      <c r="E105" s="32">
        <v>59.876245178420547</v>
      </c>
      <c r="F105" s="32">
        <v>69.251280025687862</v>
      </c>
      <c r="I105" s="17"/>
      <c r="J105" s="17"/>
      <c r="K105" s="17"/>
      <c r="L105" s="17"/>
    </row>
    <row r="106" spans="3:12" x14ac:dyDescent="0.25">
      <c r="C106" s="31">
        <f t="shared" ca="1" si="12"/>
        <v>75.437988732518363</v>
      </c>
      <c r="D106" s="31">
        <f t="shared" ca="1" si="12"/>
        <v>104.04171141099353</v>
      </c>
      <c r="E106" s="32">
        <v>54.568602751240192</v>
      </c>
      <c r="F106" s="32">
        <v>118.61003525334756</v>
      </c>
      <c r="I106" s="17"/>
      <c r="J106" s="17"/>
      <c r="K106" s="17"/>
      <c r="L106" s="17"/>
    </row>
    <row r="107" spans="3:12" x14ac:dyDescent="0.25">
      <c r="C107" s="31">
        <f t="shared" ca="1" si="12"/>
        <v>57.4621457159584</v>
      </c>
      <c r="D107" s="31">
        <f t="shared" ca="1" si="12"/>
        <v>107.80841842893545</v>
      </c>
      <c r="E107" s="32">
        <v>69.661745774285095</v>
      </c>
      <c r="F107" s="32">
        <v>111.30670267798182</v>
      </c>
      <c r="I107" s="17"/>
      <c r="J107" s="17"/>
      <c r="K107" s="17"/>
      <c r="L107" s="17"/>
    </row>
    <row r="108" spans="3:12" x14ac:dyDescent="0.25">
      <c r="C108" s="31">
        <f t="shared" ca="1" si="12"/>
        <v>47.82598831919784</v>
      </c>
      <c r="D108" s="31">
        <f t="shared" ca="1" si="12"/>
        <v>149.83382874978309</v>
      </c>
      <c r="E108" s="32">
        <v>53.974793428943784</v>
      </c>
      <c r="F108" s="32">
        <v>97.610096004482159</v>
      </c>
      <c r="I108" s="17"/>
      <c r="J108" s="17"/>
      <c r="K108" s="17"/>
      <c r="L108" s="17"/>
    </row>
    <row r="109" spans="3:12" x14ac:dyDescent="0.25">
      <c r="C109" s="31">
        <f t="shared" ca="1" si="12"/>
        <v>60.79384643058485</v>
      </c>
      <c r="D109" s="31">
        <f t="shared" ca="1" si="12"/>
        <v>133.19652250081472</v>
      </c>
      <c r="E109" s="32">
        <v>48.442243015521633</v>
      </c>
      <c r="F109" s="32">
        <v>88.386837013699207</v>
      </c>
      <c r="I109" s="17"/>
      <c r="J109" s="17"/>
      <c r="K109" s="17"/>
      <c r="L109" s="17"/>
    </row>
    <row r="110" spans="3:12" x14ac:dyDescent="0.25">
      <c r="C110" s="31">
        <f t="shared" ca="1" si="12"/>
        <v>61.580498310725403</v>
      </c>
      <c r="D110" s="31">
        <f t="shared" ca="1" si="12"/>
        <v>112.58429151290052</v>
      </c>
      <c r="E110" s="32">
        <v>63.116304908434458</v>
      </c>
      <c r="F110" s="32">
        <v>104.61547489822539</v>
      </c>
      <c r="I110" s="17"/>
      <c r="J110" s="17"/>
      <c r="K110" s="17"/>
      <c r="L110" s="17"/>
    </row>
    <row r="111" spans="3:12" x14ac:dyDescent="0.25">
      <c r="C111" s="31">
        <f t="shared" ca="1" si="12"/>
        <v>52.827109088611252</v>
      </c>
      <c r="D111" s="31">
        <f t="shared" ca="1" si="12"/>
        <v>120.2408340526374</v>
      </c>
      <c r="E111" s="32">
        <v>65.094098207523501</v>
      </c>
      <c r="F111" s="32">
        <v>104.56427302505733</v>
      </c>
      <c r="I111" s="17"/>
      <c r="J111" s="17"/>
      <c r="K111" s="17"/>
      <c r="L111" s="17"/>
    </row>
    <row r="112" spans="3:12" x14ac:dyDescent="0.25">
      <c r="C112" s="31">
        <f t="shared" ca="1" si="12"/>
        <v>67.160601549526675</v>
      </c>
      <c r="D112" s="31">
        <f t="shared" ca="1" si="12"/>
        <v>144.02721509796243</v>
      </c>
      <c r="E112" s="32">
        <v>66.551170648853656</v>
      </c>
      <c r="F112" s="32">
        <v>128.30974661629193</v>
      </c>
      <c r="I112" s="17"/>
      <c r="J112" s="17"/>
      <c r="K112" s="17"/>
      <c r="L112" s="17"/>
    </row>
    <row r="113" spans="3:12" x14ac:dyDescent="0.25">
      <c r="C113" s="31">
        <f t="shared" ca="1" si="12"/>
        <v>53.041450347627979</v>
      </c>
      <c r="D113" s="31">
        <f t="shared" ca="1" si="12"/>
        <v>96.187417705656287</v>
      </c>
      <c r="E113" s="32">
        <v>59.481254757788889</v>
      </c>
      <c r="F113" s="32">
        <v>172.40277642723606</v>
      </c>
      <c r="I113" s="17"/>
      <c r="J113" s="17"/>
      <c r="K113" s="17"/>
      <c r="L113" s="17"/>
    </row>
    <row r="114" spans="3:12" x14ac:dyDescent="0.25">
      <c r="C114" s="31">
        <f t="shared" ref="C114:D133" ca="1" si="13">_xlfn.NORM.INV(RAND(),C$4,C$5)</f>
        <v>60.829551659831061</v>
      </c>
      <c r="D114" s="31">
        <f t="shared" ca="1" si="13"/>
        <v>139.86966619264845</v>
      </c>
      <c r="E114" s="32">
        <v>64.852268278302944</v>
      </c>
      <c r="F114" s="32">
        <v>119.29324728622109</v>
      </c>
      <c r="I114" s="17"/>
      <c r="J114" s="17"/>
      <c r="K114" s="17"/>
      <c r="L114" s="17"/>
    </row>
    <row r="115" spans="3:12" x14ac:dyDescent="0.25">
      <c r="C115" s="31">
        <f t="shared" ca="1" si="13"/>
        <v>71.752189612508218</v>
      </c>
      <c r="D115" s="31">
        <f t="shared" ca="1" si="13"/>
        <v>148.50465094554417</v>
      </c>
      <c r="E115" s="32">
        <v>79.366523782032075</v>
      </c>
      <c r="F115" s="32">
        <v>110.59535686848301</v>
      </c>
      <c r="I115" s="17"/>
      <c r="J115" s="17"/>
      <c r="K115" s="17"/>
      <c r="L115" s="17"/>
    </row>
    <row r="116" spans="3:12" x14ac:dyDescent="0.25">
      <c r="C116" s="31">
        <f t="shared" ca="1" si="13"/>
        <v>57.056850711020537</v>
      </c>
      <c r="D116" s="31">
        <f t="shared" ca="1" si="13"/>
        <v>141.11439510203542</v>
      </c>
      <c r="E116" s="32">
        <v>72.630810282107902</v>
      </c>
      <c r="F116" s="32">
        <v>116.19856079959477</v>
      </c>
      <c r="I116" s="17"/>
      <c r="J116" s="17"/>
      <c r="K116" s="17"/>
      <c r="L116" s="17"/>
    </row>
    <row r="117" spans="3:12" x14ac:dyDescent="0.25">
      <c r="C117" s="31">
        <f t="shared" ca="1" si="13"/>
        <v>31.76264354406424</v>
      </c>
      <c r="D117" s="31">
        <f t="shared" ca="1" si="13"/>
        <v>91.965857206778807</v>
      </c>
      <c r="E117" s="32">
        <v>68.699827485486423</v>
      </c>
      <c r="F117" s="32">
        <v>101.87985585126653</v>
      </c>
      <c r="I117" s="17"/>
      <c r="J117" s="17"/>
      <c r="K117" s="17"/>
      <c r="L117" s="17"/>
    </row>
    <row r="118" spans="3:12" x14ac:dyDescent="0.25">
      <c r="C118" s="31">
        <f t="shared" ca="1" si="13"/>
        <v>64.333614391782135</v>
      </c>
      <c r="D118" s="31">
        <f t="shared" ca="1" si="13"/>
        <v>113.04011701810428</v>
      </c>
      <c r="E118" s="32">
        <v>60.154599723768861</v>
      </c>
      <c r="F118" s="32">
        <v>101.40971472514698</v>
      </c>
      <c r="I118" s="17"/>
      <c r="J118" s="17"/>
      <c r="K118" s="17"/>
      <c r="L118" s="17"/>
    </row>
    <row r="119" spans="3:12" x14ac:dyDescent="0.25">
      <c r="C119" s="31">
        <f t="shared" ca="1" si="13"/>
        <v>68.113298550492559</v>
      </c>
      <c r="D119" s="31">
        <f t="shared" ca="1" si="13"/>
        <v>97.681624560783519</v>
      </c>
      <c r="E119" s="32">
        <v>57.291794860987302</v>
      </c>
      <c r="F119" s="32">
        <v>127.32182460587262</v>
      </c>
      <c r="I119" s="17"/>
      <c r="J119" s="17"/>
      <c r="K119" s="17"/>
      <c r="L119" s="17"/>
    </row>
    <row r="120" spans="3:12" x14ac:dyDescent="0.25">
      <c r="C120" s="31">
        <f t="shared" ca="1" si="13"/>
        <v>61.053180756102464</v>
      </c>
      <c r="D120" s="31">
        <f t="shared" ca="1" si="13"/>
        <v>76.095561523789584</v>
      </c>
      <c r="E120" s="32">
        <v>71.128799512843329</v>
      </c>
      <c r="F120" s="32">
        <v>91.125992120186979</v>
      </c>
      <c r="I120" s="17"/>
      <c r="J120" s="17"/>
      <c r="K120" s="17"/>
      <c r="L120" s="17"/>
    </row>
    <row r="121" spans="3:12" x14ac:dyDescent="0.25">
      <c r="C121" s="31">
        <f t="shared" ca="1" si="13"/>
        <v>56.402117850514493</v>
      </c>
      <c r="D121" s="31">
        <f t="shared" ca="1" si="13"/>
        <v>99.521841808216749</v>
      </c>
      <c r="E121" s="32">
        <v>60.497483951987967</v>
      </c>
      <c r="F121" s="32">
        <v>101.32326561030057</v>
      </c>
      <c r="I121" s="17"/>
      <c r="J121" s="17"/>
      <c r="K121" s="17"/>
      <c r="L121" s="17"/>
    </row>
    <row r="122" spans="3:12" x14ac:dyDescent="0.25">
      <c r="C122" s="31">
        <f t="shared" ca="1" si="13"/>
        <v>63.803279201491435</v>
      </c>
      <c r="D122" s="31">
        <f t="shared" ca="1" si="13"/>
        <v>131.22659052569907</v>
      </c>
      <c r="E122" s="32">
        <v>51.041066648143712</v>
      </c>
      <c r="F122" s="32">
        <v>128.98529767623967</v>
      </c>
      <c r="I122" s="17"/>
      <c r="J122" s="17"/>
      <c r="K122" s="17"/>
      <c r="L122" s="17"/>
    </row>
    <row r="123" spans="3:12" x14ac:dyDescent="0.25">
      <c r="C123" s="31">
        <f t="shared" ca="1" si="13"/>
        <v>61.14437020287086</v>
      </c>
      <c r="D123" s="31">
        <f t="shared" ca="1" si="13"/>
        <v>138.10431750524157</v>
      </c>
      <c r="E123" s="32">
        <v>67.78338356968429</v>
      </c>
      <c r="F123" s="32">
        <v>86.891977251294165</v>
      </c>
      <c r="I123" s="17"/>
      <c r="J123" s="17"/>
      <c r="K123" s="17"/>
      <c r="L123" s="17"/>
    </row>
    <row r="124" spans="3:12" x14ac:dyDescent="0.25">
      <c r="C124" s="31">
        <f t="shared" ca="1" si="13"/>
        <v>67.646947889605386</v>
      </c>
      <c r="D124" s="31">
        <f t="shared" ca="1" si="13"/>
        <v>158.8916652069193</v>
      </c>
      <c r="E124" s="32">
        <v>53.814825940431263</v>
      </c>
      <c r="F124" s="32">
        <v>96.010268968828655</v>
      </c>
      <c r="I124" s="17"/>
      <c r="J124" s="17"/>
      <c r="K124" s="17"/>
      <c r="L124" s="17"/>
    </row>
    <row r="125" spans="3:12" x14ac:dyDescent="0.25">
      <c r="C125" s="31">
        <f t="shared" ca="1" si="13"/>
        <v>75.118071289351263</v>
      </c>
      <c r="D125" s="31">
        <f t="shared" ca="1" si="13"/>
        <v>143.70417908380091</v>
      </c>
      <c r="E125" s="32">
        <v>53.547313290233944</v>
      </c>
      <c r="F125" s="32">
        <v>72.160171883154916</v>
      </c>
      <c r="I125" s="17"/>
      <c r="J125" s="17"/>
      <c r="K125" s="17"/>
      <c r="L125" s="17"/>
    </row>
    <row r="126" spans="3:12" x14ac:dyDescent="0.25">
      <c r="C126" s="31">
        <f t="shared" ca="1" si="13"/>
        <v>67.459466155860625</v>
      </c>
      <c r="D126" s="31">
        <f t="shared" ca="1" si="13"/>
        <v>151.73670353191454</v>
      </c>
      <c r="E126" s="32">
        <v>40.459450465368491</v>
      </c>
      <c r="F126" s="32">
        <v>111.65950918213871</v>
      </c>
      <c r="I126" s="17"/>
      <c r="J126" s="17"/>
      <c r="K126" s="17"/>
      <c r="L126" s="17"/>
    </row>
    <row r="127" spans="3:12" x14ac:dyDescent="0.25">
      <c r="C127" s="31">
        <f t="shared" ca="1" si="13"/>
        <v>58.006565093484568</v>
      </c>
      <c r="D127" s="31">
        <f t="shared" ca="1" si="13"/>
        <v>116.01927592156396</v>
      </c>
      <c r="E127" s="32">
        <v>45.722465403382145</v>
      </c>
      <c r="F127" s="32">
        <v>118.54903830352043</v>
      </c>
      <c r="I127" s="17"/>
      <c r="J127" s="17"/>
      <c r="K127" s="17"/>
      <c r="L127" s="17"/>
    </row>
    <row r="128" spans="3:12" x14ac:dyDescent="0.25">
      <c r="C128" s="31">
        <f t="shared" ca="1" si="13"/>
        <v>43.50366050156407</v>
      </c>
      <c r="D128" s="31">
        <f t="shared" ca="1" si="13"/>
        <v>79.064922426553949</v>
      </c>
      <c r="E128" s="32">
        <v>65.269470056983295</v>
      </c>
      <c r="F128" s="32">
        <v>114.79425921333859</v>
      </c>
      <c r="I128" s="17"/>
      <c r="J128" s="17"/>
      <c r="K128" s="17"/>
      <c r="L128" s="17"/>
    </row>
    <row r="129" spans="3:12" x14ac:dyDescent="0.25">
      <c r="C129" s="31">
        <f t="shared" ca="1" si="13"/>
        <v>74.235643735649305</v>
      </c>
      <c r="D129" s="31">
        <f t="shared" ca="1" si="13"/>
        <v>137.94506186726952</v>
      </c>
      <c r="E129" s="32">
        <v>59.808979669127304</v>
      </c>
      <c r="F129" s="32">
        <v>102.60730221569021</v>
      </c>
      <c r="I129" s="17"/>
      <c r="J129" s="17"/>
      <c r="K129" s="17"/>
      <c r="L129" s="17"/>
    </row>
    <row r="130" spans="3:12" x14ac:dyDescent="0.25">
      <c r="C130" s="31">
        <f t="shared" ca="1" si="13"/>
        <v>73.513057047919702</v>
      </c>
      <c r="D130" s="31">
        <f t="shared" ca="1" si="13"/>
        <v>128.9865190102706</v>
      </c>
      <c r="E130" s="32">
        <v>63.480417761682261</v>
      </c>
      <c r="F130" s="32">
        <v>125.58026061532992</v>
      </c>
      <c r="I130" s="17"/>
      <c r="J130" s="17"/>
      <c r="K130" s="17"/>
      <c r="L130" s="17"/>
    </row>
    <row r="131" spans="3:12" x14ac:dyDescent="0.25">
      <c r="C131" s="31">
        <f t="shared" ca="1" si="13"/>
        <v>54.357640072551732</v>
      </c>
      <c r="D131" s="31">
        <f t="shared" ca="1" si="13"/>
        <v>111.33081796610233</v>
      </c>
      <c r="E131" s="32">
        <v>65.635064231203486</v>
      </c>
      <c r="F131" s="32">
        <v>122.79538632866944</v>
      </c>
      <c r="I131" s="17"/>
      <c r="J131" s="17"/>
      <c r="K131" s="17"/>
      <c r="L131" s="17"/>
    </row>
    <row r="132" spans="3:12" x14ac:dyDescent="0.25">
      <c r="C132" s="31">
        <f t="shared" ca="1" si="13"/>
        <v>63.647667564853386</v>
      </c>
      <c r="D132" s="31">
        <f t="shared" ca="1" si="13"/>
        <v>155.29472171442418</v>
      </c>
      <c r="E132" s="32">
        <v>54.209269810151014</v>
      </c>
      <c r="F132" s="32">
        <v>82.971821664187459</v>
      </c>
      <c r="I132" s="17"/>
      <c r="J132" s="17"/>
      <c r="K132" s="17"/>
      <c r="L132" s="17"/>
    </row>
    <row r="133" spans="3:12" x14ac:dyDescent="0.25">
      <c r="C133" s="31">
        <f t="shared" ca="1" si="13"/>
        <v>63.833308037470431</v>
      </c>
      <c r="D133" s="31">
        <f t="shared" ca="1" si="13"/>
        <v>106.45643598918365</v>
      </c>
      <c r="E133" s="32">
        <v>57.188647314722253</v>
      </c>
      <c r="F133" s="32">
        <v>114.45344557490668</v>
      </c>
      <c r="I133" s="17"/>
      <c r="J133" s="17"/>
      <c r="K133" s="17"/>
      <c r="L133" s="17"/>
    </row>
    <row r="134" spans="3:12" x14ac:dyDescent="0.25">
      <c r="C134" s="31">
        <f t="shared" ref="C134:D153" ca="1" si="14">_xlfn.NORM.INV(RAND(),C$4,C$5)</f>
        <v>42.310027203182443</v>
      </c>
      <c r="D134" s="31">
        <f t="shared" ca="1" si="14"/>
        <v>122.09110344587984</v>
      </c>
      <c r="E134" s="32">
        <v>53.752463383672406</v>
      </c>
      <c r="F134" s="32">
        <v>113.90386164474825</v>
      </c>
      <c r="I134" s="17"/>
      <c r="J134" s="17"/>
      <c r="K134" s="17"/>
      <c r="L134" s="17"/>
    </row>
    <row r="135" spans="3:12" x14ac:dyDescent="0.25">
      <c r="C135" s="31">
        <f t="shared" ca="1" si="14"/>
        <v>54.424137297401877</v>
      </c>
      <c r="D135" s="31">
        <f t="shared" ca="1" si="14"/>
        <v>135.41157072950384</v>
      </c>
      <c r="E135" s="32">
        <v>74.362469822748182</v>
      </c>
      <c r="F135" s="32">
        <v>108.43035521540887</v>
      </c>
      <c r="I135" s="17"/>
      <c r="J135" s="17"/>
      <c r="K135" s="17"/>
      <c r="L135" s="17"/>
    </row>
    <row r="136" spans="3:12" x14ac:dyDescent="0.25">
      <c r="C136" s="31">
        <f t="shared" ca="1" si="14"/>
        <v>53.088049864663319</v>
      </c>
      <c r="D136" s="31">
        <f t="shared" ca="1" si="14"/>
        <v>122.94540132358082</v>
      </c>
      <c r="E136" s="32">
        <v>65.210331501488781</v>
      </c>
      <c r="F136" s="32">
        <v>131.74675864743509</v>
      </c>
      <c r="I136" s="17"/>
      <c r="J136" s="17"/>
      <c r="K136" s="17"/>
      <c r="L136" s="17"/>
    </row>
    <row r="137" spans="3:12" x14ac:dyDescent="0.25">
      <c r="C137" s="31">
        <f t="shared" ca="1" si="14"/>
        <v>68.205689643497635</v>
      </c>
      <c r="D137" s="31">
        <f t="shared" ca="1" si="14"/>
        <v>120.82557335103385</v>
      </c>
      <c r="E137" s="32">
        <v>67.298424916192772</v>
      </c>
      <c r="F137" s="32">
        <v>100.1096506583863</v>
      </c>
      <c r="I137" s="17"/>
      <c r="J137" s="17"/>
      <c r="K137" s="17"/>
      <c r="L137" s="17"/>
    </row>
    <row r="138" spans="3:12" x14ac:dyDescent="0.25">
      <c r="C138" s="31">
        <f t="shared" ca="1" si="14"/>
        <v>61.866678016568194</v>
      </c>
      <c r="D138" s="31">
        <f t="shared" ca="1" si="14"/>
        <v>107.82331205793199</v>
      </c>
      <c r="E138" s="32">
        <v>67.41431868227221</v>
      </c>
      <c r="F138" s="32">
        <v>136.05728843170033</v>
      </c>
      <c r="I138" s="17"/>
      <c r="J138" s="17"/>
      <c r="K138" s="17"/>
      <c r="L138" s="17"/>
    </row>
    <row r="139" spans="3:12" x14ac:dyDescent="0.25">
      <c r="C139" s="31">
        <f t="shared" ca="1" si="14"/>
        <v>69.531392332000934</v>
      </c>
      <c r="D139" s="31">
        <f t="shared" ca="1" si="14"/>
        <v>122.37176808519459</v>
      </c>
      <c r="E139" s="32">
        <v>60.170544914255963</v>
      </c>
      <c r="F139" s="32">
        <v>98.530788639988174</v>
      </c>
      <c r="I139" s="17"/>
      <c r="J139" s="17"/>
      <c r="K139" s="17"/>
      <c r="L139" s="17"/>
    </row>
    <row r="140" spans="3:12" x14ac:dyDescent="0.25">
      <c r="C140" s="31">
        <f t="shared" ca="1" si="14"/>
        <v>45.460173829710321</v>
      </c>
      <c r="D140" s="31">
        <f t="shared" ca="1" si="14"/>
        <v>82.313277181140961</v>
      </c>
      <c r="E140" s="32">
        <v>76.735598227377324</v>
      </c>
      <c r="F140" s="32">
        <v>87.483491666083836</v>
      </c>
      <c r="I140" s="17"/>
      <c r="J140" s="17"/>
      <c r="K140" s="17"/>
      <c r="L140" s="17"/>
    </row>
    <row r="141" spans="3:12" x14ac:dyDescent="0.25">
      <c r="C141" s="31">
        <f t="shared" ca="1" si="14"/>
        <v>53.886093114515518</v>
      </c>
      <c r="D141" s="31">
        <f t="shared" ca="1" si="14"/>
        <v>117.1282350136719</v>
      </c>
      <c r="E141" s="32">
        <v>68.238208912157674</v>
      </c>
      <c r="F141" s="32">
        <v>106.5781197763577</v>
      </c>
      <c r="I141" s="17"/>
      <c r="J141" s="17"/>
      <c r="K141" s="17"/>
      <c r="L141" s="17"/>
    </row>
    <row r="142" spans="3:12" x14ac:dyDescent="0.25">
      <c r="C142" s="31">
        <f t="shared" ca="1" si="14"/>
        <v>59.456465429760684</v>
      </c>
      <c r="D142" s="31">
        <f t="shared" ca="1" si="14"/>
        <v>118.68402652392982</v>
      </c>
      <c r="E142" s="32">
        <v>75.936598348447802</v>
      </c>
      <c r="F142" s="32">
        <v>117.30204705437983</v>
      </c>
      <c r="I142" s="17"/>
      <c r="J142" s="17"/>
      <c r="K142" s="17"/>
      <c r="L142" s="17"/>
    </row>
    <row r="143" spans="3:12" x14ac:dyDescent="0.25">
      <c r="C143" s="31">
        <f t="shared" ca="1" si="14"/>
        <v>60.654277459974516</v>
      </c>
      <c r="D143" s="31">
        <f t="shared" ca="1" si="14"/>
        <v>126.52719407076137</v>
      </c>
      <c r="E143" s="32">
        <v>56.339817975459631</v>
      </c>
      <c r="F143" s="32">
        <v>140.13570717444449</v>
      </c>
      <c r="I143" s="17"/>
      <c r="J143" s="17"/>
      <c r="K143" s="17"/>
      <c r="L143" s="17"/>
    </row>
    <row r="144" spans="3:12" x14ac:dyDescent="0.25">
      <c r="C144" s="31">
        <f t="shared" ca="1" si="14"/>
        <v>59.843281006319152</v>
      </c>
      <c r="D144" s="31">
        <f t="shared" ca="1" si="14"/>
        <v>105.13994617041719</v>
      </c>
      <c r="E144" s="32">
        <v>59.668560007029107</v>
      </c>
      <c r="F144" s="32">
        <v>97.885782680254295</v>
      </c>
      <c r="I144" s="17"/>
      <c r="J144" s="17"/>
      <c r="K144" s="17"/>
      <c r="L144" s="17"/>
    </row>
    <row r="145" spans="3:12" x14ac:dyDescent="0.25">
      <c r="C145" s="31">
        <f t="shared" ca="1" si="14"/>
        <v>51.881140941448848</v>
      </c>
      <c r="D145" s="31">
        <f t="shared" ca="1" si="14"/>
        <v>102.46088977273095</v>
      </c>
      <c r="E145" s="32">
        <v>53.745658538902916</v>
      </c>
      <c r="F145" s="32">
        <v>124.148960713546</v>
      </c>
      <c r="I145" s="17"/>
      <c r="J145" s="17"/>
      <c r="K145" s="17"/>
      <c r="L145" s="17"/>
    </row>
    <row r="146" spans="3:12" x14ac:dyDescent="0.25">
      <c r="C146" s="31">
        <f t="shared" ca="1" si="14"/>
        <v>63.191847559738576</v>
      </c>
      <c r="D146" s="31">
        <f t="shared" ca="1" si="14"/>
        <v>132.22677467595872</v>
      </c>
      <c r="E146" s="32">
        <v>52.878444900474975</v>
      </c>
      <c r="F146" s="32">
        <v>125.96328767762964</v>
      </c>
      <c r="I146" s="17"/>
      <c r="J146" s="17"/>
      <c r="K146" s="17"/>
      <c r="L146" s="17"/>
    </row>
    <row r="147" spans="3:12" x14ac:dyDescent="0.25">
      <c r="C147" s="31">
        <f t="shared" ca="1" si="14"/>
        <v>62.894497719801535</v>
      </c>
      <c r="D147" s="31">
        <f t="shared" ca="1" si="14"/>
        <v>116.66465714172503</v>
      </c>
      <c r="E147" s="32">
        <v>51.191648878453321</v>
      </c>
      <c r="F147" s="32">
        <v>116.07307699822411</v>
      </c>
      <c r="I147" s="17"/>
      <c r="J147" s="17"/>
      <c r="K147" s="17"/>
      <c r="L147" s="17"/>
    </row>
    <row r="148" spans="3:12" x14ac:dyDescent="0.25">
      <c r="C148" s="31">
        <f t="shared" ca="1" si="14"/>
        <v>52.733876714733121</v>
      </c>
      <c r="D148" s="31">
        <f t="shared" ca="1" si="14"/>
        <v>161.89909281486774</v>
      </c>
      <c r="E148" s="32">
        <v>61.300309400501192</v>
      </c>
      <c r="F148" s="32">
        <v>98.525325733040276</v>
      </c>
      <c r="I148" s="17"/>
      <c r="J148" s="17"/>
      <c r="K148" s="17"/>
      <c r="L148" s="17"/>
    </row>
    <row r="149" spans="3:12" x14ac:dyDescent="0.25">
      <c r="C149" s="31">
        <f t="shared" ca="1" si="14"/>
        <v>79.310860651572114</v>
      </c>
      <c r="D149" s="31">
        <f t="shared" ca="1" si="14"/>
        <v>131.8727700737208</v>
      </c>
      <c r="E149" s="32">
        <v>74.44280805764032</v>
      </c>
      <c r="F149" s="32">
        <v>115.40125874151705</v>
      </c>
      <c r="I149" s="17"/>
      <c r="J149" s="17"/>
      <c r="K149" s="17"/>
      <c r="L149" s="17"/>
    </row>
    <row r="150" spans="3:12" x14ac:dyDescent="0.25">
      <c r="C150" s="31">
        <f t="shared" ca="1" si="14"/>
        <v>74.107677854638695</v>
      </c>
      <c r="D150" s="31">
        <f t="shared" ca="1" si="14"/>
        <v>102.95665426865067</v>
      </c>
      <c r="E150" s="32">
        <v>60.443127825524385</v>
      </c>
      <c r="F150" s="32">
        <v>125.69261403130992</v>
      </c>
      <c r="I150" s="17"/>
      <c r="J150" s="17"/>
      <c r="K150" s="17"/>
      <c r="L150" s="17"/>
    </row>
    <row r="151" spans="3:12" x14ac:dyDescent="0.25">
      <c r="C151" s="31">
        <f t="shared" ca="1" si="14"/>
        <v>72.393598243318962</v>
      </c>
      <c r="D151" s="31">
        <f t="shared" ca="1" si="14"/>
        <v>124.79353089919461</v>
      </c>
      <c r="E151" s="32">
        <v>67.242832953624756</v>
      </c>
      <c r="F151" s="32">
        <v>131.55784345749237</v>
      </c>
      <c r="I151" s="17"/>
      <c r="J151" s="17"/>
      <c r="K151" s="17"/>
      <c r="L151" s="17"/>
    </row>
    <row r="152" spans="3:12" x14ac:dyDescent="0.25">
      <c r="C152" s="31">
        <f t="shared" ca="1" si="14"/>
        <v>51.620274354373713</v>
      </c>
      <c r="D152" s="31">
        <f t="shared" ca="1" si="14"/>
        <v>119.1340983790644</v>
      </c>
      <c r="E152" s="32">
        <v>56.947088070710777</v>
      </c>
      <c r="F152" s="32">
        <v>117.48133271158696</v>
      </c>
      <c r="I152" s="17"/>
      <c r="J152" s="17"/>
      <c r="K152" s="17"/>
      <c r="L152" s="17"/>
    </row>
    <row r="153" spans="3:12" x14ac:dyDescent="0.25">
      <c r="C153" s="31">
        <f t="shared" ca="1" si="14"/>
        <v>42.57225161173983</v>
      </c>
      <c r="D153" s="31">
        <f t="shared" ca="1" si="14"/>
        <v>139.31026860053623</v>
      </c>
      <c r="E153" s="32">
        <v>62.11157804239761</v>
      </c>
      <c r="F153" s="32">
        <v>106.013392607136</v>
      </c>
      <c r="I153" s="17"/>
      <c r="J153" s="17"/>
      <c r="K153" s="17"/>
      <c r="L153" s="17"/>
    </row>
    <row r="154" spans="3:12" x14ac:dyDescent="0.25">
      <c r="C154" s="31">
        <f t="shared" ref="C154:D173" ca="1" si="15">_xlfn.NORM.INV(RAND(),C$4,C$5)</f>
        <v>38.6639358710474</v>
      </c>
      <c r="D154" s="31">
        <f t="shared" ca="1" si="15"/>
        <v>125.6932924145151</v>
      </c>
      <c r="E154" s="32">
        <v>59.288203138573991</v>
      </c>
      <c r="F154" s="32">
        <v>90.466267065566427</v>
      </c>
      <c r="I154" s="17"/>
      <c r="J154" s="17"/>
      <c r="K154" s="17"/>
      <c r="L154" s="17"/>
    </row>
    <row r="155" spans="3:12" x14ac:dyDescent="0.25">
      <c r="C155" s="31">
        <f t="shared" ca="1" si="15"/>
        <v>59.304960845044846</v>
      </c>
      <c r="D155" s="31">
        <f t="shared" ca="1" si="15"/>
        <v>110.40916477604284</v>
      </c>
      <c r="E155" s="32">
        <v>40.075504737717083</v>
      </c>
      <c r="F155" s="32">
        <v>128.68845929839</v>
      </c>
      <c r="I155" s="17"/>
      <c r="J155" s="17"/>
      <c r="K155" s="17"/>
      <c r="L155" s="17"/>
    </row>
    <row r="156" spans="3:12" x14ac:dyDescent="0.25">
      <c r="C156" s="31">
        <f t="shared" ca="1" si="15"/>
        <v>61.95656520300853</v>
      </c>
      <c r="D156" s="31">
        <f t="shared" ca="1" si="15"/>
        <v>106.84790274520961</v>
      </c>
      <c r="E156" s="32">
        <v>85.013346484244352</v>
      </c>
      <c r="F156" s="32">
        <v>142.15416250217248</v>
      </c>
      <c r="I156" s="17"/>
      <c r="J156" s="17"/>
      <c r="K156" s="17"/>
      <c r="L156" s="17"/>
    </row>
    <row r="157" spans="3:12" x14ac:dyDescent="0.25">
      <c r="C157" s="31">
        <f t="shared" ca="1" si="15"/>
        <v>60.334607571223074</v>
      </c>
      <c r="D157" s="31">
        <f t="shared" ca="1" si="15"/>
        <v>138.70572995225521</v>
      </c>
      <c r="E157" s="32">
        <v>56.197601564733041</v>
      </c>
      <c r="F157" s="32">
        <v>120.90379898550822</v>
      </c>
      <c r="I157" s="17"/>
      <c r="J157" s="17"/>
      <c r="K157" s="17"/>
      <c r="L157" s="17"/>
    </row>
    <row r="158" spans="3:12" x14ac:dyDescent="0.25">
      <c r="C158" s="31">
        <f t="shared" ca="1" si="15"/>
        <v>46.977530459951282</v>
      </c>
      <c r="D158" s="31">
        <f t="shared" ca="1" si="15"/>
        <v>162.56806386961529</v>
      </c>
      <c r="E158" s="32">
        <v>50.621010253111763</v>
      </c>
      <c r="F158" s="32">
        <v>95.905837001240798</v>
      </c>
      <c r="I158" s="17"/>
      <c r="J158" s="17"/>
      <c r="K158" s="17"/>
      <c r="L158" s="17"/>
    </row>
    <row r="159" spans="3:12" x14ac:dyDescent="0.25">
      <c r="C159" s="31">
        <f t="shared" ca="1" si="15"/>
        <v>58.67415674749698</v>
      </c>
      <c r="D159" s="31">
        <f t="shared" ca="1" si="15"/>
        <v>142.10164307516948</v>
      </c>
      <c r="E159" s="32">
        <v>84.513409981869486</v>
      </c>
      <c r="F159" s="32">
        <v>121.63840263895784</v>
      </c>
      <c r="I159" s="17"/>
      <c r="J159" s="17"/>
      <c r="K159" s="17"/>
      <c r="L159" s="17"/>
    </row>
    <row r="160" spans="3:12" x14ac:dyDescent="0.25">
      <c r="C160" s="31">
        <f t="shared" ca="1" si="15"/>
        <v>40.234668940304921</v>
      </c>
      <c r="D160" s="31">
        <f t="shared" ca="1" si="15"/>
        <v>141.87301631387226</v>
      </c>
      <c r="E160" s="32">
        <v>48.845633482023935</v>
      </c>
      <c r="F160" s="32">
        <v>122.60697245207534</v>
      </c>
      <c r="I160" s="17"/>
      <c r="J160" s="17"/>
      <c r="K160" s="17"/>
      <c r="L160" s="17"/>
    </row>
    <row r="161" spans="3:12" x14ac:dyDescent="0.25">
      <c r="C161" s="31">
        <f t="shared" ca="1" si="15"/>
        <v>47.458571131341913</v>
      </c>
      <c r="D161" s="31">
        <f t="shared" ca="1" si="15"/>
        <v>89.777428196494128</v>
      </c>
      <c r="E161" s="32">
        <v>76.95999352806885</v>
      </c>
      <c r="F161" s="32">
        <v>159.94584481776465</v>
      </c>
      <c r="I161" s="17"/>
      <c r="J161" s="17"/>
      <c r="K161" s="17"/>
      <c r="L161" s="17"/>
    </row>
    <row r="162" spans="3:12" x14ac:dyDescent="0.25">
      <c r="C162" s="31">
        <f t="shared" ca="1" si="15"/>
        <v>56.753456248655574</v>
      </c>
      <c r="D162" s="31">
        <f t="shared" ca="1" si="15"/>
        <v>150.42903066422986</v>
      </c>
      <c r="E162" s="32">
        <v>57.183553291239733</v>
      </c>
      <c r="F162" s="32">
        <v>77.974889593045077</v>
      </c>
      <c r="I162" s="17"/>
      <c r="J162" s="17"/>
      <c r="K162" s="17"/>
      <c r="L162" s="17"/>
    </row>
    <row r="163" spans="3:12" x14ac:dyDescent="0.25">
      <c r="C163" s="31">
        <f t="shared" ca="1" si="15"/>
        <v>56.836175443094398</v>
      </c>
      <c r="D163" s="31">
        <f t="shared" ca="1" si="15"/>
        <v>113.4572015321915</v>
      </c>
      <c r="E163" s="32">
        <v>76.638238163216087</v>
      </c>
      <c r="F163" s="32">
        <v>102.8666745413439</v>
      </c>
      <c r="I163" s="17"/>
      <c r="J163" s="17"/>
      <c r="K163" s="17"/>
      <c r="L163" s="17"/>
    </row>
    <row r="164" spans="3:12" x14ac:dyDescent="0.25">
      <c r="C164" s="31">
        <f t="shared" ca="1" si="15"/>
        <v>67.821235379621783</v>
      </c>
      <c r="D164" s="31">
        <f t="shared" ca="1" si="15"/>
        <v>97.454812716837324</v>
      </c>
      <c r="E164" s="32">
        <v>55.346620787799814</v>
      </c>
      <c r="F164" s="32">
        <v>147.9689511594139</v>
      </c>
      <c r="I164" s="17"/>
      <c r="J164" s="17"/>
      <c r="K164" s="17"/>
      <c r="L164" s="17"/>
    </row>
    <row r="165" spans="3:12" x14ac:dyDescent="0.25">
      <c r="C165" s="31">
        <f t="shared" ca="1" si="15"/>
        <v>59.551835332547235</v>
      </c>
      <c r="D165" s="31">
        <f t="shared" ca="1" si="15"/>
        <v>112.48971667468658</v>
      </c>
      <c r="E165" s="32">
        <v>69.348000238508334</v>
      </c>
      <c r="F165" s="32">
        <v>130.55155092079343</v>
      </c>
      <c r="I165" s="17"/>
      <c r="J165" s="17"/>
      <c r="K165" s="17"/>
      <c r="L165" s="17"/>
    </row>
    <row r="166" spans="3:12" x14ac:dyDescent="0.25">
      <c r="C166" s="31">
        <f t="shared" ca="1" si="15"/>
        <v>65.933772610220771</v>
      </c>
      <c r="D166" s="31">
        <f t="shared" ca="1" si="15"/>
        <v>70.858979101268602</v>
      </c>
      <c r="E166" s="32">
        <v>79.069746565818633</v>
      </c>
      <c r="F166" s="32">
        <v>90.546625335815079</v>
      </c>
      <c r="I166" s="17"/>
      <c r="J166" s="17"/>
      <c r="K166" s="17"/>
      <c r="L166" s="17"/>
    </row>
    <row r="167" spans="3:12" x14ac:dyDescent="0.25">
      <c r="C167" s="31">
        <f t="shared" ca="1" si="15"/>
        <v>82.642148805728695</v>
      </c>
      <c r="D167" s="31">
        <f t="shared" ca="1" si="15"/>
        <v>135.43272451538994</v>
      </c>
      <c r="E167" s="32">
        <v>61.078771924098731</v>
      </c>
      <c r="F167" s="32">
        <v>103.75413568106694</v>
      </c>
      <c r="I167" s="17"/>
      <c r="J167" s="17"/>
      <c r="K167" s="17"/>
      <c r="L167" s="17"/>
    </row>
    <row r="168" spans="3:12" x14ac:dyDescent="0.25">
      <c r="C168" s="31">
        <f t="shared" ca="1" si="15"/>
        <v>59.899573941721911</v>
      </c>
      <c r="D168" s="31">
        <f t="shared" ca="1" si="15"/>
        <v>117.33407297857569</v>
      </c>
      <c r="E168" s="32">
        <v>63.186168451730417</v>
      </c>
      <c r="F168" s="32">
        <v>60.345838336806594</v>
      </c>
      <c r="I168" s="17"/>
      <c r="J168" s="17"/>
      <c r="K168" s="17"/>
      <c r="L168" s="17"/>
    </row>
    <row r="169" spans="3:12" x14ac:dyDescent="0.25">
      <c r="C169" s="31">
        <f t="shared" ca="1" si="15"/>
        <v>46.427094104411111</v>
      </c>
      <c r="D169" s="31">
        <f t="shared" ca="1" si="15"/>
        <v>137.22063855111074</v>
      </c>
      <c r="E169" s="32">
        <v>59.114186272706206</v>
      </c>
      <c r="F169" s="32">
        <v>118.69710642952926</v>
      </c>
      <c r="I169" s="17"/>
      <c r="J169" s="17"/>
      <c r="K169" s="17"/>
      <c r="L169" s="17"/>
    </row>
    <row r="170" spans="3:12" x14ac:dyDescent="0.25">
      <c r="C170" s="31">
        <f t="shared" ca="1" si="15"/>
        <v>57.744337476810308</v>
      </c>
      <c r="D170" s="31">
        <f t="shared" ca="1" si="15"/>
        <v>142.06727765300604</v>
      </c>
      <c r="E170" s="32">
        <v>47.184099491086698</v>
      </c>
      <c r="F170" s="32">
        <v>114.42745964721651</v>
      </c>
      <c r="I170" s="17"/>
      <c r="J170" s="17"/>
      <c r="K170" s="17"/>
      <c r="L170" s="17"/>
    </row>
    <row r="171" spans="3:12" x14ac:dyDescent="0.25">
      <c r="C171" s="31">
        <f t="shared" ca="1" si="15"/>
        <v>66.696016346479212</v>
      </c>
      <c r="D171" s="31">
        <f t="shared" ca="1" si="15"/>
        <v>108.10316709534435</v>
      </c>
      <c r="E171" s="32">
        <v>38.228407303702731</v>
      </c>
      <c r="F171" s="32">
        <v>99.815438865083422</v>
      </c>
      <c r="I171" s="17"/>
      <c r="J171" s="17"/>
      <c r="K171" s="17"/>
      <c r="L171" s="17"/>
    </row>
    <row r="172" spans="3:12" x14ac:dyDescent="0.25">
      <c r="C172" s="31">
        <f t="shared" ca="1" si="15"/>
        <v>43.866516717612384</v>
      </c>
      <c r="D172" s="31">
        <f t="shared" ca="1" si="15"/>
        <v>118.6088541083416</v>
      </c>
      <c r="E172" s="32">
        <v>57.098557458479512</v>
      </c>
      <c r="F172" s="32">
        <v>78.436473982396308</v>
      </c>
      <c r="I172" s="17"/>
      <c r="J172" s="17"/>
      <c r="K172" s="17"/>
      <c r="L172" s="17"/>
    </row>
    <row r="173" spans="3:12" x14ac:dyDescent="0.25">
      <c r="C173" s="31">
        <f t="shared" ca="1" si="15"/>
        <v>57.196317830434424</v>
      </c>
      <c r="D173" s="31">
        <f t="shared" ca="1" si="15"/>
        <v>135.72171169889353</v>
      </c>
      <c r="E173" s="32">
        <v>59.177532621643792</v>
      </c>
      <c r="F173" s="32">
        <v>149.50024554384663</v>
      </c>
      <c r="I173" s="17"/>
      <c r="J173" s="17"/>
      <c r="K173" s="17"/>
      <c r="L173" s="17"/>
    </row>
    <row r="174" spans="3:12" x14ac:dyDescent="0.25">
      <c r="C174" s="31">
        <f t="shared" ref="C174:D193" ca="1" si="16">_xlfn.NORM.INV(RAND(),C$4,C$5)</f>
        <v>59.385969864545395</v>
      </c>
      <c r="D174" s="31">
        <f t="shared" ca="1" si="16"/>
        <v>91.241426515737047</v>
      </c>
      <c r="E174" s="32">
        <v>63.028956831627852</v>
      </c>
      <c r="F174" s="32">
        <v>73.231006622926643</v>
      </c>
      <c r="I174" s="17"/>
      <c r="J174" s="17"/>
      <c r="K174" s="17"/>
      <c r="L174" s="17"/>
    </row>
    <row r="175" spans="3:12" x14ac:dyDescent="0.25">
      <c r="C175" s="31">
        <f t="shared" ca="1" si="16"/>
        <v>57.961165510399233</v>
      </c>
      <c r="D175" s="31">
        <f t="shared" ca="1" si="16"/>
        <v>76.365729513439248</v>
      </c>
      <c r="E175" s="32">
        <v>61.648433391753336</v>
      </c>
      <c r="F175" s="32">
        <v>114.94669062302815</v>
      </c>
      <c r="I175" s="17"/>
      <c r="J175" s="17"/>
      <c r="K175" s="17"/>
      <c r="L175" s="17"/>
    </row>
    <row r="176" spans="3:12" x14ac:dyDescent="0.25">
      <c r="C176" s="31">
        <f t="shared" ca="1" si="16"/>
        <v>74.407137795230071</v>
      </c>
      <c r="D176" s="31">
        <f t="shared" ca="1" si="16"/>
        <v>113.63838610791565</v>
      </c>
      <c r="E176" s="32">
        <v>55.733692846959812</v>
      </c>
      <c r="F176" s="32">
        <v>95.290219861079237</v>
      </c>
      <c r="I176" s="17"/>
      <c r="J176" s="17"/>
      <c r="K176" s="17"/>
      <c r="L176" s="17"/>
    </row>
    <row r="177" spans="3:12" x14ac:dyDescent="0.25">
      <c r="C177" s="31">
        <f t="shared" ca="1" si="16"/>
        <v>65.761112659959622</v>
      </c>
      <c r="D177" s="31">
        <f t="shared" ca="1" si="16"/>
        <v>104.36087763471137</v>
      </c>
      <c r="E177" s="32">
        <v>80.878509593676824</v>
      </c>
      <c r="F177" s="32">
        <v>118.45285256536718</v>
      </c>
      <c r="I177" s="17"/>
      <c r="J177" s="17"/>
      <c r="K177" s="17"/>
      <c r="L177" s="17"/>
    </row>
    <row r="178" spans="3:12" x14ac:dyDescent="0.25">
      <c r="C178" s="31">
        <f t="shared" ca="1" si="16"/>
        <v>34.882457615760451</v>
      </c>
      <c r="D178" s="31">
        <f t="shared" ca="1" si="16"/>
        <v>143.46728239391851</v>
      </c>
      <c r="E178" s="32">
        <v>58.241855129450848</v>
      </c>
      <c r="F178" s="32">
        <v>110.18552462975738</v>
      </c>
      <c r="I178" s="17"/>
      <c r="J178" s="17"/>
      <c r="K178" s="17"/>
      <c r="L178" s="17"/>
    </row>
    <row r="179" spans="3:12" x14ac:dyDescent="0.25">
      <c r="C179" s="31">
        <f t="shared" ca="1" si="16"/>
        <v>67.123182518162437</v>
      </c>
      <c r="D179" s="31">
        <f t="shared" ca="1" si="16"/>
        <v>110.31099973552948</v>
      </c>
      <c r="E179" s="32">
        <v>54.000930389409618</v>
      </c>
      <c r="F179" s="32">
        <v>130.28213892570713</v>
      </c>
      <c r="I179" s="17"/>
      <c r="J179" s="17"/>
      <c r="K179" s="17"/>
      <c r="L179" s="17"/>
    </row>
    <row r="180" spans="3:12" x14ac:dyDescent="0.25">
      <c r="C180" s="31">
        <f t="shared" ca="1" si="16"/>
        <v>64.957720721231709</v>
      </c>
      <c r="D180" s="31">
        <f t="shared" ca="1" si="16"/>
        <v>104.11587848573262</v>
      </c>
      <c r="E180" s="32">
        <v>66.089003621010974</v>
      </c>
      <c r="F180" s="32">
        <v>78.926810491551521</v>
      </c>
      <c r="I180" s="17"/>
      <c r="J180" s="17"/>
      <c r="K180" s="17"/>
      <c r="L180" s="17"/>
    </row>
    <row r="181" spans="3:12" x14ac:dyDescent="0.25">
      <c r="C181" s="31">
        <f t="shared" ca="1" si="16"/>
        <v>47.713713566996958</v>
      </c>
      <c r="D181" s="31">
        <f t="shared" ca="1" si="16"/>
        <v>124.18578712948253</v>
      </c>
      <c r="E181" s="32">
        <v>51.831145269694716</v>
      </c>
      <c r="F181" s="32">
        <v>97.950407031763632</v>
      </c>
      <c r="I181" s="17"/>
      <c r="J181" s="17"/>
      <c r="K181" s="17"/>
      <c r="L181" s="17"/>
    </row>
    <row r="182" spans="3:12" x14ac:dyDescent="0.25">
      <c r="C182" s="31">
        <f t="shared" ca="1" si="16"/>
        <v>52.277465447955372</v>
      </c>
      <c r="D182" s="31">
        <f t="shared" ca="1" si="16"/>
        <v>132.4201616220308</v>
      </c>
      <c r="E182" s="32">
        <v>50.517312138754967</v>
      </c>
      <c r="F182" s="32">
        <v>78.169431832845731</v>
      </c>
      <c r="I182" s="17"/>
      <c r="J182" s="17"/>
      <c r="K182" s="17"/>
      <c r="L182" s="17"/>
    </row>
    <row r="183" spans="3:12" x14ac:dyDescent="0.25">
      <c r="C183" s="31">
        <f t="shared" ca="1" si="16"/>
        <v>56.910010895490316</v>
      </c>
      <c r="D183" s="31">
        <f t="shared" ca="1" si="16"/>
        <v>135.44021133933705</v>
      </c>
      <c r="E183" s="32">
        <v>70.837802907475307</v>
      </c>
      <c r="F183" s="32">
        <v>85.402651994614615</v>
      </c>
      <c r="I183" s="17"/>
      <c r="J183" s="17"/>
      <c r="K183" s="17"/>
      <c r="L183" s="17"/>
    </row>
    <row r="184" spans="3:12" x14ac:dyDescent="0.25">
      <c r="C184" s="31">
        <f t="shared" ca="1" si="16"/>
        <v>56.153683550172765</v>
      </c>
      <c r="D184" s="31">
        <f t="shared" ca="1" si="16"/>
        <v>108.22076200109744</v>
      </c>
      <c r="E184" s="32">
        <v>58.649542080375333</v>
      </c>
      <c r="F184" s="32">
        <v>117.67208433361931</v>
      </c>
      <c r="I184" s="17"/>
      <c r="J184" s="17"/>
      <c r="K184" s="17"/>
      <c r="L184" s="17"/>
    </row>
    <row r="185" spans="3:12" x14ac:dyDescent="0.25">
      <c r="C185" s="31">
        <f t="shared" ca="1" si="16"/>
        <v>66.573691904535352</v>
      </c>
      <c r="D185" s="31">
        <f t="shared" ca="1" si="16"/>
        <v>111.65940382352728</v>
      </c>
      <c r="E185" s="32">
        <v>52.213889900857914</v>
      </c>
      <c r="F185" s="32">
        <v>132.08389800969945</v>
      </c>
      <c r="I185" s="17"/>
      <c r="J185" s="17"/>
      <c r="K185" s="17"/>
      <c r="L185" s="17"/>
    </row>
    <row r="186" spans="3:12" x14ac:dyDescent="0.25">
      <c r="C186" s="31">
        <f t="shared" ca="1" si="16"/>
        <v>63.703718750519457</v>
      </c>
      <c r="D186" s="31">
        <f t="shared" ca="1" si="16"/>
        <v>113.34159911484825</v>
      </c>
      <c r="E186" s="32">
        <v>54.909472896304372</v>
      </c>
      <c r="F186" s="32">
        <v>127.95399797984147</v>
      </c>
      <c r="I186" s="17"/>
      <c r="J186" s="17"/>
      <c r="K186" s="17"/>
      <c r="L186" s="17"/>
    </row>
    <row r="187" spans="3:12" x14ac:dyDescent="0.25">
      <c r="C187" s="31">
        <f t="shared" ca="1" si="16"/>
        <v>50.983047321524793</v>
      </c>
      <c r="D187" s="31">
        <f t="shared" ca="1" si="16"/>
        <v>124.51605436587117</v>
      </c>
      <c r="E187" s="32">
        <v>74.823410870117243</v>
      </c>
      <c r="F187" s="32">
        <v>104.53334715928456</v>
      </c>
      <c r="I187" s="17"/>
      <c r="J187" s="17"/>
      <c r="K187" s="17"/>
      <c r="L187" s="17"/>
    </row>
    <row r="188" spans="3:12" x14ac:dyDescent="0.25">
      <c r="C188" s="31">
        <f t="shared" ca="1" si="16"/>
        <v>74.581335089353146</v>
      </c>
      <c r="D188" s="31">
        <f t="shared" ca="1" si="16"/>
        <v>116.55168960356235</v>
      </c>
      <c r="E188" s="32">
        <v>59.016215352881595</v>
      </c>
      <c r="F188" s="32">
        <v>101.84610962601187</v>
      </c>
      <c r="I188" s="17"/>
      <c r="J188" s="17"/>
      <c r="K188" s="17"/>
      <c r="L188" s="17"/>
    </row>
    <row r="189" spans="3:12" x14ac:dyDescent="0.25">
      <c r="C189" s="31">
        <f t="shared" ca="1" si="16"/>
        <v>56.622175831038469</v>
      </c>
      <c r="D189" s="31">
        <f t="shared" ca="1" si="16"/>
        <v>99.846065485287994</v>
      </c>
      <c r="E189" s="32">
        <v>65.213212501215892</v>
      </c>
      <c r="F189" s="32">
        <v>88.581968160113306</v>
      </c>
      <c r="I189" s="17"/>
      <c r="J189" s="17"/>
      <c r="K189" s="17"/>
      <c r="L189" s="17"/>
    </row>
    <row r="190" spans="3:12" x14ac:dyDescent="0.25">
      <c r="C190" s="31">
        <f t="shared" ca="1" si="16"/>
        <v>64.564760504495453</v>
      </c>
      <c r="D190" s="31">
        <f t="shared" ca="1" si="16"/>
        <v>137.44319961435963</v>
      </c>
      <c r="E190" s="32">
        <v>44.564887650277548</v>
      </c>
      <c r="F190" s="32">
        <v>129.04380222135327</v>
      </c>
      <c r="I190" s="17"/>
      <c r="J190" s="17"/>
      <c r="K190" s="17"/>
      <c r="L190" s="17"/>
    </row>
    <row r="191" spans="3:12" x14ac:dyDescent="0.25">
      <c r="C191" s="31">
        <f t="shared" ca="1" si="16"/>
        <v>60.983611365461179</v>
      </c>
      <c r="D191" s="31">
        <f t="shared" ca="1" si="16"/>
        <v>101.76302165620886</v>
      </c>
      <c r="E191" s="32">
        <v>59.777332687285494</v>
      </c>
      <c r="F191" s="32">
        <v>161.02839537105484</v>
      </c>
      <c r="I191" s="17"/>
      <c r="J191" s="17"/>
      <c r="K191" s="17"/>
      <c r="L191" s="17"/>
    </row>
    <row r="192" spans="3:12" x14ac:dyDescent="0.25">
      <c r="C192" s="31">
        <f t="shared" ca="1" si="16"/>
        <v>71.75149942677875</v>
      </c>
      <c r="D192" s="31">
        <f t="shared" ca="1" si="16"/>
        <v>124.49883803256871</v>
      </c>
      <c r="E192" s="32">
        <v>59.614754196278284</v>
      </c>
      <c r="F192" s="32">
        <v>82.484702347745881</v>
      </c>
      <c r="I192" s="17"/>
      <c r="J192" s="17"/>
      <c r="K192" s="17"/>
      <c r="L192" s="17"/>
    </row>
    <row r="193" spans="3:12" x14ac:dyDescent="0.25">
      <c r="C193" s="31">
        <f t="shared" ca="1" si="16"/>
        <v>54.669732294263561</v>
      </c>
      <c r="D193" s="31">
        <f t="shared" ca="1" si="16"/>
        <v>90.523223289063736</v>
      </c>
      <c r="E193" s="32">
        <v>52.590555438278656</v>
      </c>
      <c r="F193" s="32">
        <v>94.743882748061253</v>
      </c>
      <c r="I193" s="17"/>
      <c r="J193" s="17"/>
      <c r="K193" s="17"/>
      <c r="L193" s="17"/>
    </row>
    <row r="194" spans="3:12" x14ac:dyDescent="0.25">
      <c r="C194" s="31">
        <f t="shared" ref="C194:D213" ca="1" si="17">_xlfn.NORM.INV(RAND(),C$4,C$5)</f>
        <v>45.84678807739121</v>
      </c>
      <c r="D194" s="31">
        <f t="shared" ca="1" si="17"/>
        <v>63.247907121663275</v>
      </c>
      <c r="E194" s="32">
        <v>55.172892336066369</v>
      </c>
      <c r="F194" s="32">
        <v>87.284737361801135</v>
      </c>
      <c r="I194" s="17"/>
      <c r="J194" s="17"/>
      <c r="K194" s="17"/>
      <c r="L194" s="17"/>
    </row>
    <row r="195" spans="3:12" x14ac:dyDescent="0.25">
      <c r="C195" s="31">
        <f t="shared" ca="1" si="17"/>
        <v>52.446627090966402</v>
      </c>
      <c r="D195" s="31">
        <f t="shared" ca="1" si="17"/>
        <v>94.068201539148802</v>
      </c>
      <c r="E195" s="32">
        <v>59.886396543133635</v>
      </c>
      <c r="F195" s="32">
        <v>126.25784689412257</v>
      </c>
      <c r="I195" s="17"/>
      <c r="J195" s="17"/>
      <c r="K195" s="17"/>
      <c r="L195" s="17"/>
    </row>
    <row r="196" spans="3:12" x14ac:dyDescent="0.25">
      <c r="C196" s="31">
        <f t="shared" ca="1" si="17"/>
        <v>59.161976755607483</v>
      </c>
      <c r="D196" s="31">
        <f t="shared" ca="1" si="17"/>
        <v>114.4348870622842</v>
      </c>
      <c r="E196" s="32">
        <v>68.884333232759388</v>
      </c>
      <c r="F196" s="32">
        <v>109.98235142111714</v>
      </c>
      <c r="I196" s="17"/>
      <c r="J196" s="17"/>
      <c r="K196" s="17"/>
      <c r="L196" s="17"/>
    </row>
    <row r="197" spans="3:12" x14ac:dyDescent="0.25">
      <c r="C197" s="31">
        <f t="shared" ca="1" si="17"/>
        <v>52.949589101043301</v>
      </c>
      <c r="D197" s="31">
        <f t="shared" ca="1" si="17"/>
        <v>78.763082548076795</v>
      </c>
      <c r="E197" s="32">
        <v>46.502624204494566</v>
      </c>
      <c r="F197" s="32">
        <v>112.28299468183661</v>
      </c>
      <c r="I197" s="17"/>
      <c r="J197" s="17"/>
      <c r="K197" s="17"/>
      <c r="L197" s="17"/>
    </row>
    <row r="198" spans="3:12" x14ac:dyDescent="0.25">
      <c r="C198" s="31">
        <f t="shared" ca="1" si="17"/>
        <v>60.113668305734365</v>
      </c>
      <c r="D198" s="31">
        <f t="shared" ca="1" si="17"/>
        <v>139.10784837758874</v>
      </c>
      <c r="E198" s="32">
        <v>49.929454798226899</v>
      </c>
      <c r="F198" s="32">
        <v>78.352411750851573</v>
      </c>
      <c r="I198" s="17"/>
      <c r="J198" s="17"/>
      <c r="K198" s="17"/>
      <c r="L198" s="17"/>
    </row>
    <row r="199" spans="3:12" x14ac:dyDescent="0.25">
      <c r="C199" s="31">
        <f t="shared" ca="1" si="17"/>
        <v>64.415677484018346</v>
      </c>
      <c r="D199" s="31">
        <f t="shared" ca="1" si="17"/>
        <v>120.35001151082713</v>
      </c>
      <c r="E199" s="32">
        <v>52.571698572260075</v>
      </c>
      <c r="F199" s="32">
        <v>103.36641633461497</v>
      </c>
      <c r="I199" s="17"/>
      <c r="J199" s="17"/>
      <c r="K199" s="17"/>
      <c r="L199" s="17"/>
    </row>
    <row r="200" spans="3:12" x14ac:dyDescent="0.25">
      <c r="C200" s="31">
        <f t="shared" ca="1" si="17"/>
        <v>52.641999215467337</v>
      </c>
      <c r="D200" s="31">
        <f t="shared" ca="1" si="17"/>
        <v>99.854138349276411</v>
      </c>
      <c r="E200" s="32">
        <v>52.624956636812833</v>
      </c>
      <c r="F200" s="32">
        <v>94.183761823671333</v>
      </c>
      <c r="I200" s="17"/>
      <c r="J200" s="17"/>
      <c r="K200" s="17"/>
      <c r="L200" s="17"/>
    </row>
    <row r="201" spans="3:12" x14ac:dyDescent="0.25">
      <c r="C201" s="31">
        <f t="shared" ca="1" si="17"/>
        <v>68.27204729041847</v>
      </c>
      <c r="D201" s="31">
        <f t="shared" ca="1" si="17"/>
        <v>110.03842808298785</v>
      </c>
      <c r="E201" s="32">
        <v>57.875726873664377</v>
      </c>
      <c r="F201" s="32">
        <v>95.841749780143815</v>
      </c>
      <c r="I201" s="17"/>
      <c r="J201" s="17"/>
      <c r="K201" s="17"/>
      <c r="L201" s="17"/>
    </row>
    <row r="202" spans="3:12" x14ac:dyDescent="0.25">
      <c r="C202" s="31">
        <f t="shared" ca="1" si="17"/>
        <v>68.761911927736662</v>
      </c>
      <c r="D202" s="31">
        <f t="shared" ca="1" si="17"/>
        <v>98.07120388567273</v>
      </c>
      <c r="E202" s="32">
        <v>60.298263576698623</v>
      </c>
      <c r="F202" s="32">
        <v>137.56314946312526</v>
      </c>
      <c r="I202" s="17"/>
      <c r="J202" s="17"/>
      <c r="K202" s="17"/>
      <c r="L202" s="17"/>
    </row>
    <row r="203" spans="3:12" x14ac:dyDescent="0.25">
      <c r="C203" s="31">
        <f t="shared" ca="1" si="17"/>
        <v>66.991069144449625</v>
      </c>
      <c r="D203" s="31">
        <f t="shared" ca="1" si="17"/>
        <v>100.05399653459915</v>
      </c>
      <c r="E203" s="32">
        <v>58.419679446415223</v>
      </c>
      <c r="F203" s="32">
        <v>102.99681283195032</v>
      </c>
      <c r="I203" s="17"/>
      <c r="J203" s="17"/>
      <c r="K203" s="17"/>
      <c r="L203" s="17"/>
    </row>
    <row r="204" spans="3:12" x14ac:dyDescent="0.25">
      <c r="C204" s="31">
        <f t="shared" ca="1" si="17"/>
        <v>61.622585015820775</v>
      </c>
      <c r="D204" s="31">
        <f t="shared" ca="1" si="17"/>
        <v>118.59167490688593</v>
      </c>
      <c r="E204" s="32">
        <v>59.307287997926785</v>
      </c>
      <c r="F204" s="32">
        <v>121.75181517250927</v>
      </c>
      <c r="I204" s="17"/>
      <c r="J204" s="17"/>
      <c r="K204" s="17"/>
      <c r="L204" s="17"/>
    </row>
    <row r="205" spans="3:12" x14ac:dyDescent="0.25">
      <c r="C205" s="31">
        <f t="shared" ca="1" si="17"/>
        <v>71.368985683034452</v>
      </c>
      <c r="D205" s="31">
        <f t="shared" ca="1" si="17"/>
        <v>111.02216257841381</v>
      </c>
      <c r="E205" s="32">
        <v>69.157973442293368</v>
      </c>
      <c r="F205" s="32">
        <v>107.55643706334099</v>
      </c>
      <c r="I205" s="17"/>
      <c r="J205" s="17"/>
      <c r="K205" s="17"/>
      <c r="L205" s="17"/>
    </row>
    <row r="206" spans="3:12" x14ac:dyDescent="0.25">
      <c r="C206" s="31">
        <f t="shared" ca="1" si="17"/>
        <v>50.094915294214481</v>
      </c>
      <c r="D206" s="31">
        <f t="shared" ca="1" si="17"/>
        <v>109.15539413825194</v>
      </c>
      <c r="E206" s="32">
        <v>57.11148138941163</v>
      </c>
      <c r="F206" s="32">
        <v>104.11900803482975</v>
      </c>
      <c r="I206" s="17"/>
      <c r="J206" s="17"/>
      <c r="K206" s="17"/>
      <c r="L206" s="17"/>
    </row>
    <row r="207" spans="3:12" x14ac:dyDescent="0.25">
      <c r="C207" s="31">
        <f t="shared" ca="1" si="17"/>
        <v>60.617582739662453</v>
      </c>
      <c r="D207" s="31">
        <f t="shared" ca="1" si="17"/>
        <v>126.10996155036602</v>
      </c>
      <c r="E207" s="32">
        <v>60.438288465606597</v>
      </c>
      <c r="F207" s="32">
        <v>100.62888498398044</v>
      </c>
      <c r="I207" s="17"/>
      <c r="J207" s="17"/>
      <c r="K207" s="17"/>
      <c r="L207" s="17"/>
    </row>
    <row r="208" spans="3:12" x14ac:dyDescent="0.25">
      <c r="C208" s="31">
        <f t="shared" ca="1" si="17"/>
        <v>81.459471917469614</v>
      </c>
      <c r="D208" s="31">
        <f t="shared" ca="1" si="17"/>
        <v>95.715846364543879</v>
      </c>
      <c r="E208" s="32">
        <v>55.762967117180665</v>
      </c>
      <c r="F208" s="32">
        <v>146.86546140199198</v>
      </c>
      <c r="I208" s="17"/>
      <c r="J208" s="17"/>
      <c r="K208" s="17"/>
      <c r="L208" s="17"/>
    </row>
    <row r="209" spans="3:12" x14ac:dyDescent="0.25">
      <c r="C209" s="31">
        <f t="shared" ca="1" si="17"/>
        <v>58.965775243381124</v>
      </c>
      <c r="D209" s="31">
        <f t="shared" ca="1" si="17"/>
        <v>112.11878195996927</v>
      </c>
      <c r="E209" s="32">
        <v>49.510175801105703</v>
      </c>
      <c r="F209" s="32">
        <v>82.241412932650093</v>
      </c>
      <c r="I209" s="17"/>
      <c r="J209" s="17"/>
      <c r="K209" s="17"/>
      <c r="L209" s="17"/>
    </row>
    <row r="210" spans="3:12" x14ac:dyDescent="0.25">
      <c r="C210" s="31">
        <f t="shared" ca="1" si="17"/>
        <v>67.627288071369605</v>
      </c>
      <c r="D210" s="31">
        <f t="shared" ca="1" si="17"/>
        <v>109.07444461445812</v>
      </c>
      <c r="E210" s="32">
        <v>62.28549802485098</v>
      </c>
      <c r="F210" s="32">
        <v>111.84555494479966</v>
      </c>
      <c r="I210" s="17"/>
      <c r="J210" s="17"/>
      <c r="K210" s="17"/>
      <c r="L210" s="17"/>
    </row>
    <row r="211" spans="3:12" x14ac:dyDescent="0.25">
      <c r="C211" s="31">
        <f t="shared" ca="1" si="17"/>
        <v>56.294480413910264</v>
      </c>
      <c r="D211" s="31">
        <f t="shared" ca="1" si="17"/>
        <v>143.16067654966039</v>
      </c>
      <c r="E211" s="32">
        <v>59.73355410063435</v>
      </c>
      <c r="F211" s="32">
        <v>123.49970306878198</v>
      </c>
      <c r="I211" s="17"/>
      <c r="J211" s="17"/>
      <c r="K211" s="17"/>
      <c r="L211" s="17"/>
    </row>
    <row r="212" spans="3:12" x14ac:dyDescent="0.25">
      <c r="C212" s="31">
        <f t="shared" ca="1" si="17"/>
        <v>66.634949102009898</v>
      </c>
      <c r="D212" s="31">
        <f t="shared" ca="1" si="17"/>
        <v>112.49832113742619</v>
      </c>
      <c r="E212" s="32">
        <v>51.057420821924531</v>
      </c>
      <c r="F212" s="32">
        <v>127.50199123258659</v>
      </c>
      <c r="I212" s="17"/>
      <c r="J212" s="17"/>
      <c r="K212" s="17"/>
      <c r="L212" s="17"/>
    </row>
    <row r="213" spans="3:12" x14ac:dyDescent="0.25">
      <c r="C213" s="31">
        <f t="shared" ca="1" si="17"/>
        <v>37.032580909371021</v>
      </c>
      <c r="D213" s="31">
        <f t="shared" ca="1" si="17"/>
        <v>86.438214972748824</v>
      </c>
      <c r="E213" s="32">
        <v>55.687204887925759</v>
      </c>
      <c r="F213" s="32">
        <v>111.05147749507472</v>
      </c>
      <c r="I213" s="17"/>
      <c r="J213" s="17"/>
      <c r="K213" s="17"/>
      <c r="L213" s="17"/>
    </row>
    <row r="214" spans="3:12" x14ac:dyDescent="0.25">
      <c r="C214" s="31">
        <f t="shared" ref="C214:D233" ca="1" si="18">_xlfn.NORM.INV(RAND(),C$4,C$5)</f>
        <v>80.048424378475715</v>
      </c>
      <c r="D214" s="31">
        <f t="shared" ca="1" si="18"/>
        <v>118.51039544930497</v>
      </c>
      <c r="E214" s="32">
        <v>79.782509456628716</v>
      </c>
      <c r="F214" s="32">
        <v>132.55816532230907</v>
      </c>
      <c r="I214" s="17"/>
      <c r="J214" s="17"/>
      <c r="K214" s="17"/>
      <c r="L214" s="17"/>
    </row>
    <row r="215" spans="3:12" x14ac:dyDescent="0.25">
      <c r="C215" s="31">
        <f t="shared" ca="1" si="18"/>
        <v>67.613764133401787</v>
      </c>
      <c r="D215" s="31">
        <f t="shared" ca="1" si="18"/>
        <v>141.54253128610435</v>
      </c>
      <c r="E215" s="32">
        <v>94.018684103002016</v>
      </c>
      <c r="F215" s="32">
        <v>131.13011204026955</v>
      </c>
      <c r="I215" s="17"/>
      <c r="J215" s="17"/>
      <c r="K215" s="17"/>
      <c r="L215" s="17"/>
    </row>
    <row r="216" spans="3:12" x14ac:dyDescent="0.25">
      <c r="C216" s="31">
        <f t="shared" ca="1" si="18"/>
        <v>44.058133422118594</v>
      </c>
      <c r="D216" s="31">
        <f t="shared" ca="1" si="18"/>
        <v>158.51671365101907</v>
      </c>
      <c r="E216" s="32">
        <v>60.924076877592817</v>
      </c>
      <c r="F216" s="32">
        <v>102.34981297573587</v>
      </c>
      <c r="I216" s="17"/>
      <c r="J216" s="17"/>
      <c r="K216" s="17"/>
      <c r="L216" s="17"/>
    </row>
    <row r="217" spans="3:12" x14ac:dyDescent="0.25">
      <c r="C217" s="31">
        <f t="shared" ca="1" si="18"/>
        <v>69.309768301970507</v>
      </c>
      <c r="D217" s="31">
        <f t="shared" ca="1" si="18"/>
        <v>136.08224760529009</v>
      </c>
      <c r="E217" s="32">
        <v>79.589843586920665</v>
      </c>
      <c r="F217" s="32">
        <v>122.42087113183831</v>
      </c>
      <c r="I217" s="17"/>
      <c r="J217" s="17"/>
      <c r="K217" s="17"/>
      <c r="L217" s="17"/>
    </row>
    <row r="218" spans="3:12" x14ac:dyDescent="0.25">
      <c r="C218" s="31">
        <f t="shared" ca="1" si="18"/>
        <v>52.937853509756053</v>
      </c>
      <c r="D218" s="31">
        <f t="shared" ca="1" si="18"/>
        <v>87.988973373161045</v>
      </c>
      <c r="E218" s="32">
        <v>75.67637647813676</v>
      </c>
      <c r="F218" s="32">
        <v>112.38753919994979</v>
      </c>
      <c r="I218" s="17"/>
      <c r="J218" s="17"/>
      <c r="K218" s="17"/>
      <c r="L218" s="17"/>
    </row>
    <row r="219" spans="3:12" x14ac:dyDescent="0.25">
      <c r="C219" s="31">
        <f t="shared" ca="1" si="18"/>
        <v>79.467651281506534</v>
      </c>
      <c r="D219" s="31">
        <f t="shared" ca="1" si="18"/>
        <v>141.74804860046291</v>
      </c>
      <c r="E219" s="32">
        <v>59.629108655147903</v>
      </c>
      <c r="F219" s="32">
        <v>92.185297816199721</v>
      </c>
      <c r="I219" s="17"/>
      <c r="J219" s="17"/>
      <c r="K219" s="17"/>
      <c r="L219" s="17"/>
    </row>
    <row r="220" spans="3:12" x14ac:dyDescent="0.25">
      <c r="C220" s="31">
        <f t="shared" ca="1" si="18"/>
        <v>56.360859565917409</v>
      </c>
      <c r="D220" s="31">
        <f t="shared" ca="1" si="18"/>
        <v>102.49742752649504</v>
      </c>
      <c r="E220" s="32">
        <v>51.717868316007511</v>
      </c>
      <c r="F220" s="32">
        <v>102.75022293287594</v>
      </c>
      <c r="I220" s="17"/>
      <c r="J220" s="17"/>
      <c r="K220" s="17"/>
      <c r="L220" s="17"/>
    </row>
    <row r="221" spans="3:12" x14ac:dyDescent="0.25">
      <c r="C221" s="31">
        <f t="shared" ca="1" si="18"/>
        <v>59.990799785484256</v>
      </c>
      <c r="D221" s="31">
        <f t="shared" ca="1" si="18"/>
        <v>136.92334244947318</v>
      </c>
      <c r="E221" s="32">
        <v>54.145463494236381</v>
      </c>
      <c r="F221" s="32">
        <v>142.89824951894738</v>
      </c>
      <c r="I221" s="17"/>
      <c r="J221" s="17"/>
      <c r="K221" s="17"/>
      <c r="L221" s="17"/>
    </row>
    <row r="222" spans="3:12" x14ac:dyDescent="0.25">
      <c r="C222" s="31">
        <f t="shared" ca="1" si="18"/>
        <v>51.675760023660459</v>
      </c>
      <c r="D222" s="31">
        <f t="shared" ca="1" si="18"/>
        <v>119.17341029363479</v>
      </c>
      <c r="E222" s="32">
        <v>65.371590586032696</v>
      </c>
      <c r="F222" s="32">
        <v>119.79740314401825</v>
      </c>
      <c r="I222" s="17"/>
      <c r="J222" s="17"/>
      <c r="K222" s="17"/>
      <c r="L222" s="17"/>
    </row>
    <row r="223" spans="3:12" x14ac:dyDescent="0.25">
      <c r="C223" s="31">
        <f t="shared" ca="1" si="18"/>
        <v>49.996561026087889</v>
      </c>
      <c r="D223" s="31">
        <f t="shared" ca="1" si="18"/>
        <v>121.45073908788565</v>
      </c>
      <c r="E223" s="32">
        <v>55.789280332054155</v>
      </c>
      <c r="F223" s="32">
        <v>104.65059552044758</v>
      </c>
      <c r="I223" s="17"/>
      <c r="J223" s="17"/>
      <c r="K223" s="17"/>
      <c r="L223" s="17"/>
    </row>
    <row r="224" spans="3:12" x14ac:dyDescent="0.25">
      <c r="C224" s="31">
        <f t="shared" ca="1" si="18"/>
        <v>60.566517362655453</v>
      </c>
      <c r="D224" s="31">
        <f t="shared" ca="1" si="18"/>
        <v>96.040331372533601</v>
      </c>
      <c r="E224" s="32">
        <v>49.25089106004485</v>
      </c>
      <c r="F224" s="32">
        <v>97.207508242629984</v>
      </c>
      <c r="I224" s="17"/>
      <c r="J224" s="17"/>
      <c r="K224" s="17"/>
      <c r="L224" s="17"/>
    </row>
    <row r="225" spans="3:12" x14ac:dyDescent="0.25">
      <c r="C225" s="31">
        <f t="shared" ca="1" si="18"/>
        <v>65.865326849779109</v>
      </c>
      <c r="D225" s="31">
        <f t="shared" ca="1" si="18"/>
        <v>134.48183228350788</v>
      </c>
      <c r="E225" s="32">
        <v>67.136189541461164</v>
      </c>
      <c r="F225" s="32">
        <v>100.85929937024298</v>
      </c>
      <c r="I225" s="17"/>
      <c r="J225" s="17"/>
      <c r="K225" s="17"/>
      <c r="L225" s="17"/>
    </row>
    <row r="226" spans="3:12" x14ac:dyDescent="0.25">
      <c r="C226" s="31">
        <f t="shared" ca="1" si="18"/>
        <v>63.000513426879962</v>
      </c>
      <c r="D226" s="31">
        <f t="shared" ca="1" si="18"/>
        <v>140.96272883734986</v>
      </c>
      <c r="E226" s="32">
        <v>46.723365544951641</v>
      </c>
      <c r="F226" s="32">
        <v>139.10521247432115</v>
      </c>
      <c r="I226" s="17"/>
      <c r="J226" s="17"/>
      <c r="K226" s="17"/>
      <c r="L226" s="17"/>
    </row>
    <row r="227" spans="3:12" x14ac:dyDescent="0.25">
      <c r="C227" s="31">
        <f t="shared" ca="1" si="18"/>
        <v>64.106619768845789</v>
      </c>
      <c r="D227" s="31">
        <f t="shared" ca="1" si="18"/>
        <v>128.01415412613858</v>
      </c>
      <c r="E227" s="32">
        <v>68.543120674736485</v>
      </c>
      <c r="F227" s="32">
        <v>112.75428324070261</v>
      </c>
      <c r="I227" s="17"/>
      <c r="J227" s="17"/>
      <c r="K227" s="17"/>
      <c r="L227" s="17"/>
    </row>
    <row r="228" spans="3:12" x14ac:dyDescent="0.25">
      <c r="C228" s="31">
        <f t="shared" ca="1" si="18"/>
        <v>66.65706115224981</v>
      </c>
      <c r="D228" s="31">
        <f t="shared" ca="1" si="18"/>
        <v>110.4905856580215</v>
      </c>
      <c r="E228" s="32">
        <v>62.773106504042978</v>
      </c>
      <c r="F228" s="32">
        <v>115.15660547110303</v>
      </c>
      <c r="I228" s="17"/>
      <c r="J228" s="17"/>
      <c r="K228" s="17"/>
      <c r="L228" s="17"/>
    </row>
    <row r="229" spans="3:12" x14ac:dyDescent="0.25">
      <c r="C229" s="31">
        <f t="shared" ca="1" si="18"/>
        <v>58.815614204197033</v>
      </c>
      <c r="D229" s="31">
        <f t="shared" ca="1" si="18"/>
        <v>156.76621982346427</v>
      </c>
      <c r="E229" s="32">
        <v>66.314732601667075</v>
      </c>
      <c r="F229" s="32">
        <v>113.22080288191871</v>
      </c>
      <c r="I229" s="17"/>
      <c r="J229" s="17"/>
      <c r="K229" s="17"/>
      <c r="L229" s="17"/>
    </row>
    <row r="230" spans="3:12" x14ac:dyDescent="0.25">
      <c r="C230" s="31">
        <f t="shared" ca="1" si="18"/>
        <v>53.908400580801953</v>
      </c>
      <c r="D230" s="31">
        <f t="shared" ca="1" si="18"/>
        <v>68.48081320234796</v>
      </c>
      <c r="E230" s="32">
        <v>45.917873331133869</v>
      </c>
      <c r="F230" s="32">
        <v>102.91251621892559</v>
      </c>
      <c r="I230" s="17"/>
      <c r="J230" s="17"/>
      <c r="K230" s="17"/>
      <c r="L230" s="17"/>
    </row>
    <row r="231" spans="3:12" x14ac:dyDescent="0.25">
      <c r="C231" s="31">
        <f t="shared" ca="1" si="18"/>
        <v>50.371654163955235</v>
      </c>
      <c r="D231" s="31">
        <f t="shared" ca="1" si="18"/>
        <v>104.11336427624767</v>
      </c>
      <c r="E231" s="32">
        <v>44.816682085891173</v>
      </c>
      <c r="F231" s="32">
        <v>91.227398942812769</v>
      </c>
      <c r="I231" s="17"/>
      <c r="J231" s="17"/>
      <c r="K231" s="17"/>
      <c r="L231" s="17"/>
    </row>
    <row r="232" spans="3:12" x14ac:dyDescent="0.25">
      <c r="C232" s="31">
        <f t="shared" ca="1" si="18"/>
        <v>53.912680746611287</v>
      </c>
      <c r="D232" s="31">
        <f t="shared" ca="1" si="18"/>
        <v>97.854459886951247</v>
      </c>
      <c r="E232" s="32">
        <v>49.460449179140888</v>
      </c>
      <c r="F232" s="32">
        <v>112.886197035389</v>
      </c>
      <c r="I232" s="17"/>
      <c r="J232" s="17"/>
      <c r="K232" s="17"/>
      <c r="L232" s="17"/>
    </row>
    <row r="233" spans="3:12" x14ac:dyDescent="0.25">
      <c r="C233" s="31">
        <f t="shared" ca="1" si="18"/>
        <v>50.622529484462149</v>
      </c>
      <c r="D233" s="31">
        <f t="shared" ca="1" si="18"/>
        <v>133.07070865830153</v>
      </c>
      <c r="E233" s="32">
        <v>57.590550630761214</v>
      </c>
      <c r="F233" s="32">
        <v>102.56030466834501</v>
      </c>
      <c r="I233" s="17"/>
      <c r="J233" s="17"/>
      <c r="K233" s="17"/>
      <c r="L233" s="17"/>
    </row>
    <row r="234" spans="3:12" x14ac:dyDescent="0.25">
      <c r="C234" s="31">
        <f t="shared" ref="C234:D253" ca="1" si="19">_xlfn.NORM.INV(RAND(),C$4,C$5)</f>
        <v>60.915248596604179</v>
      </c>
      <c r="D234" s="31">
        <f t="shared" ca="1" si="19"/>
        <v>99.991755256681273</v>
      </c>
      <c r="E234" s="32">
        <v>43.417955708445163</v>
      </c>
      <c r="F234" s="32">
        <v>104.79891937128855</v>
      </c>
      <c r="I234" s="17"/>
      <c r="J234" s="17"/>
      <c r="K234" s="17"/>
      <c r="L234" s="17"/>
    </row>
    <row r="235" spans="3:12" x14ac:dyDescent="0.25">
      <c r="C235" s="31">
        <f t="shared" ca="1" si="19"/>
        <v>55.257544442092446</v>
      </c>
      <c r="D235" s="31">
        <f t="shared" ca="1" si="19"/>
        <v>101.1366560908605</v>
      </c>
      <c r="E235" s="32">
        <v>60.397230922451541</v>
      </c>
      <c r="F235" s="32">
        <v>109.09458514136962</v>
      </c>
      <c r="I235" s="17"/>
      <c r="J235" s="17"/>
      <c r="K235" s="17"/>
      <c r="L235" s="17"/>
    </row>
    <row r="236" spans="3:12" x14ac:dyDescent="0.25">
      <c r="C236" s="31">
        <f t="shared" ca="1" si="19"/>
        <v>39.793132405216596</v>
      </c>
      <c r="D236" s="31">
        <f t="shared" ca="1" si="19"/>
        <v>95.933870664403486</v>
      </c>
      <c r="E236" s="32">
        <v>52.988262923449298</v>
      </c>
      <c r="F236" s="32">
        <v>136.11882580682331</v>
      </c>
      <c r="I236" s="17"/>
      <c r="J236" s="17"/>
      <c r="K236" s="17"/>
      <c r="L236" s="17"/>
    </row>
    <row r="237" spans="3:12" x14ac:dyDescent="0.25">
      <c r="C237" s="31">
        <f t="shared" ca="1" si="19"/>
        <v>57.597132479112737</v>
      </c>
      <c r="D237" s="31">
        <f t="shared" ca="1" si="19"/>
        <v>114.50579091728088</v>
      </c>
      <c r="E237" s="32">
        <v>85.941255253318303</v>
      </c>
      <c r="F237" s="32">
        <v>118.76790806742414</v>
      </c>
      <c r="I237" s="17"/>
      <c r="J237" s="17"/>
      <c r="K237" s="17"/>
      <c r="L237" s="17"/>
    </row>
    <row r="238" spans="3:12" x14ac:dyDescent="0.25">
      <c r="C238" s="31">
        <f t="shared" ca="1" si="19"/>
        <v>52.033804260029214</v>
      </c>
      <c r="D238" s="31">
        <f t="shared" ca="1" si="19"/>
        <v>129.6597415134724</v>
      </c>
      <c r="E238" s="32">
        <v>81.698030948717502</v>
      </c>
      <c r="F238" s="32">
        <v>148.88291501169263</v>
      </c>
      <c r="I238" s="17"/>
      <c r="J238" s="17"/>
      <c r="K238" s="17"/>
      <c r="L238" s="17"/>
    </row>
    <row r="239" spans="3:12" x14ac:dyDescent="0.25">
      <c r="C239" s="31">
        <f t="shared" ca="1" si="19"/>
        <v>70.486931591662341</v>
      </c>
      <c r="D239" s="31">
        <f t="shared" ca="1" si="19"/>
        <v>91.409541762845322</v>
      </c>
      <c r="E239" s="32">
        <v>61.391844812157608</v>
      </c>
      <c r="F239" s="32">
        <v>90.33525681900619</v>
      </c>
      <c r="I239" s="17"/>
      <c r="J239" s="17"/>
      <c r="K239" s="17"/>
      <c r="L239" s="17"/>
    </row>
    <row r="240" spans="3:12" x14ac:dyDescent="0.25">
      <c r="C240" s="31">
        <f t="shared" ca="1" si="19"/>
        <v>77.579083604148323</v>
      </c>
      <c r="D240" s="31">
        <f t="shared" ca="1" si="19"/>
        <v>129.37091930548704</v>
      </c>
      <c r="E240" s="32">
        <v>59.158058504263664</v>
      </c>
      <c r="F240" s="32">
        <v>133.49960806325646</v>
      </c>
      <c r="I240" s="17"/>
      <c r="J240" s="17"/>
      <c r="K240" s="17"/>
      <c r="L240" s="17"/>
    </row>
    <row r="241" spans="3:12" x14ac:dyDescent="0.25">
      <c r="C241" s="31">
        <f t="shared" ca="1" si="19"/>
        <v>62.202616003235853</v>
      </c>
      <c r="D241" s="31">
        <f t="shared" ca="1" si="19"/>
        <v>125.02964795071124</v>
      </c>
      <c r="E241" s="32">
        <v>57.377886847378917</v>
      </c>
      <c r="F241" s="32">
        <v>112.06768124056929</v>
      </c>
      <c r="I241" s="17"/>
      <c r="J241" s="17"/>
      <c r="K241" s="17"/>
      <c r="L241" s="17"/>
    </row>
    <row r="242" spans="3:12" x14ac:dyDescent="0.25">
      <c r="C242" s="31">
        <f t="shared" ca="1" si="19"/>
        <v>54.427768273363256</v>
      </c>
      <c r="D242" s="31">
        <f t="shared" ca="1" si="19"/>
        <v>129.68024036780949</v>
      </c>
      <c r="E242" s="32">
        <v>65.583418777432613</v>
      </c>
      <c r="F242" s="32">
        <v>100.16921336114184</v>
      </c>
      <c r="I242" s="17"/>
      <c r="J242" s="17"/>
      <c r="K242" s="17"/>
      <c r="L242" s="17"/>
    </row>
    <row r="243" spans="3:12" x14ac:dyDescent="0.25">
      <c r="C243" s="31">
        <f t="shared" ca="1" si="19"/>
        <v>54.444732461260131</v>
      </c>
      <c r="D243" s="31">
        <f t="shared" ca="1" si="19"/>
        <v>69.901800946979662</v>
      </c>
      <c r="E243" s="32">
        <v>55.090989772634948</v>
      </c>
      <c r="F243" s="32">
        <v>102.72862106595655</v>
      </c>
      <c r="I243" s="17"/>
      <c r="J243" s="17"/>
      <c r="K243" s="17"/>
      <c r="L243" s="17"/>
    </row>
    <row r="244" spans="3:12" x14ac:dyDescent="0.25">
      <c r="C244" s="31">
        <f t="shared" ca="1" si="19"/>
        <v>73.833041687228587</v>
      </c>
      <c r="D244" s="31">
        <f t="shared" ca="1" si="19"/>
        <v>104.91025797740716</v>
      </c>
      <c r="E244" s="32">
        <v>59.87437981048275</v>
      </c>
      <c r="F244" s="32">
        <v>84.136228810668328</v>
      </c>
      <c r="I244" s="17"/>
      <c r="J244" s="17"/>
      <c r="K244" s="17"/>
      <c r="L244" s="17"/>
    </row>
    <row r="245" spans="3:12" x14ac:dyDescent="0.25">
      <c r="C245" s="31">
        <f t="shared" ca="1" si="19"/>
        <v>46.397928765073488</v>
      </c>
      <c r="D245" s="31">
        <f t="shared" ca="1" si="19"/>
        <v>127.75500321993714</v>
      </c>
      <c r="E245" s="32">
        <v>58.890495822880112</v>
      </c>
      <c r="F245" s="32">
        <v>100.85360674702885</v>
      </c>
      <c r="I245" s="17"/>
      <c r="J245" s="17"/>
      <c r="K245" s="17"/>
      <c r="L245" s="17"/>
    </row>
    <row r="246" spans="3:12" x14ac:dyDescent="0.25">
      <c r="C246" s="31">
        <f t="shared" ca="1" si="19"/>
        <v>59.864780408591493</v>
      </c>
      <c r="D246" s="31">
        <f t="shared" ca="1" si="19"/>
        <v>114.88075273340529</v>
      </c>
      <c r="E246" s="32">
        <v>45.904335676238318</v>
      </c>
      <c r="F246" s="32">
        <v>102.71346444529925</v>
      </c>
      <c r="I246" s="17"/>
      <c r="J246" s="17"/>
      <c r="K246" s="17"/>
      <c r="L246" s="17"/>
    </row>
    <row r="247" spans="3:12" x14ac:dyDescent="0.25">
      <c r="C247" s="31">
        <f t="shared" ca="1" si="19"/>
        <v>63.465310365435627</v>
      </c>
      <c r="D247" s="31">
        <f t="shared" ca="1" si="19"/>
        <v>122.8812258558128</v>
      </c>
      <c r="E247" s="32">
        <v>56.164618150828431</v>
      </c>
      <c r="F247" s="32">
        <v>107.86463148292256</v>
      </c>
      <c r="I247" s="17"/>
      <c r="J247" s="17"/>
      <c r="K247" s="17"/>
      <c r="L247" s="17"/>
    </row>
    <row r="248" spans="3:12" x14ac:dyDescent="0.25">
      <c r="C248" s="31">
        <f t="shared" ca="1" si="19"/>
        <v>73.634541003314396</v>
      </c>
      <c r="D248" s="31">
        <f t="shared" ca="1" si="19"/>
        <v>125.8850474854859</v>
      </c>
      <c r="E248" s="32">
        <v>54.914391329876331</v>
      </c>
      <c r="F248" s="32">
        <v>121.60596401119309</v>
      </c>
      <c r="I248" s="17"/>
      <c r="J248" s="17"/>
      <c r="K248" s="17"/>
      <c r="L248" s="17"/>
    </row>
    <row r="249" spans="3:12" x14ac:dyDescent="0.25">
      <c r="C249" s="31">
        <f t="shared" ca="1" si="19"/>
        <v>77.390590256982392</v>
      </c>
      <c r="D249" s="31">
        <f t="shared" ca="1" si="19"/>
        <v>133.17444323652978</v>
      </c>
      <c r="E249" s="32">
        <v>72.004180415304347</v>
      </c>
      <c r="F249" s="32">
        <v>100.05570452612147</v>
      </c>
      <c r="I249" s="17"/>
      <c r="J249" s="17"/>
      <c r="K249" s="17"/>
      <c r="L249" s="17"/>
    </row>
    <row r="250" spans="3:12" x14ac:dyDescent="0.25">
      <c r="C250" s="31">
        <f t="shared" ca="1" si="19"/>
        <v>60.904983090372639</v>
      </c>
      <c r="D250" s="31">
        <f t="shared" ca="1" si="19"/>
        <v>148.51310666736958</v>
      </c>
      <c r="E250" s="32">
        <v>54.993992807277557</v>
      </c>
      <c r="F250" s="32">
        <v>113.12526425518666</v>
      </c>
      <c r="I250" s="17"/>
      <c r="J250" s="17"/>
      <c r="K250" s="17"/>
      <c r="L250" s="17"/>
    </row>
    <row r="251" spans="3:12" x14ac:dyDescent="0.25">
      <c r="C251" s="31">
        <f t="shared" ca="1" si="19"/>
        <v>53.658732293721037</v>
      </c>
      <c r="D251" s="31">
        <f t="shared" ca="1" si="19"/>
        <v>119.24502203949558</v>
      </c>
      <c r="E251" s="32">
        <v>54.703051687239835</v>
      </c>
      <c r="F251" s="32">
        <v>126.0855579074564</v>
      </c>
      <c r="I251" s="17"/>
      <c r="J251" s="17"/>
      <c r="K251" s="17"/>
      <c r="L251" s="17"/>
    </row>
    <row r="252" spans="3:12" x14ac:dyDescent="0.25">
      <c r="C252" s="31">
        <f t="shared" ca="1" si="19"/>
        <v>73.078905660343324</v>
      </c>
      <c r="D252" s="31">
        <f t="shared" ca="1" si="19"/>
        <v>125.77749774072073</v>
      </c>
      <c r="E252" s="32">
        <v>55.440195487033591</v>
      </c>
      <c r="F252" s="32">
        <v>115.38606707554354</v>
      </c>
      <c r="I252" s="17"/>
      <c r="J252" s="17"/>
      <c r="K252" s="17"/>
      <c r="L252" s="17"/>
    </row>
    <row r="253" spans="3:12" x14ac:dyDescent="0.25">
      <c r="C253" s="31">
        <f t="shared" ca="1" si="19"/>
        <v>55.166762560686493</v>
      </c>
      <c r="D253" s="31">
        <f t="shared" ca="1" si="19"/>
        <v>125.5636405355165</v>
      </c>
      <c r="E253" s="32">
        <v>63.395145428104414</v>
      </c>
      <c r="F253" s="32">
        <v>100.26254502585915</v>
      </c>
      <c r="I253" s="17"/>
      <c r="J253" s="17"/>
      <c r="K253" s="17"/>
      <c r="L253" s="17"/>
    </row>
    <row r="254" spans="3:12" x14ac:dyDescent="0.25">
      <c r="C254" s="31">
        <f t="shared" ref="C254:D273" ca="1" si="20">_xlfn.NORM.INV(RAND(),C$4,C$5)</f>
        <v>51.894662483441536</v>
      </c>
      <c r="D254" s="31">
        <f t="shared" ca="1" si="20"/>
        <v>75.048619845544579</v>
      </c>
      <c r="E254" s="32">
        <v>65.495712705192318</v>
      </c>
      <c r="F254" s="32">
        <v>121.1840584124526</v>
      </c>
      <c r="I254" s="17"/>
      <c r="J254" s="17"/>
      <c r="K254" s="17"/>
      <c r="L254" s="17"/>
    </row>
    <row r="255" spans="3:12" x14ac:dyDescent="0.25">
      <c r="C255" s="31">
        <f t="shared" ca="1" si="20"/>
        <v>65.471477447542824</v>
      </c>
      <c r="D255" s="31">
        <f t="shared" ca="1" si="20"/>
        <v>98.261694451567251</v>
      </c>
      <c r="E255" s="32">
        <v>69.065519451289504</v>
      </c>
      <c r="F255" s="32">
        <v>122.77806499612609</v>
      </c>
      <c r="I255" s="17"/>
      <c r="J255" s="17"/>
      <c r="K255" s="17"/>
      <c r="L255" s="17"/>
    </row>
    <row r="256" spans="3:12" x14ac:dyDescent="0.25">
      <c r="C256" s="31">
        <f t="shared" ca="1" si="20"/>
        <v>70.329104019203442</v>
      </c>
      <c r="D256" s="31">
        <f t="shared" ca="1" si="20"/>
        <v>115.21491724016145</v>
      </c>
      <c r="E256" s="32">
        <v>47.122922096603261</v>
      </c>
      <c r="F256" s="32">
        <v>113.29194117469682</v>
      </c>
      <c r="I256" s="17"/>
      <c r="J256" s="17"/>
      <c r="K256" s="17"/>
      <c r="L256" s="17"/>
    </row>
    <row r="257" spans="3:12" x14ac:dyDescent="0.25">
      <c r="C257" s="31">
        <f t="shared" ca="1" si="20"/>
        <v>62.28578031436431</v>
      </c>
      <c r="D257" s="31">
        <f t="shared" ca="1" si="20"/>
        <v>134.72983517972193</v>
      </c>
      <c r="E257" s="32">
        <v>79.897446728820029</v>
      </c>
      <c r="F257" s="32">
        <v>124.41223800708984</v>
      </c>
      <c r="I257" s="17"/>
      <c r="J257" s="17"/>
      <c r="K257" s="17"/>
      <c r="L257" s="17"/>
    </row>
    <row r="258" spans="3:12" x14ac:dyDescent="0.25">
      <c r="C258" s="31">
        <f t="shared" ca="1" si="20"/>
        <v>59.029311803333371</v>
      </c>
      <c r="D258" s="31">
        <f t="shared" ca="1" si="20"/>
        <v>110.67059356956131</v>
      </c>
      <c r="E258" s="32">
        <v>62.161818428566747</v>
      </c>
      <c r="F258" s="32">
        <v>94.087901259558365</v>
      </c>
      <c r="I258" s="17"/>
      <c r="J258" s="17"/>
      <c r="K258" s="17"/>
      <c r="L258" s="17"/>
    </row>
    <row r="259" spans="3:12" x14ac:dyDescent="0.25">
      <c r="C259" s="31">
        <f t="shared" ca="1" si="20"/>
        <v>53.696755879777292</v>
      </c>
      <c r="D259" s="31">
        <f t="shared" ca="1" si="20"/>
        <v>84.697683112896456</v>
      </c>
      <c r="E259" s="32">
        <v>67.997845799099721</v>
      </c>
      <c r="F259" s="32">
        <v>126.05314442884614</v>
      </c>
      <c r="I259" s="17"/>
      <c r="J259" s="17"/>
      <c r="K259" s="17"/>
      <c r="L259" s="17"/>
    </row>
    <row r="260" spans="3:12" x14ac:dyDescent="0.25">
      <c r="C260" s="31">
        <f t="shared" ca="1" si="20"/>
        <v>78.920899455173213</v>
      </c>
      <c r="D260" s="31">
        <f t="shared" ca="1" si="20"/>
        <v>131.30393198185922</v>
      </c>
      <c r="E260" s="32">
        <v>51.350496340352692</v>
      </c>
      <c r="F260" s="32">
        <v>102.26119402698414</v>
      </c>
      <c r="I260" s="17"/>
      <c r="J260" s="17"/>
      <c r="K260" s="17"/>
      <c r="L260" s="17"/>
    </row>
    <row r="261" spans="3:12" x14ac:dyDescent="0.25">
      <c r="C261" s="31">
        <f t="shared" ca="1" si="20"/>
        <v>52.143867908771121</v>
      </c>
      <c r="D261" s="31">
        <f t="shared" ca="1" si="20"/>
        <v>105.83010376037035</v>
      </c>
      <c r="E261" s="32">
        <v>69.267244173708789</v>
      </c>
      <c r="F261" s="32">
        <v>96.50294080935609</v>
      </c>
      <c r="I261" s="17"/>
      <c r="J261" s="17"/>
      <c r="K261" s="17"/>
      <c r="L261" s="17"/>
    </row>
    <row r="262" spans="3:12" x14ac:dyDescent="0.25">
      <c r="C262" s="31">
        <f t="shared" ca="1" si="20"/>
        <v>60.104333049945581</v>
      </c>
      <c r="D262" s="31">
        <f t="shared" ca="1" si="20"/>
        <v>118.4874691114902</v>
      </c>
      <c r="E262" s="32">
        <v>67.896726098396925</v>
      </c>
      <c r="F262" s="32">
        <v>87.791034988236575</v>
      </c>
      <c r="I262" s="17"/>
      <c r="J262" s="17"/>
      <c r="K262" s="17"/>
      <c r="L262" s="17"/>
    </row>
    <row r="263" spans="3:12" x14ac:dyDescent="0.25">
      <c r="C263" s="31">
        <f t="shared" ca="1" si="20"/>
        <v>56.160153116464166</v>
      </c>
      <c r="D263" s="31">
        <f t="shared" ca="1" si="20"/>
        <v>135.73802270391826</v>
      </c>
      <c r="E263" s="32">
        <v>59.231801061548367</v>
      </c>
      <c r="F263" s="32">
        <v>104.03793221567747</v>
      </c>
      <c r="I263" s="17"/>
      <c r="J263" s="17"/>
      <c r="K263" s="17"/>
      <c r="L263" s="17"/>
    </row>
    <row r="264" spans="3:12" x14ac:dyDescent="0.25">
      <c r="C264" s="31">
        <f t="shared" ca="1" si="20"/>
        <v>69.190663006612112</v>
      </c>
      <c r="D264" s="31">
        <f t="shared" ca="1" si="20"/>
        <v>145.82084683760905</v>
      </c>
      <c r="E264" s="32">
        <v>69.398239593832471</v>
      </c>
      <c r="F264" s="32">
        <v>107.97626239408838</v>
      </c>
      <c r="I264" s="17"/>
      <c r="J264" s="17"/>
      <c r="K264" s="17"/>
      <c r="L264" s="17"/>
    </row>
    <row r="265" spans="3:12" x14ac:dyDescent="0.25">
      <c r="C265" s="31">
        <f t="shared" ca="1" si="20"/>
        <v>64.923662578606752</v>
      </c>
      <c r="D265" s="31">
        <f t="shared" ca="1" si="20"/>
        <v>152.08081278719345</v>
      </c>
      <c r="E265" s="32">
        <v>41.324532908953437</v>
      </c>
      <c r="F265" s="32">
        <v>99.302827462267942</v>
      </c>
      <c r="I265" s="17"/>
      <c r="J265" s="17"/>
      <c r="K265" s="17"/>
      <c r="L265" s="17"/>
    </row>
    <row r="266" spans="3:12" x14ac:dyDescent="0.25">
      <c r="C266" s="31">
        <f t="shared" ca="1" si="20"/>
        <v>58.706715232522576</v>
      </c>
      <c r="D266" s="31">
        <f t="shared" ca="1" si="20"/>
        <v>138.69866112861669</v>
      </c>
      <c r="E266" s="32">
        <v>54.369052390306592</v>
      </c>
      <c r="F266" s="32">
        <v>114.75429575508966</v>
      </c>
      <c r="I266" s="17"/>
      <c r="J266" s="17"/>
      <c r="K266" s="17"/>
      <c r="L266" s="17"/>
    </row>
    <row r="267" spans="3:12" x14ac:dyDescent="0.25">
      <c r="C267" s="31">
        <f t="shared" ca="1" si="20"/>
        <v>61.532006929684343</v>
      </c>
      <c r="D267" s="31">
        <f t="shared" ca="1" si="20"/>
        <v>122.3880502783276</v>
      </c>
      <c r="E267" s="32">
        <v>66.166232423967159</v>
      </c>
      <c r="F267" s="32">
        <v>145.59413526960313</v>
      </c>
      <c r="I267" s="17"/>
      <c r="J267" s="17"/>
      <c r="K267" s="17"/>
      <c r="L267" s="17"/>
    </row>
    <row r="268" spans="3:12" x14ac:dyDescent="0.25">
      <c r="C268" s="31">
        <f t="shared" ca="1" si="20"/>
        <v>57.271169805674418</v>
      </c>
      <c r="D268" s="31">
        <f t="shared" ca="1" si="20"/>
        <v>135.6456727221987</v>
      </c>
      <c r="E268" s="32">
        <v>66.564092727674634</v>
      </c>
      <c r="F268" s="32">
        <v>122.72448318566649</v>
      </c>
      <c r="I268" s="17"/>
      <c r="J268" s="17"/>
      <c r="K268" s="17"/>
      <c r="L268" s="17"/>
    </row>
    <row r="269" spans="3:12" x14ac:dyDescent="0.25">
      <c r="C269" s="31">
        <f t="shared" ca="1" si="20"/>
        <v>53.993262969822233</v>
      </c>
      <c r="D269" s="31">
        <f t="shared" ca="1" si="20"/>
        <v>159.61912428542445</v>
      </c>
      <c r="E269" s="32">
        <v>56.715619133809746</v>
      </c>
      <c r="F269" s="32">
        <v>168.87989180028637</v>
      </c>
      <c r="I269" s="17"/>
      <c r="J269" s="17"/>
      <c r="K269" s="17"/>
      <c r="L269" s="17"/>
    </row>
    <row r="270" spans="3:12" x14ac:dyDescent="0.25">
      <c r="C270" s="31">
        <f t="shared" ca="1" si="20"/>
        <v>59.574124756132221</v>
      </c>
      <c r="D270" s="31">
        <f t="shared" ca="1" si="20"/>
        <v>112.30941943175803</v>
      </c>
      <c r="E270" s="32">
        <v>55.355956947664062</v>
      </c>
      <c r="F270" s="32">
        <v>115.3290185324215</v>
      </c>
      <c r="I270" s="17"/>
      <c r="J270" s="17"/>
      <c r="K270" s="17"/>
      <c r="L270" s="17"/>
    </row>
    <row r="271" spans="3:12" x14ac:dyDescent="0.25">
      <c r="C271" s="31">
        <f t="shared" ca="1" si="20"/>
        <v>67.289635084550468</v>
      </c>
      <c r="D271" s="31">
        <f t="shared" ca="1" si="20"/>
        <v>114.86509842446277</v>
      </c>
      <c r="E271" s="32">
        <v>53.146444908982033</v>
      </c>
      <c r="F271" s="32">
        <v>129.80365126030148</v>
      </c>
      <c r="I271" s="17"/>
      <c r="J271" s="17"/>
      <c r="K271" s="17"/>
      <c r="L271" s="17"/>
    </row>
    <row r="272" spans="3:12" x14ac:dyDescent="0.25">
      <c r="C272" s="31">
        <f t="shared" ca="1" si="20"/>
        <v>53.483869243725934</v>
      </c>
      <c r="D272" s="31">
        <f t="shared" ca="1" si="20"/>
        <v>109.65205364045657</v>
      </c>
      <c r="E272" s="32">
        <v>58.267234805200005</v>
      </c>
      <c r="F272" s="32">
        <v>90.136692023758329</v>
      </c>
      <c r="I272" s="17"/>
      <c r="J272" s="17"/>
      <c r="K272" s="17"/>
      <c r="L272" s="17"/>
    </row>
    <row r="273" spans="3:12" x14ac:dyDescent="0.25">
      <c r="C273" s="31">
        <f t="shared" ca="1" si="20"/>
        <v>74.298039735785437</v>
      </c>
      <c r="D273" s="31">
        <f t="shared" ca="1" si="20"/>
        <v>157.78623302976683</v>
      </c>
      <c r="E273" s="32">
        <v>57.893123301652516</v>
      </c>
      <c r="F273" s="32">
        <v>142.43982826521244</v>
      </c>
      <c r="I273" s="17"/>
      <c r="J273" s="17"/>
      <c r="K273" s="17"/>
      <c r="L273" s="17"/>
    </row>
    <row r="274" spans="3:12" x14ac:dyDescent="0.25">
      <c r="C274" s="31">
        <f t="shared" ref="C274:D293" ca="1" si="21">_xlfn.NORM.INV(RAND(),C$4,C$5)</f>
        <v>62.941808289853959</v>
      </c>
      <c r="D274" s="31">
        <f t="shared" ca="1" si="21"/>
        <v>80.075085984772954</v>
      </c>
      <c r="E274" s="32">
        <v>78.797349150864662</v>
      </c>
      <c r="F274" s="32">
        <v>149.76711990693616</v>
      </c>
      <c r="I274" s="17"/>
      <c r="J274" s="17"/>
      <c r="K274" s="17"/>
      <c r="L274" s="17"/>
    </row>
    <row r="275" spans="3:12" x14ac:dyDescent="0.25">
      <c r="C275" s="31">
        <f t="shared" ca="1" si="21"/>
        <v>39.074889078225667</v>
      </c>
      <c r="D275" s="31">
        <f t="shared" ca="1" si="21"/>
        <v>112.50465620224321</v>
      </c>
      <c r="E275" s="32">
        <v>46.112906302255418</v>
      </c>
      <c r="F275" s="32">
        <v>91.132251901960046</v>
      </c>
      <c r="I275" s="17"/>
      <c r="J275" s="17"/>
      <c r="K275" s="17"/>
      <c r="L275" s="17"/>
    </row>
    <row r="276" spans="3:12" x14ac:dyDescent="0.25">
      <c r="C276" s="31">
        <f t="shared" ca="1" si="21"/>
        <v>57.560966966532298</v>
      </c>
      <c r="D276" s="31">
        <f t="shared" ca="1" si="21"/>
        <v>143.12056860851692</v>
      </c>
      <c r="E276" s="32">
        <v>72.096725921875901</v>
      </c>
      <c r="F276" s="32">
        <v>149.42924046803449</v>
      </c>
      <c r="I276" s="17"/>
      <c r="J276" s="17"/>
      <c r="K276" s="17"/>
      <c r="L276" s="17"/>
    </row>
    <row r="277" spans="3:12" x14ac:dyDescent="0.25">
      <c r="C277" s="31">
        <f t="shared" ca="1" si="21"/>
        <v>68.177431753346013</v>
      </c>
      <c r="D277" s="31">
        <f t="shared" ca="1" si="21"/>
        <v>101.86311624336841</v>
      </c>
      <c r="E277" s="32">
        <v>57.276372648739205</v>
      </c>
      <c r="F277" s="32">
        <v>110.78607314568023</v>
      </c>
      <c r="I277" s="17"/>
      <c r="J277" s="17"/>
      <c r="K277" s="17"/>
      <c r="L277" s="17"/>
    </row>
    <row r="278" spans="3:12" x14ac:dyDescent="0.25">
      <c r="C278" s="31">
        <f t="shared" ca="1" si="21"/>
        <v>73.462652649461447</v>
      </c>
      <c r="D278" s="31">
        <f t="shared" ca="1" si="21"/>
        <v>111.41314056846139</v>
      </c>
      <c r="E278" s="32">
        <v>60.454451537828866</v>
      </c>
      <c r="F278" s="32">
        <v>134.57575596912207</v>
      </c>
      <c r="I278" s="17"/>
      <c r="J278" s="17"/>
      <c r="K278" s="17"/>
      <c r="L278" s="17"/>
    </row>
    <row r="279" spans="3:12" x14ac:dyDescent="0.25">
      <c r="C279" s="31">
        <f t="shared" ca="1" si="21"/>
        <v>53.691983779660582</v>
      </c>
      <c r="D279" s="31">
        <f t="shared" ca="1" si="21"/>
        <v>152.36525999720413</v>
      </c>
      <c r="E279" s="32">
        <v>62.079966225871054</v>
      </c>
      <c r="F279" s="32">
        <v>91.672476744195777</v>
      </c>
      <c r="I279" s="17"/>
      <c r="J279" s="17"/>
      <c r="K279" s="17"/>
      <c r="L279" s="17"/>
    </row>
    <row r="280" spans="3:12" x14ac:dyDescent="0.25">
      <c r="C280" s="31">
        <f t="shared" ca="1" si="21"/>
        <v>55.593345756634008</v>
      </c>
      <c r="D280" s="31">
        <f t="shared" ca="1" si="21"/>
        <v>95.9051398979976</v>
      </c>
      <c r="E280" s="32">
        <v>56.840435655474565</v>
      </c>
      <c r="F280" s="32">
        <v>133.51338144925325</v>
      </c>
      <c r="I280" s="17"/>
      <c r="J280" s="17"/>
      <c r="K280" s="17"/>
      <c r="L280" s="17"/>
    </row>
    <row r="281" spans="3:12" x14ac:dyDescent="0.25">
      <c r="C281" s="31">
        <f t="shared" ca="1" si="21"/>
        <v>59.890557888993577</v>
      </c>
      <c r="D281" s="31">
        <f t="shared" ca="1" si="21"/>
        <v>109.9835458685539</v>
      </c>
      <c r="E281" s="32">
        <v>51.757638626629905</v>
      </c>
      <c r="F281" s="32">
        <v>86.330910630726379</v>
      </c>
      <c r="I281" s="17"/>
      <c r="J281" s="17"/>
      <c r="K281" s="17"/>
      <c r="L281" s="17"/>
    </row>
    <row r="282" spans="3:12" x14ac:dyDescent="0.25">
      <c r="C282" s="31">
        <f t="shared" ca="1" si="21"/>
        <v>49.597765999630354</v>
      </c>
      <c r="D282" s="31">
        <f t="shared" ca="1" si="21"/>
        <v>139.84176474836281</v>
      </c>
      <c r="E282" s="32">
        <v>68.799586292977168</v>
      </c>
      <c r="F282" s="32">
        <v>127.31622109155911</v>
      </c>
      <c r="I282" s="17"/>
      <c r="J282" s="17"/>
      <c r="K282" s="17"/>
      <c r="L282" s="17"/>
    </row>
    <row r="283" spans="3:12" x14ac:dyDescent="0.25">
      <c r="C283" s="31">
        <f t="shared" ca="1" si="21"/>
        <v>55.521600921911592</v>
      </c>
      <c r="D283" s="31">
        <f t="shared" ca="1" si="21"/>
        <v>101.60386306887374</v>
      </c>
      <c r="E283" s="32">
        <v>68.543655440482041</v>
      </c>
      <c r="F283" s="32">
        <v>80.809502750580151</v>
      </c>
      <c r="I283" s="17"/>
      <c r="J283" s="17"/>
      <c r="K283" s="17"/>
      <c r="L283" s="17"/>
    </row>
    <row r="284" spans="3:12" x14ac:dyDescent="0.25">
      <c r="C284" s="31">
        <f t="shared" ca="1" si="21"/>
        <v>60.032685786511877</v>
      </c>
      <c r="D284" s="31">
        <f t="shared" ca="1" si="21"/>
        <v>98.942448638144157</v>
      </c>
      <c r="E284" s="32">
        <v>52.549534243283802</v>
      </c>
      <c r="F284" s="32">
        <v>84.874893252644824</v>
      </c>
      <c r="I284" s="17"/>
      <c r="J284" s="17"/>
      <c r="K284" s="17"/>
      <c r="L284" s="17"/>
    </row>
    <row r="285" spans="3:12" x14ac:dyDescent="0.25">
      <c r="C285" s="31">
        <f t="shared" ca="1" si="21"/>
        <v>56.066488473560113</v>
      </c>
      <c r="D285" s="31">
        <f t="shared" ca="1" si="21"/>
        <v>122.27462134008402</v>
      </c>
      <c r="E285" s="32">
        <v>67.824006532977194</v>
      </c>
      <c r="F285" s="32">
        <v>89.280738555827668</v>
      </c>
      <c r="I285" s="17"/>
      <c r="J285" s="17"/>
      <c r="K285" s="17"/>
      <c r="L285" s="17"/>
    </row>
    <row r="286" spans="3:12" x14ac:dyDescent="0.25">
      <c r="C286" s="31">
        <f t="shared" ca="1" si="21"/>
        <v>58.297304775670227</v>
      </c>
      <c r="D286" s="31">
        <f t="shared" ca="1" si="21"/>
        <v>113.71817631186258</v>
      </c>
      <c r="E286" s="32">
        <v>65.966372254844984</v>
      </c>
      <c r="F286" s="32">
        <v>123.12785416295357</v>
      </c>
      <c r="I286" s="17"/>
      <c r="J286" s="17"/>
      <c r="K286" s="17"/>
      <c r="L286" s="17"/>
    </row>
    <row r="287" spans="3:12" x14ac:dyDescent="0.25">
      <c r="C287" s="31">
        <f t="shared" ca="1" si="21"/>
        <v>66.66972709190631</v>
      </c>
      <c r="D287" s="31">
        <f t="shared" ca="1" si="21"/>
        <v>122.28857530781622</v>
      </c>
      <c r="E287" s="32">
        <v>74.710604789745105</v>
      </c>
      <c r="F287" s="32">
        <v>92.668475019034361</v>
      </c>
      <c r="I287" s="17"/>
      <c r="J287" s="17"/>
      <c r="K287" s="17"/>
      <c r="L287" s="17"/>
    </row>
    <row r="288" spans="3:12" x14ac:dyDescent="0.25">
      <c r="C288" s="31">
        <f t="shared" ca="1" si="21"/>
        <v>68.594475736639652</v>
      </c>
      <c r="D288" s="31">
        <f t="shared" ca="1" si="21"/>
        <v>140.65188091462653</v>
      </c>
      <c r="E288" s="32">
        <v>44.631485443344332</v>
      </c>
      <c r="F288" s="32">
        <v>82.302041924710167</v>
      </c>
      <c r="I288" s="17"/>
      <c r="J288" s="17"/>
      <c r="K288" s="17"/>
      <c r="L288" s="17"/>
    </row>
    <row r="289" spans="3:12" x14ac:dyDescent="0.25">
      <c r="C289" s="31">
        <f t="shared" ca="1" si="21"/>
        <v>66.091939204071636</v>
      </c>
      <c r="D289" s="31">
        <f t="shared" ca="1" si="21"/>
        <v>107.93355113891808</v>
      </c>
      <c r="E289" s="32">
        <v>45.447017604993178</v>
      </c>
      <c r="F289" s="32">
        <v>90.983949923411387</v>
      </c>
      <c r="I289" s="17"/>
      <c r="J289" s="17"/>
      <c r="K289" s="17"/>
      <c r="L289" s="17"/>
    </row>
    <row r="290" spans="3:12" x14ac:dyDescent="0.25">
      <c r="C290" s="31">
        <f t="shared" ca="1" si="21"/>
        <v>64.043109075513144</v>
      </c>
      <c r="D290" s="31">
        <f t="shared" ca="1" si="21"/>
        <v>104.01723623443226</v>
      </c>
      <c r="E290" s="32">
        <v>60.935005870156914</v>
      </c>
      <c r="F290" s="32">
        <v>150.50900769651312</v>
      </c>
      <c r="I290" s="17"/>
      <c r="J290" s="17"/>
      <c r="K290" s="17"/>
      <c r="L290" s="17"/>
    </row>
    <row r="291" spans="3:12" x14ac:dyDescent="0.25">
      <c r="C291" s="31">
        <f t="shared" ca="1" si="21"/>
        <v>48.182302183143996</v>
      </c>
      <c r="D291" s="31">
        <f t="shared" ca="1" si="21"/>
        <v>117.39057149815204</v>
      </c>
      <c r="E291" s="32">
        <v>71.957159076871292</v>
      </c>
      <c r="F291" s="32">
        <v>62.470220390210486</v>
      </c>
      <c r="I291" s="17"/>
      <c r="J291" s="17"/>
      <c r="K291" s="17"/>
      <c r="L291" s="17"/>
    </row>
    <row r="292" spans="3:12" x14ac:dyDescent="0.25">
      <c r="C292" s="31">
        <f t="shared" ca="1" si="21"/>
        <v>55.33412762442012</v>
      </c>
      <c r="D292" s="31">
        <f t="shared" ca="1" si="21"/>
        <v>123.66721460152969</v>
      </c>
      <c r="E292" s="32">
        <v>69.057917085842163</v>
      </c>
      <c r="F292" s="32">
        <v>103.23193750976482</v>
      </c>
      <c r="I292" s="17"/>
      <c r="J292" s="17"/>
      <c r="K292" s="17"/>
      <c r="L292" s="17"/>
    </row>
    <row r="293" spans="3:12" x14ac:dyDescent="0.25">
      <c r="C293" s="31">
        <f t="shared" ca="1" si="21"/>
        <v>65.188066680421159</v>
      </c>
      <c r="D293" s="31">
        <f t="shared" ca="1" si="21"/>
        <v>93.613781100803195</v>
      </c>
      <c r="E293" s="32">
        <v>62.216724005115701</v>
      </c>
      <c r="F293" s="32">
        <v>156.40875354309725</v>
      </c>
      <c r="I293" s="17"/>
      <c r="J293" s="17"/>
      <c r="K293" s="17"/>
      <c r="L293" s="17"/>
    </row>
    <row r="294" spans="3:12" x14ac:dyDescent="0.25">
      <c r="C294" s="31">
        <f t="shared" ref="C294:D313" ca="1" si="22">_xlfn.NORM.INV(RAND(),C$4,C$5)</f>
        <v>51.936216834653301</v>
      </c>
      <c r="D294" s="31">
        <f t="shared" ca="1" si="22"/>
        <v>109.74063347509636</v>
      </c>
      <c r="E294" s="32">
        <v>66.562108199944419</v>
      </c>
      <c r="F294" s="32">
        <v>83.757115788362171</v>
      </c>
      <c r="I294" s="17"/>
      <c r="J294" s="17"/>
      <c r="K294" s="17"/>
      <c r="L294" s="17"/>
    </row>
    <row r="295" spans="3:12" x14ac:dyDescent="0.25">
      <c r="C295" s="31">
        <f t="shared" ca="1" si="22"/>
        <v>64.520963372699413</v>
      </c>
      <c r="D295" s="31">
        <f t="shared" ca="1" si="22"/>
        <v>112.34368224810912</v>
      </c>
      <c r="E295" s="32">
        <v>69.893962991040809</v>
      </c>
      <c r="F295" s="32">
        <v>127.0853384783704</v>
      </c>
      <c r="I295" s="17"/>
      <c r="J295" s="17"/>
      <c r="K295" s="17"/>
      <c r="L295" s="17"/>
    </row>
    <row r="296" spans="3:12" x14ac:dyDescent="0.25">
      <c r="C296" s="31">
        <f t="shared" ca="1" si="22"/>
        <v>65.462829681945379</v>
      </c>
      <c r="D296" s="31">
        <f t="shared" ca="1" si="22"/>
        <v>158.75309994410401</v>
      </c>
      <c r="E296" s="32">
        <v>64.837699270672161</v>
      </c>
      <c r="F296" s="32">
        <v>118.51697401752158</v>
      </c>
      <c r="I296" s="17"/>
      <c r="J296" s="17"/>
      <c r="K296" s="17"/>
      <c r="L296" s="17"/>
    </row>
    <row r="297" spans="3:12" x14ac:dyDescent="0.25">
      <c r="C297" s="31">
        <f t="shared" ca="1" si="22"/>
        <v>66.008906142473592</v>
      </c>
      <c r="D297" s="31">
        <f t="shared" ca="1" si="22"/>
        <v>105.23547597816592</v>
      </c>
      <c r="E297" s="32">
        <v>38.680649406521823</v>
      </c>
      <c r="F297" s="32">
        <v>116.39925244170938</v>
      </c>
      <c r="I297" s="17"/>
      <c r="J297" s="17"/>
      <c r="K297" s="17"/>
      <c r="L297" s="17"/>
    </row>
    <row r="298" spans="3:12" x14ac:dyDescent="0.25">
      <c r="C298" s="31">
        <f t="shared" ca="1" si="22"/>
        <v>72.957189958597823</v>
      </c>
      <c r="D298" s="31">
        <f t="shared" ca="1" si="22"/>
        <v>95.006651930301473</v>
      </c>
      <c r="E298" s="32">
        <v>57.350570870484653</v>
      </c>
      <c r="F298" s="32">
        <v>109.48680695954233</v>
      </c>
      <c r="I298" s="17"/>
      <c r="J298" s="17"/>
      <c r="K298" s="17"/>
      <c r="L298" s="17"/>
    </row>
    <row r="299" spans="3:12" x14ac:dyDescent="0.25">
      <c r="C299" s="31">
        <f t="shared" ca="1" si="22"/>
        <v>70.913640153076528</v>
      </c>
      <c r="D299" s="31">
        <f t="shared" ca="1" si="22"/>
        <v>129.63296620150584</v>
      </c>
      <c r="E299" s="32">
        <v>50.226385226989329</v>
      </c>
      <c r="F299" s="32">
        <v>119.42056949305258</v>
      </c>
      <c r="I299" s="17"/>
      <c r="J299" s="17"/>
      <c r="K299" s="17"/>
      <c r="L299" s="17"/>
    </row>
    <row r="300" spans="3:12" x14ac:dyDescent="0.25">
      <c r="C300" s="31">
        <f t="shared" ca="1" si="22"/>
        <v>61.335445374813865</v>
      </c>
      <c r="D300" s="31">
        <f t="shared" ca="1" si="22"/>
        <v>108.58317667707252</v>
      </c>
      <c r="E300" s="32">
        <v>45.739452103815069</v>
      </c>
      <c r="F300" s="32">
        <v>112.28100152014702</v>
      </c>
      <c r="I300" s="17"/>
      <c r="J300" s="17"/>
      <c r="K300" s="17"/>
      <c r="L300" s="17"/>
    </row>
    <row r="301" spans="3:12" x14ac:dyDescent="0.25">
      <c r="C301" s="31">
        <f t="shared" ca="1" si="22"/>
        <v>61.580090560133605</v>
      </c>
      <c r="D301" s="31">
        <f t="shared" ca="1" si="22"/>
        <v>149.66529682643392</v>
      </c>
      <c r="E301" s="32">
        <v>57.696016515264958</v>
      </c>
      <c r="F301" s="32">
        <v>127.81282780967516</v>
      </c>
      <c r="I301" s="17"/>
      <c r="J301" s="17"/>
      <c r="K301" s="17"/>
      <c r="L301" s="17"/>
    </row>
    <row r="302" spans="3:12" x14ac:dyDescent="0.25">
      <c r="C302" s="31">
        <f t="shared" ca="1" si="22"/>
        <v>66.37997604165561</v>
      </c>
      <c r="D302" s="31">
        <f t="shared" ca="1" si="22"/>
        <v>135.28049950836999</v>
      </c>
      <c r="E302" s="32">
        <v>52.022904049304699</v>
      </c>
      <c r="F302" s="32">
        <v>106.16513814847362</v>
      </c>
      <c r="I302" s="17"/>
      <c r="J302" s="17"/>
      <c r="K302" s="17"/>
      <c r="L302" s="17"/>
    </row>
    <row r="303" spans="3:12" x14ac:dyDescent="0.25">
      <c r="C303" s="31">
        <f t="shared" ca="1" si="22"/>
        <v>77.124492101889658</v>
      </c>
      <c r="D303" s="31">
        <f t="shared" ca="1" si="22"/>
        <v>121.45506874509095</v>
      </c>
      <c r="E303" s="32">
        <v>62.266195729703796</v>
      </c>
      <c r="F303" s="32">
        <v>136.18494067652651</v>
      </c>
      <c r="I303" s="17"/>
      <c r="J303" s="17"/>
      <c r="K303" s="17"/>
      <c r="L303" s="17"/>
    </row>
    <row r="304" spans="3:12" x14ac:dyDescent="0.25">
      <c r="C304" s="31">
        <f t="shared" ca="1" si="22"/>
        <v>47.081861900135507</v>
      </c>
      <c r="D304" s="31">
        <f t="shared" ca="1" si="22"/>
        <v>118.52264124692368</v>
      </c>
      <c r="E304" s="32">
        <v>64.180674551936633</v>
      </c>
      <c r="F304" s="32">
        <v>142.94829037103005</v>
      </c>
      <c r="I304" s="17"/>
      <c r="J304" s="17"/>
      <c r="K304" s="17"/>
      <c r="L304" s="17"/>
    </row>
    <row r="305" spans="3:12" x14ac:dyDescent="0.25">
      <c r="C305" s="31">
        <f t="shared" ca="1" si="22"/>
        <v>60.474137767677234</v>
      </c>
      <c r="D305" s="31">
        <f t="shared" ca="1" si="22"/>
        <v>90.234429500557525</v>
      </c>
      <c r="E305" s="32">
        <v>51.097784316376618</v>
      </c>
      <c r="F305" s="32">
        <v>101.96578158260544</v>
      </c>
      <c r="I305" s="17"/>
      <c r="J305" s="17"/>
      <c r="K305" s="17"/>
      <c r="L305" s="17"/>
    </row>
    <row r="306" spans="3:12" x14ac:dyDescent="0.25">
      <c r="C306" s="31">
        <f t="shared" ca="1" si="22"/>
        <v>74.669853945547331</v>
      </c>
      <c r="D306" s="31">
        <f t="shared" ca="1" si="22"/>
        <v>100.34107904715259</v>
      </c>
      <c r="E306" s="32">
        <v>72.867259876712623</v>
      </c>
      <c r="F306" s="32">
        <v>78.92066532825055</v>
      </c>
      <c r="I306" s="17"/>
      <c r="J306" s="17"/>
      <c r="K306" s="17"/>
      <c r="L306" s="17"/>
    </row>
    <row r="307" spans="3:12" x14ac:dyDescent="0.25">
      <c r="C307" s="31">
        <f t="shared" ca="1" si="22"/>
        <v>67.419055743810276</v>
      </c>
      <c r="D307" s="31">
        <f t="shared" ca="1" si="22"/>
        <v>147.9595070799233</v>
      </c>
      <c r="E307" s="32">
        <v>49.549658030409944</v>
      </c>
      <c r="F307" s="32">
        <v>120.04438860162338</v>
      </c>
      <c r="I307" s="17"/>
      <c r="J307" s="17"/>
      <c r="K307" s="17"/>
      <c r="L307" s="17"/>
    </row>
    <row r="308" spans="3:12" x14ac:dyDescent="0.25">
      <c r="C308" s="31">
        <f t="shared" ca="1" si="22"/>
        <v>67.459552432415293</v>
      </c>
      <c r="D308" s="31">
        <f t="shared" ca="1" si="22"/>
        <v>81.81189151720956</v>
      </c>
      <c r="E308" s="32">
        <v>61.764439529494744</v>
      </c>
      <c r="F308" s="32">
        <v>109.52450742211934</v>
      </c>
      <c r="I308" s="17"/>
      <c r="J308" s="17"/>
      <c r="K308" s="17"/>
      <c r="L308" s="17"/>
    </row>
    <row r="309" spans="3:12" x14ac:dyDescent="0.25">
      <c r="C309" s="31">
        <f t="shared" ca="1" si="22"/>
        <v>62.882227386927347</v>
      </c>
      <c r="D309" s="31">
        <f t="shared" ca="1" si="22"/>
        <v>118.97801683182907</v>
      </c>
      <c r="E309" s="32">
        <v>61.238381515970566</v>
      </c>
      <c r="F309" s="32">
        <v>82.658575631383968</v>
      </c>
      <c r="I309" s="17"/>
      <c r="J309" s="17"/>
      <c r="K309" s="17"/>
      <c r="L309" s="17"/>
    </row>
    <row r="310" spans="3:12" x14ac:dyDescent="0.25">
      <c r="C310" s="31">
        <f t="shared" ca="1" si="22"/>
        <v>64.282366451119202</v>
      </c>
      <c r="D310" s="31">
        <f t="shared" ca="1" si="22"/>
        <v>93.213936239510574</v>
      </c>
      <c r="E310" s="32">
        <v>63.225540321910557</v>
      </c>
      <c r="F310" s="32">
        <v>130.77418802776972</v>
      </c>
      <c r="I310" s="17"/>
      <c r="J310" s="17"/>
      <c r="K310" s="17"/>
      <c r="L310" s="17"/>
    </row>
    <row r="311" spans="3:12" x14ac:dyDescent="0.25">
      <c r="C311" s="31">
        <f t="shared" ca="1" si="22"/>
        <v>55.023519448749383</v>
      </c>
      <c r="D311" s="31">
        <f t="shared" ca="1" si="22"/>
        <v>115.18362990538756</v>
      </c>
      <c r="E311" s="32">
        <v>59.787657309050836</v>
      </c>
      <c r="F311" s="32">
        <v>124.79288356268654</v>
      </c>
      <c r="I311" s="17"/>
      <c r="J311" s="17"/>
      <c r="K311" s="17"/>
      <c r="L311" s="17"/>
    </row>
    <row r="312" spans="3:12" x14ac:dyDescent="0.25">
      <c r="C312" s="31">
        <f t="shared" ca="1" si="22"/>
        <v>62.716864117054349</v>
      </c>
      <c r="D312" s="31">
        <f t="shared" ca="1" si="22"/>
        <v>90.973092318356123</v>
      </c>
      <c r="E312" s="32">
        <v>49.502561449108967</v>
      </c>
      <c r="F312" s="32">
        <v>144.61537896513624</v>
      </c>
      <c r="I312" s="17"/>
      <c r="J312" s="17"/>
      <c r="K312" s="17"/>
      <c r="L312" s="17"/>
    </row>
    <row r="313" spans="3:12" x14ac:dyDescent="0.25">
      <c r="C313" s="31">
        <f t="shared" ca="1" si="22"/>
        <v>43.396857539326035</v>
      </c>
      <c r="D313" s="31">
        <f t="shared" ca="1" si="22"/>
        <v>125.48279344917292</v>
      </c>
      <c r="E313" s="32">
        <v>57.623499149719862</v>
      </c>
      <c r="F313" s="32">
        <v>141.21363819397396</v>
      </c>
      <c r="I313" s="17"/>
      <c r="J313" s="17"/>
      <c r="K313" s="17"/>
      <c r="L313" s="17"/>
    </row>
    <row r="314" spans="3:12" x14ac:dyDescent="0.25">
      <c r="C314" s="31">
        <f t="shared" ref="C314:D333" ca="1" si="23">_xlfn.NORM.INV(RAND(),C$4,C$5)</f>
        <v>65.353984804301149</v>
      </c>
      <c r="D314" s="31">
        <f t="shared" ca="1" si="23"/>
        <v>131.01634090898088</v>
      </c>
      <c r="E314" s="32">
        <v>84.460866345730736</v>
      </c>
      <c r="F314" s="32">
        <v>99.433013612689734</v>
      </c>
      <c r="I314" s="17"/>
      <c r="J314" s="17"/>
      <c r="K314" s="17"/>
      <c r="L314" s="17"/>
    </row>
    <row r="315" spans="3:12" x14ac:dyDescent="0.25">
      <c r="C315" s="31">
        <f t="shared" ca="1" si="23"/>
        <v>72.14322642681546</v>
      </c>
      <c r="D315" s="31">
        <f t="shared" ca="1" si="23"/>
        <v>134.02253091228857</v>
      </c>
      <c r="E315" s="32">
        <v>56.730281529639605</v>
      </c>
      <c r="F315" s="32">
        <v>123.45137371779725</v>
      </c>
      <c r="I315" s="17"/>
      <c r="J315" s="17"/>
      <c r="K315" s="17"/>
      <c r="L315" s="17"/>
    </row>
    <row r="316" spans="3:12" x14ac:dyDescent="0.25">
      <c r="C316" s="31">
        <f t="shared" ca="1" si="23"/>
        <v>67.438286490641374</v>
      </c>
      <c r="D316" s="31">
        <f t="shared" ca="1" si="23"/>
        <v>117.45759564539145</v>
      </c>
      <c r="E316" s="32">
        <v>63.443813296120958</v>
      </c>
      <c r="F316" s="32">
        <v>124.75022160622913</v>
      </c>
      <c r="I316" s="17"/>
      <c r="J316" s="17"/>
      <c r="K316" s="17"/>
      <c r="L316" s="17"/>
    </row>
    <row r="317" spans="3:12" x14ac:dyDescent="0.25">
      <c r="C317" s="31">
        <f t="shared" ca="1" si="23"/>
        <v>67.071577111251273</v>
      </c>
      <c r="D317" s="31">
        <f t="shared" ca="1" si="23"/>
        <v>117.60111277045239</v>
      </c>
      <c r="E317" s="32">
        <v>50.66945339205428</v>
      </c>
      <c r="F317" s="32">
        <v>105.89539487061563</v>
      </c>
      <c r="I317" s="17"/>
      <c r="J317" s="17"/>
      <c r="K317" s="17"/>
      <c r="L317" s="17"/>
    </row>
    <row r="318" spans="3:12" x14ac:dyDescent="0.25">
      <c r="C318" s="31">
        <f t="shared" ca="1" si="23"/>
        <v>47.673111667061185</v>
      </c>
      <c r="D318" s="31">
        <f t="shared" ca="1" si="23"/>
        <v>116.36649606267549</v>
      </c>
      <c r="E318" s="32">
        <v>46.057678324211722</v>
      </c>
      <c r="F318" s="32">
        <v>142.89830865458521</v>
      </c>
      <c r="I318" s="17"/>
      <c r="J318" s="17"/>
      <c r="K318" s="17"/>
      <c r="L318" s="17"/>
    </row>
    <row r="319" spans="3:12" x14ac:dyDescent="0.25">
      <c r="C319" s="31">
        <f t="shared" ca="1" si="23"/>
        <v>53.056528898451617</v>
      </c>
      <c r="D319" s="31">
        <f t="shared" ca="1" si="23"/>
        <v>133.91735311234197</v>
      </c>
      <c r="E319" s="32">
        <v>54.122323494703714</v>
      </c>
      <c r="F319" s="32">
        <v>100.01806584047627</v>
      </c>
      <c r="I319" s="17"/>
      <c r="J319" s="17"/>
      <c r="K319" s="17"/>
      <c r="L319" s="17"/>
    </row>
    <row r="320" spans="3:12" x14ac:dyDescent="0.25">
      <c r="C320" s="31">
        <f t="shared" ca="1" si="23"/>
        <v>75.151066980623213</v>
      </c>
      <c r="D320" s="31">
        <f t="shared" ca="1" si="23"/>
        <v>64.280921912475435</v>
      </c>
      <c r="E320" s="32">
        <v>66.117063334978127</v>
      </c>
      <c r="F320" s="32">
        <v>105.64074521324251</v>
      </c>
      <c r="I320" s="17"/>
      <c r="J320" s="17"/>
      <c r="K320" s="17"/>
      <c r="L320" s="17"/>
    </row>
    <row r="321" spans="3:12" x14ac:dyDescent="0.25">
      <c r="C321" s="31">
        <f t="shared" ca="1" si="23"/>
        <v>54.566759436842382</v>
      </c>
      <c r="D321" s="31">
        <f t="shared" ca="1" si="23"/>
        <v>96.001164997672504</v>
      </c>
      <c r="E321" s="32">
        <v>66.914568871970985</v>
      </c>
      <c r="F321" s="32">
        <v>98.215375496129695</v>
      </c>
      <c r="I321" s="17"/>
      <c r="J321" s="17"/>
      <c r="K321" s="17"/>
      <c r="L321" s="17"/>
    </row>
    <row r="322" spans="3:12" x14ac:dyDescent="0.25">
      <c r="C322" s="31">
        <f t="shared" ca="1" si="23"/>
        <v>64.273454730017988</v>
      </c>
      <c r="D322" s="31">
        <f t="shared" ca="1" si="23"/>
        <v>129.8583337611104</v>
      </c>
      <c r="E322" s="32">
        <v>61.519621412897671</v>
      </c>
      <c r="F322" s="32">
        <v>124.47462990843596</v>
      </c>
      <c r="I322" s="17"/>
      <c r="J322" s="17"/>
      <c r="K322" s="17"/>
      <c r="L322" s="17"/>
    </row>
    <row r="323" spans="3:12" x14ac:dyDescent="0.25">
      <c r="C323" s="31">
        <f t="shared" ca="1" si="23"/>
        <v>31.403518682254447</v>
      </c>
      <c r="D323" s="31">
        <f t="shared" ca="1" si="23"/>
        <v>103.28882686002716</v>
      </c>
      <c r="E323" s="32">
        <v>45.299912953801375</v>
      </c>
      <c r="F323" s="32">
        <v>120.74329746963393</v>
      </c>
      <c r="I323" s="17"/>
      <c r="J323" s="17"/>
      <c r="K323" s="17"/>
      <c r="L323" s="17"/>
    </row>
    <row r="324" spans="3:12" x14ac:dyDescent="0.25">
      <c r="C324" s="31">
        <f t="shared" ca="1" si="23"/>
        <v>64.057499187702575</v>
      </c>
      <c r="D324" s="31">
        <f t="shared" ca="1" si="23"/>
        <v>124.97720131579896</v>
      </c>
      <c r="E324" s="32">
        <v>65.130936232245304</v>
      </c>
      <c r="F324" s="32">
        <v>111.80822847245247</v>
      </c>
      <c r="I324" s="17"/>
      <c r="J324" s="17"/>
      <c r="K324" s="17"/>
      <c r="L324" s="17"/>
    </row>
    <row r="325" spans="3:12" x14ac:dyDescent="0.25">
      <c r="C325" s="31">
        <f t="shared" ca="1" si="23"/>
        <v>53.145948334017248</v>
      </c>
      <c r="D325" s="31">
        <f t="shared" ca="1" si="23"/>
        <v>140.12591412187379</v>
      </c>
      <c r="E325" s="32">
        <v>67.726252999530203</v>
      </c>
      <c r="F325" s="32">
        <v>120.09735939932044</v>
      </c>
      <c r="I325" s="17"/>
      <c r="J325" s="17"/>
      <c r="K325" s="17"/>
      <c r="L325" s="17"/>
    </row>
    <row r="326" spans="3:12" x14ac:dyDescent="0.25">
      <c r="C326" s="31">
        <f t="shared" ca="1" si="23"/>
        <v>47.353106685726544</v>
      </c>
      <c r="D326" s="31">
        <f t="shared" ca="1" si="23"/>
        <v>123.88230608512731</v>
      </c>
      <c r="E326" s="32">
        <v>75.651488388239954</v>
      </c>
      <c r="F326" s="32">
        <v>115.44119117793375</v>
      </c>
      <c r="I326" s="17"/>
      <c r="J326" s="17"/>
      <c r="K326" s="17"/>
      <c r="L326" s="17"/>
    </row>
    <row r="327" spans="3:12" x14ac:dyDescent="0.25">
      <c r="C327" s="31">
        <f t="shared" ca="1" si="23"/>
        <v>39.75308571796387</v>
      </c>
      <c r="D327" s="31">
        <f t="shared" ca="1" si="23"/>
        <v>98.947410031910522</v>
      </c>
      <c r="E327" s="32">
        <v>47.755020927047546</v>
      </c>
      <c r="F327" s="32">
        <v>121.93040999604796</v>
      </c>
      <c r="I327" s="17"/>
      <c r="J327" s="17"/>
      <c r="K327" s="17"/>
      <c r="L327" s="17"/>
    </row>
    <row r="328" spans="3:12" x14ac:dyDescent="0.25">
      <c r="C328" s="31">
        <f t="shared" ca="1" si="23"/>
        <v>49.470445586205599</v>
      </c>
      <c r="D328" s="31">
        <f t="shared" ca="1" si="23"/>
        <v>120.20029624139947</v>
      </c>
      <c r="E328" s="32">
        <v>60.685963097456373</v>
      </c>
      <c r="F328" s="32">
        <v>95.556992736865368</v>
      </c>
      <c r="I328" s="17"/>
      <c r="J328" s="17"/>
      <c r="K328" s="17"/>
      <c r="L328" s="17"/>
    </row>
    <row r="329" spans="3:12" x14ac:dyDescent="0.25">
      <c r="C329" s="31">
        <f t="shared" ca="1" si="23"/>
        <v>64.010686953494059</v>
      </c>
      <c r="D329" s="31">
        <f t="shared" ca="1" si="23"/>
        <v>114.40748709782741</v>
      </c>
      <c r="E329" s="32">
        <v>56.974521907186684</v>
      </c>
      <c r="F329" s="32">
        <v>135.71319885791166</v>
      </c>
      <c r="I329" s="17"/>
      <c r="J329" s="17"/>
      <c r="K329" s="17"/>
      <c r="L329" s="17"/>
    </row>
    <row r="330" spans="3:12" x14ac:dyDescent="0.25">
      <c r="C330" s="31">
        <f t="shared" ca="1" si="23"/>
        <v>56.900182326010722</v>
      </c>
      <c r="D330" s="31">
        <f t="shared" ca="1" si="23"/>
        <v>95.223605914598281</v>
      </c>
      <c r="E330" s="32">
        <v>57.037710289506329</v>
      </c>
      <c r="F330" s="32">
        <v>143.43907947339744</v>
      </c>
      <c r="I330" s="17"/>
      <c r="J330" s="17"/>
      <c r="K330" s="17"/>
      <c r="L330" s="17"/>
    </row>
    <row r="331" spans="3:12" x14ac:dyDescent="0.25">
      <c r="C331" s="31">
        <f t="shared" ca="1" si="23"/>
        <v>69.277646100469923</v>
      </c>
      <c r="D331" s="31">
        <f t="shared" ca="1" si="23"/>
        <v>117.97244612942154</v>
      </c>
      <c r="E331" s="32">
        <v>92.015712071100722</v>
      </c>
      <c r="F331" s="32">
        <v>124.78337031270939</v>
      </c>
      <c r="I331" s="17"/>
      <c r="J331" s="17"/>
      <c r="K331" s="17"/>
      <c r="L331" s="17"/>
    </row>
    <row r="332" spans="3:12" x14ac:dyDescent="0.25">
      <c r="C332" s="31">
        <f t="shared" ca="1" si="23"/>
        <v>50.381769953893638</v>
      </c>
      <c r="D332" s="31">
        <f t="shared" ca="1" si="23"/>
        <v>132.74773315763235</v>
      </c>
      <c r="E332" s="32">
        <v>57.249105501994038</v>
      </c>
      <c r="F332" s="32">
        <v>82.093427122370173</v>
      </c>
      <c r="I332" s="17"/>
      <c r="J332" s="17"/>
      <c r="K332" s="17"/>
      <c r="L332" s="17"/>
    </row>
    <row r="333" spans="3:12" x14ac:dyDescent="0.25">
      <c r="C333" s="31">
        <f t="shared" ca="1" si="23"/>
        <v>42.410052315023421</v>
      </c>
      <c r="D333" s="31">
        <f t="shared" ca="1" si="23"/>
        <v>125.61171182922399</v>
      </c>
      <c r="E333" s="32">
        <v>53.194073747895736</v>
      </c>
      <c r="F333" s="32">
        <v>116.83558568893949</v>
      </c>
      <c r="I333" s="17"/>
      <c r="J333" s="17"/>
      <c r="K333" s="17"/>
      <c r="L333" s="17"/>
    </row>
    <row r="334" spans="3:12" x14ac:dyDescent="0.25">
      <c r="C334" s="31">
        <f t="shared" ref="C334:D353" ca="1" si="24">_xlfn.NORM.INV(RAND(),C$4,C$5)</f>
        <v>55.112645325327101</v>
      </c>
      <c r="D334" s="31">
        <f t="shared" ca="1" si="24"/>
        <v>110.29959164235001</v>
      </c>
      <c r="E334" s="32">
        <v>66.462426050094308</v>
      </c>
      <c r="F334" s="32">
        <v>109.78703720686903</v>
      </c>
      <c r="I334" s="17"/>
      <c r="J334" s="17"/>
      <c r="K334" s="17"/>
      <c r="L334" s="17"/>
    </row>
    <row r="335" spans="3:12" x14ac:dyDescent="0.25">
      <c r="C335" s="31">
        <f t="shared" ca="1" si="24"/>
        <v>60.29930455648833</v>
      </c>
      <c r="D335" s="31">
        <f t="shared" ca="1" si="24"/>
        <v>147.69037067990672</v>
      </c>
      <c r="E335" s="32">
        <v>47.151152377609876</v>
      </c>
      <c r="F335" s="32">
        <v>145.80820956993477</v>
      </c>
      <c r="I335" s="17"/>
      <c r="J335" s="17"/>
      <c r="K335" s="17"/>
      <c r="L335" s="17"/>
    </row>
    <row r="336" spans="3:12" x14ac:dyDescent="0.25">
      <c r="C336" s="31">
        <f t="shared" ca="1" si="24"/>
        <v>33.380044314572388</v>
      </c>
      <c r="D336" s="31">
        <f t="shared" ca="1" si="24"/>
        <v>107.10767643844721</v>
      </c>
      <c r="E336" s="32">
        <v>63.818873163252761</v>
      </c>
      <c r="F336" s="32">
        <v>126.47035204432598</v>
      </c>
      <c r="I336" s="17"/>
      <c r="J336" s="17"/>
      <c r="K336" s="17"/>
      <c r="L336" s="17"/>
    </row>
    <row r="337" spans="3:12" x14ac:dyDescent="0.25">
      <c r="C337" s="31">
        <f t="shared" ca="1" si="24"/>
        <v>57.790272011415581</v>
      </c>
      <c r="D337" s="31">
        <f t="shared" ca="1" si="24"/>
        <v>139.02526722979599</v>
      </c>
      <c r="E337" s="32">
        <v>49.29513091705094</v>
      </c>
      <c r="F337" s="32">
        <v>105.95183848559496</v>
      </c>
      <c r="I337" s="17"/>
      <c r="J337" s="17"/>
      <c r="K337" s="17"/>
      <c r="L337" s="17"/>
    </row>
    <row r="338" spans="3:12" x14ac:dyDescent="0.25">
      <c r="C338" s="31">
        <f t="shared" ca="1" si="24"/>
        <v>51.414257011093895</v>
      </c>
      <c r="D338" s="31">
        <f t="shared" ca="1" si="24"/>
        <v>138.39365615280514</v>
      </c>
      <c r="E338" s="32">
        <v>59.210689767859648</v>
      </c>
      <c r="F338" s="32">
        <v>114.85323115900754</v>
      </c>
      <c r="I338" s="17"/>
      <c r="J338" s="17"/>
      <c r="K338" s="17"/>
      <c r="L338" s="17"/>
    </row>
    <row r="339" spans="3:12" x14ac:dyDescent="0.25">
      <c r="C339" s="31">
        <f t="shared" ca="1" si="24"/>
        <v>58.142613221134461</v>
      </c>
      <c r="D339" s="31">
        <f t="shared" ca="1" si="24"/>
        <v>87.097316040233736</v>
      </c>
      <c r="E339" s="32">
        <v>40.054938772657025</v>
      </c>
      <c r="F339" s="32">
        <v>87.698936993563592</v>
      </c>
      <c r="I339" s="17"/>
      <c r="J339" s="17"/>
      <c r="K339" s="17"/>
      <c r="L339" s="17"/>
    </row>
    <row r="340" spans="3:12" x14ac:dyDescent="0.25">
      <c r="C340" s="31">
        <f t="shared" ca="1" si="24"/>
        <v>60.098432977913674</v>
      </c>
      <c r="D340" s="31">
        <f t="shared" ca="1" si="24"/>
        <v>75.184071548989039</v>
      </c>
      <c r="E340" s="32">
        <v>65.188114606156802</v>
      </c>
      <c r="F340" s="32">
        <v>135.9805299918379</v>
      </c>
      <c r="I340" s="17"/>
      <c r="J340" s="17"/>
      <c r="K340" s="17"/>
      <c r="L340" s="17"/>
    </row>
    <row r="341" spans="3:12" x14ac:dyDescent="0.25">
      <c r="C341" s="31">
        <f t="shared" ca="1" si="24"/>
        <v>66.329582534238455</v>
      </c>
      <c r="D341" s="31">
        <f t="shared" ca="1" si="24"/>
        <v>125.80326979040605</v>
      </c>
      <c r="E341" s="32">
        <v>53.957801452292045</v>
      </c>
      <c r="F341" s="32">
        <v>111.59342067756519</v>
      </c>
      <c r="I341" s="17"/>
      <c r="J341" s="17"/>
      <c r="K341" s="17"/>
      <c r="L341" s="17"/>
    </row>
    <row r="342" spans="3:12" x14ac:dyDescent="0.25">
      <c r="C342" s="31">
        <f t="shared" ca="1" si="24"/>
        <v>54.739032963552077</v>
      </c>
      <c r="D342" s="31">
        <f t="shared" ca="1" si="24"/>
        <v>110.23613130050811</v>
      </c>
      <c r="E342" s="32">
        <v>71.577415641080307</v>
      </c>
      <c r="F342" s="32">
        <v>129.10459151944684</v>
      </c>
      <c r="I342" s="17"/>
      <c r="J342" s="17"/>
      <c r="K342" s="17"/>
      <c r="L342" s="17"/>
    </row>
    <row r="343" spans="3:12" x14ac:dyDescent="0.25">
      <c r="C343" s="31">
        <f t="shared" ca="1" si="24"/>
        <v>64.741574898491521</v>
      </c>
      <c r="D343" s="31">
        <f t="shared" ca="1" si="24"/>
        <v>141.41347806461692</v>
      </c>
      <c r="E343" s="32">
        <v>77.191724920082365</v>
      </c>
      <c r="F343" s="32">
        <v>131.47889681409464</v>
      </c>
      <c r="I343" s="17"/>
      <c r="J343" s="17"/>
      <c r="K343" s="17"/>
      <c r="L343" s="17"/>
    </row>
    <row r="344" spans="3:12" x14ac:dyDescent="0.25">
      <c r="C344" s="31">
        <f t="shared" ca="1" si="24"/>
        <v>48.486474714732609</v>
      </c>
      <c r="D344" s="31">
        <f t="shared" ca="1" si="24"/>
        <v>91.953540885485737</v>
      </c>
      <c r="E344" s="32">
        <v>60.418600752395506</v>
      </c>
      <c r="F344" s="32">
        <v>126.54749638278054</v>
      </c>
      <c r="I344" s="17"/>
      <c r="J344" s="17"/>
      <c r="K344" s="17"/>
      <c r="L344" s="17"/>
    </row>
    <row r="345" spans="3:12" x14ac:dyDescent="0.25">
      <c r="C345" s="31">
        <f t="shared" ca="1" si="24"/>
        <v>49.699761128720084</v>
      </c>
      <c r="D345" s="31">
        <f t="shared" ca="1" si="24"/>
        <v>126.15854444379643</v>
      </c>
      <c r="E345" s="32">
        <v>66.713399065804737</v>
      </c>
      <c r="F345" s="32">
        <v>99.490739787068861</v>
      </c>
      <c r="I345" s="17"/>
      <c r="J345" s="17"/>
      <c r="K345" s="17"/>
      <c r="L345" s="17"/>
    </row>
    <row r="346" spans="3:12" x14ac:dyDescent="0.25">
      <c r="C346" s="31">
        <f t="shared" ca="1" si="24"/>
        <v>64.006659695848185</v>
      </c>
      <c r="D346" s="31">
        <f t="shared" ca="1" si="24"/>
        <v>129.91127562787818</v>
      </c>
      <c r="E346" s="32">
        <v>52.292449160980212</v>
      </c>
      <c r="F346" s="32">
        <v>101.4606047716622</v>
      </c>
      <c r="I346" s="17"/>
      <c r="J346" s="17"/>
      <c r="K346" s="17"/>
      <c r="L346" s="17"/>
    </row>
    <row r="347" spans="3:12" x14ac:dyDescent="0.25">
      <c r="C347" s="31">
        <f t="shared" ca="1" si="24"/>
        <v>56.827616833437652</v>
      </c>
      <c r="D347" s="31">
        <f t="shared" ca="1" si="24"/>
        <v>93.556573244604593</v>
      </c>
      <c r="E347" s="32">
        <v>71.253990854159142</v>
      </c>
      <c r="F347" s="32">
        <v>118.93555010081062</v>
      </c>
      <c r="I347" s="17"/>
      <c r="J347" s="17"/>
      <c r="K347" s="17"/>
      <c r="L347" s="17"/>
    </row>
    <row r="348" spans="3:12" x14ac:dyDescent="0.25">
      <c r="C348" s="31">
        <f t="shared" ca="1" si="24"/>
        <v>76.771783156119</v>
      </c>
      <c r="D348" s="31">
        <f t="shared" ca="1" si="24"/>
        <v>166.19258531339324</v>
      </c>
      <c r="E348" s="32">
        <v>54.259075249213794</v>
      </c>
      <c r="F348" s="32">
        <v>161.86144847946392</v>
      </c>
      <c r="I348" s="17"/>
      <c r="J348" s="17"/>
      <c r="K348" s="17"/>
      <c r="L348" s="17"/>
    </row>
    <row r="349" spans="3:12" x14ac:dyDescent="0.25">
      <c r="C349" s="31">
        <f t="shared" ca="1" si="24"/>
        <v>60.329505070902535</v>
      </c>
      <c r="D349" s="31">
        <f t="shared" ca="1" si="24"/>
        <v>114.36371491325946</v>
      </c>
      <c r="E349" s="32">
        <v>69.051865603437165</v>
      </c>
      <c r="F349" s="32">
        <v>132.92117515158884</v>
      </c>
      <c r="I349" s="17"/>
      <c r="J349" s="17"/>
      <c r="K349" s="17"/>
      <c r="L349" s="17"/>
    </row>
    <row r="350" spans="3:12" x14ac:dyDescent="0.25">
      <c r="C350" s="31">
        <f t="shared" ca="1" si="24"/>
        <v>69.623829742313333</v>
      </c>
      <c r="D350" s="31">
        <f t="shared" ca="1" si="24"/>
        <v>121.96021509388021</v>
      </c>
      <c r="E350" s="32">
        <v>60.308899386677076</v>
      </c>
      <c r="F350" s="32">
        <v>124.94470730751935</v>
      </c>
      <c r="I350" s="17"/>
      <c r="J350" s="17"/>
      <c r="K350" s="17"/>
      <c r="L350" s="17"/>
    </row>
    <row r="351" spans="3:12" x14ac:dyDescent="0.25">
      <c r="C351" s="31">
        <f t="shared" ca="1" si="24"/>
        <v>47.875043361157495</v>
      </c>
      <c r="D351" s="31">
        <f t="shared" ca="1" si="24"/>
        <v>90.010486456031288</v>
      </c>
      <c r="E351" s="32">
        <v>40.081552631884747</v>
      </c>
      <c r="F351" s="32">
        <v>128.44388127995674</v>
      </c>
      <c r="I351" s="17"/>
      <c r="J351" s="17"/>
      <c r="K351" s="17"/>
      <c r="L351" s="17"/>
    </row>
    <row r="352" spans="3:12" x14ac:dyDescent="0.25">
      <c r="C352" s="31">
        <f t="shared" ca="1" si="24"/>
        <v>54.886973402807207</v>
      </c>
      <c r="D352" s="31">
        <f t="shared" ca="1" si="24"/>
        <v>83.717024963038412</v>
      </c>
      <c r="E352" s="32">
        <v>55.961775369860568</v>
      </c>
      <c r="F352" s="32">
        <v>131.1911443526831</v>
      </c>
      <c r="I352" s="17"/>
      <c r="J352" s="17"/>
      <c r="K352" s="17"/>
      <c r="L352" s="17"/>
    </row>
    <row r="353" spans="3:12" x14ac:dyDescent="0.25">
      <c r="C353" s="31">
        <f t="shared" ca="1" si="24"/>
        <v>55.891627518005969</v>
      </c>
      <c r="D353" s="31">
        <f t="shared" ca="1" si="24"/>
        <v>94.149321913265936</v>
      </c>
      <c r="E353" s="32">
        <v>56.949311451086395</v>
      </c>
      <c r="F353" s="32">
        <v>126.78239424566664</v>
      </c>
      <c r="I353" s="17"/>
      <c r="J353" s="17"/>
      <c r="K353" s="17"/>
      <c r="L353" s="17"/>
    </row>
    <row r="354" spans="3:12" x14ac:dyDescent="0.25">
      <c r="C354" s="31">
        <f t="shared" ref="C354:D373" ca="1" si="25">_xlfn.NORM.INV(RAND(),C$4,C$5)</f>
        <v>82.64074984601487</v>
      </c>
      <c r="D354" s="31">
        <f t="shared" ca="1" si="25"/>
        <v>119.16245958667311</v>
      </c>
      <c r="E354" s="32">
        <v>64.106163351499632</v>
      </c>
      <c r="F354" s="32">
        <v>117.59685580455863</v>
      </c>
      <c r="I354" s="17"/>
      <c r="J354" s="17"/>
      <c r="K354" s="17"/>
      <c r="L354" s="17"/>
    </row>
    <row r="355" spans="3:12" x14ac:dyDescent="0.25">
      <c r="C355" s="31">
        <f t="shared" ca="1" si="25"/>
        <v>69.441806704124431</v>
      </c>
      <c r="D355" s="31">
        <f t="shared" ca="1" si="25"/>
        <v>95.732361903901989</v>
      </c>
      <c r="E355" s="32">
        <v>44.271832367002254</v>
      </c>
      <c r="F355" s="32">
        <v>142.32929143385661</v>
      </c>
      <c r="I355" s="17"/>
      <c r="J355" s="17"/>
      <c r="K355" s="17"/>
      <c r="L355" s="17"/>
    </row>
    <row r="356" spans="3:12" x14ac:dyDescent="0.25">
      <c r="C356" s="31">
        <f t="shared" ca="1" si="25"/>
        <v>55.126399260024861</v>
      </c>
      <c r="D356" s="31">
        <f t="shared" ca="1" si="25"/>
        <v>117.13812031558392</v>
      </c>
      <c r="E356" s="32">
        <v>72.04755470579623</v>
      </c>
      <c r="F356" s="32">
        <v>118.23459116700595</v>
      </c>
      <c r="I356" s="17"/>
      <c r="J356" s="17"/>
      <c r="K356" s="17"/>
      <c r="L356" s="17"/>
    </row>
    <row r="357" spans="3:12" x14ac:dyDescent="0.25">
      <c r="C357" s="31">
        <f t="shared" ca="1" si="25"/>
        <v>74.802459388387348</v>
      </c>
      <c r="D357" s="31">
        <f t="shared" ca="1" si="25"/>
        <v>135.80250633623822</v>
      </c>
      <c r="E357" s="32">
        <v>49.012507092427029</v>
      </c>
      <c r="F357" s="32">
        <v>135.48241469050194</v>
      </c>
      <c r="I357" s="17"/>
      <c r="J357" s="17"/>
      <c r="K357" s="17"/>
      <c r="L357" s="17"/>
    </row>
    <row r="358" spans="3:12" x14ac:dyDescent="0.25">
      <c r="C358" s="31">
        <f t="shared" ca="1" si="25"/>
        <v>74.383747449015246</v>
      </c>
      <c r="D358" s="31">
        <f t="shared" ca="1" si="25"/>
        <v>117.28883580962963</v>
      </c>
      <c r="E358" s="32">
        <v>42.902108494064322</v>
      </c>
      <c r="F358" s="32">
        <v>106.82535455555877</v>
      </c>
      <c r="I358" s="17"/>
      <c r="J358" s="17"/>
      <c r="K358" s="17"/>
      <c r="L358" s="17"/>
    </row>
    <row r="359" spans="3:12" x14ac:dyDescent="0.25">
      <c r="C359" s="31">
        <f t="shared" ca="1" si="25"/>
        <v>61.441745297804559</v>
      </c>
      <c r="D359" s="31">
        <f t="shared" ca="1" si="25"/>
        <v>156.25061701321994</v>
      </c>
      <c r="E359" s="32">
        <v>37.142435832875876</v>
      </c>
      <c r="F359" s="32">
        <v>108.04406844933737</v>
      </c>
      <c r="I359" s="17"/>
      <c r="J359" s="17"/>
      <c r="K359" s="17"/>
      <c r="L359" s="17"/>
    </row>
    <row r="360" spans="3:12" x14ac:dyDescent="0.25">
      <c r="C360" s="31">
        <f t="shared" ca="1" si="25"/>
        <v>49.714335117783676</v>
      </c>
      <c r="D360" s="31">
        <f t="shared" ca="1" si="25"/>
        <v>131.2433077684432</v>
      </c>
      <c r="E360" s="32">
        <v>62.252254419903018</v>
      </c>
      <c r="F360" s="32">
        <v>94.192945469867311</v>
      </c>
      <c r="I360" s="17"/>
      <c r="J360" s="17"/>
      <c r="K360" s="17"/>
      <c r="L360" s="17"/>
    </row>
    <row r="361" spans="3:12" x14ac:dyDescent="0.25">
      <c r="C361" s="31">
        <f t="shared" ca="1" si="25"/>
        <v>53.582505261309883</v>
      </c>
      <c r="D361" s="31">
        <f t="shared" ca="1" si="25"/>
        <v>114.77919547557464</v>
      </c>
      <c r="E361" s="32">
        <v>61.672483920752086</v>
      </c>
      <c r="F361" s="32">
        <v>110.79426458992057</v>
      </c>
      <c r="I361" s="17"/>
      <c r="J361" s="17"/>
      <c r="K361" s="17"/>
      <c r="L361" s="17"/>
    </row>
    <row r="362" spans="3:12" x14ac:dyDescent="0.25">
      <c r="C362" s="31">
        <f t="shared" ca="1" si="25"/>
        <v>65.883941236680059</v>
      </c>
      <c r="D362" s="31">
        <f t="shared" ca="1" si="25"/>
        <v>159.45195196569014</v>
      </c>
      <c r="E362" s="32">
        <v>72.365570428262458</v>
      </c>
      <c r="F362" s="32">
        <v>115.49464033975697</v>
      </c>
      <c r="I362" s="17"/>
      <c r="J362" s="17"/>
      <c r="K362" s="17"/>
      <c r="L362" s="17"/>
    </row>
    <row r="363" spans="3:12" x14ac:dyDescent="0.25">
      <c r="C363" s="31">
        <f t="shared" ca="1" si="25"/>
        <v>40.980983723443686</v>
      </c>
      <c r="D363" s="31">
        <f t="shared" ca="1" si="25"/>
        <v>92.102201831128554</v>
      </c>
      <c r="E363" s="32">
        <v>60.419014889094882</v>
      </c>
      <c r="F363" s="32">
        <v>127.20084190146261</v>
      </c>
      <c r="I363" s="17"/>
      <c r="J363" s="17"/>
      <c r="K363" s="17"/>
      <c r="L363" s="17"/>
    </row>
    <row r="364" spans="3:12" x14ac:dyDescent="0.25">
      <c r="C364" s="31">
        <f t="shared" ca="1" si="25"/>
        <v>68.009798510775411</v>
      </c>
      <c r="D364" s="31">
        <f t="shared" ca="1" si="25"/>
        <v>98.393665292956683</v>
      </c>
      <c r="E364" s="32">
        <v>64.706433498144932</v>
      </c>
      <c r="F364" s="32">
        <v>110.9459138657875</v>
      </c>
      <c r="I364" s="17"/>
      <c r="J364" s="17"/>
      <c r="K364" s="17"/>
      <c r="L364" s="17"/>
    </row>
    <row r="365" spans="3:12" x14ac:dyDescent="0.25">
      <c r="C365" s="31">
        <f t="shared" ca="1" si="25"/>
        <v>39.121697109764426</v>
      </c>
      <c r="D365" s="31">
        <f t="shared" ca="1" si="25"/>
        <v>95.286275787605931</v>
      </c>
      <c r="E365" s="32">
        <v>62.20609692116119</v>
      </c>
      <c r="F365" s="32">
        <v>119.63527544917341</v>
      </c>
      <c r="I365" s="17"/>
      <c r="J365" s="17"/>
      <c r="K365" s="17"/>
      <c r="L365" s="17"/>
    </row>
    <row r="366" spans="3:12" x14ac:dyDescent="0.25">
      <c r="C366" s="31">
        <f t="shared" ca="1" si="25"/>
        <v>67.336656386500152</v>
      </c>
      <c r="D366" s="31">
        <f t="shared" ca="1" si="25"/>
        <v>95.125101614563434</v>
      </c>
      <c r="E366" s="32">
        <v>64.311685996048126</v>
      </c>
      <c r="F366" s="32">
        <v>133.28425442474972</v>
      </c>
      <c r="I366" s="17"/>
      <c r="J366" s="17"/>
      <c r="K366" s="17"/>
      <c r="L366" s="17"/>
    </row>
    <row r="367" spans="3:12" x14ac:dyDescent="0.25">
      <c r="C367" s="31">
        <f t="shared" ca="1" si="25"/>
        <v>53.173317023728373</v>
      </c>
      <c r="D367" s="31">
        <f t="shared" ca="1" si="25"/>
        <v>106.76857514247841</v>
      </c>
      <c r="E367" s="32">
        <v>88.157813504586471</v>
      </c>
      <c r="F367" s="32">
        <v>94.381897838139807</v>
      </c>
      <c r="I367" s="17"/>
      <c r="J367" s="17"/>
      <c r="K367" s="17"/>
      <c r="L367" s="17"/>
    </row>
    <row r="368" spans="3:12" x14ac:dyDescent="0.25">
      <c r="C368" s="31">
        <f t="shared" ca="1" si="25"/>
        <v>49.470822823666154</v>
      </c>
      <c r="D368" s="31">
        <f t="shared" ca="1" si="25"/>
        <v>130.05235621909671</v>
      </c>
      <c r="E368" s="32">
        <v>65.42850423974015</v>
      </c>
      <c r="F368" s="32">
        <v>130.81852988719558</v>
      </c>
      <c r="I368" s="17"/>
      <c r="J368" s="17"/>
      <c r="K368" s="17"/>
      <c r="L368" s="17"/>
    </row>
    <row r="369" spans="3:12" x14ac:dyDescent="0.25">
      <c r="C369" s="31">
        <f t="shared" ca="1" si="25"/>
        <v>65.988775144726858</v>
      </c>
      <c r="D369" s="31">
        <f t="shared" ca="1" si="25"/>
        <v>98.366599161072713</v>
      </c>
      <c r="E369" s="32">
        <v>71.341648461458817</v>
      </c>
      <c r="F369" s="32">
        <v>70.073169913915507</v>
      </c>
      <c r="I369" s="17"/>
      <c r="J369" s="17"/>
      <c r="K369" s="17"/>
      <c r="L369" s="17"/>
    </row>
    <row r="370" spans="3:12" x14ac:dyDescent="0.25">
      <c r="C370" s="31">
        <f t="shared" ca="1" si="25"/>
        <v>61.797958712638959</v>
      </c>
      <c r="D370" s="31">
        <f t="shared" ca="1" si="25"/>
        <v>94.496690911613484</v>
      </c>
      <c r="E370" s="32">
        <v>54.742414770771354</v>
      </c>
      <c r="F370" s="32">
        <v>94.932370723551003</v>
      </c>
      <c r="I370" s="17"/>
      <c r="J370" s="17"/>
      <c r="K370" s="17"/>
      <c r="L370" s="17"/>
    </row>
    <row r="371" spans="3:12" x14ac:dyDescent="0.25">
      <c r="C371" s="31">
        <f t="shared" ca="1" si="25"/>
        <v>49.355747357496242</v>
      </c>
      <c r="D371" s="31">
        <f t="shared" ca="1" si="25"/>
        <v>95.992231186125167</v>
      </c>
      <c r="E371" s="32">
        <v>64.206212012696781</v>
      </c>
      <c r="F371" s="32">
        <v>111.84295965366155</v>
      </c>
      <c r="I371" s="17"/>
      <c r="J371" s="17"/>
      <c r="K371" s="17"/>
      <c r="L371" s="17"/>
    </row>
    <row r="372" spans="3:12" x14ac:dyDescent="0.25">
      <c r="C372" s="31">
        <f t="shared" ca="1" si="25"/>
        <v>74.817494202702377</v>
      </c>
      <c r="D372" s="31">
        <f t="shared" ca="1" si="25"/>
        <v>105.95304640438374</v>
      </c>
      <c r="E372" s="32">
        <v>68.12455545229426</v>
      </c>
      <c r="F372" s="32">
        <v>120.65996542306974</v>
      </c>
      <c r="I372" s="17"/>
      <c r="J372" s="17"/>
      <c r="K372" s="17"/>
      <c r="L372" s="17"/>
    </row>
    <row r="373" spans="3:12" x14ac:dyDescent="0.25">
      <c r="C373" s="31">
        <f t="shared" ca="1" si="25"/>
        <v>76.995993342788182</v>
      </c>
      <c r="D373" s="31">
        <f t="shared" ca="1" si="25"/>
        <v>130.82227942661319</v>
      </c>
      <c r="E373" s="32">
        <v>71.56941530899681</v>
      </c>
      <c r="F373" s="32">
        <v>115.83021493106538</v>
      </c>
      <c r="I373" s="17"/>
      <c r="J373" s="17"/>
      <c r="K373" s="17"/>
      <c r="L373" s="17"/>
    </row>
    <row r="374" spans="3:12" x14ac:dyDescent="0.25">
      <c r="C374" s="31">
        <f t="shared" ref="C374:D393" ca="1" si="26">_xlfn.NORM.INV(RAND(),C$4,C$5)</f>
        <v>68.295248745769513</v>
      </c>
      <c r="D374" s="31">
        <f t="shared" ca="1" si="26"/>
        <v>78.880996414758627</v>
      </c>
      <c r="E374" s="32">
        <v>73.568812255245717</v>
      </c>
      <c r="F374" s="32">
        <v>121.06287318142967</v>
      </c>
      <c r="I374" s="17"/>
      <c r="J374" s="17"/>
      <c r="K374" s="17"/>
      <c r="L374" s="17"/>
    </row>
    <row r="375" spans="3:12" x14ac:dyDescent="0.25">
      <c r="C375" s="31">
        <f t="shared" ca="1" si="26"/>
        <v>45.852870832174716</v>
      </c>
      <c r="D375" s="31">
        <f t="shared" ca="1" si="26"/>
        <v>91.416194715563392</v>
      </c>
      <c r="E375" s="32">
        <v>56.045253585521401</v>
      </c>
      <c r="F375" s="32">
        <v>137.33596858646405</v>
      </c>
      <c r="I375" s="17"/>
      <c r="J375" s="17"/>
      <c r="K375" s="17"/>
      <c r="L375" s="17"/>
    </row>
    <row r="376" spans="3:12" x14ac:dyDescent="0.25">
      <c r="C376" s="31">
        <f t="shared" ca="1" si="26"/>
        <v>63.063690832108819</v>
      </c>
      <c r="D376" s="31">
        <f t="shared" ca="1" si="26"/>
        <v>107.89342013708828</v>
      </c>
      <c r="E376" s="32">
        <v>58.105978852244235</v>
      </c>
      <c r="F376" s="32">
        <v>113.84322396721815</v>
      </c>
      <c r="I376" s="17"/>
      <c r="J376" s="17"/>
      <c r="K376" s="17"/>
      <c r="L376" s="17"/>
    </row>
    <row r="377" spans="3:12" x14ac:dyDescent="0.25">
      <c r="C377" s="31">
        <f t="shared" ca="1" si="26"/>
        <v>69.485721493369624</v>
      </c>
      <c r="D377" s="31">
        <f t="shared" ca="1" si="26"/>
        <v>156.95899622993434</v>
      </c>
      <c r="E377" s="32">
        <v>65.830453367480331</v>
      </c>
      <c r="F377" s="32">
        <v>126.03884613130766</v>
      </c>
      <c r="I377" s="17"/>
      <c r="J377" s="17"/>
      <c r="K377" s="17"/>
      <c r="L377" s="17"/>
    </row>
    <row r="378" spans="3:12" x14ac:dyDescent="0.25">
      <c r="C378" s="31">
        <f t="shared" ca="1" si="26"/>
        <v>37.000374982555911</v>
      </c>
      <c r="D378" s="31">
        <f t="shared" ca="1" si="26"/>
        <v>104.95637278365551</v>
      </c>
      <c r="E378" s="32">
        <v>72.230653367067376</v>
      </c>
      <c r="F378" s="32">
        <v>92.182350774264449</v>
      </c>
      <c r="I378" s="17"/>
      <c r="J378" s="17"/>
      <c r="K378" s="17"/>
      <c r="L378" s="17"/>
    </row>
    <row r="379" spans="3:12" x14ac:dyDescent="0.25">
      <c r="C379" s="31">
        <f t="shared" ca="1" si="26"/>
        <v>71.009278933811032</v>
      </c>
      <c r="D379" s="31">
        <f t="shared" ca="1" si="26"/>
        <v>92.675721109081479</v>
      </c>
      <c r="E379" s="32">
        <v>60.37474423278136</v>
      </c>
      <c r="F379" s="32">
        <v>117.18867517747113</v>
      </c>
      <c r="I379" s="17"/>
      <c r="J379" s="17"/>
      <c r="K379" s="17"/>
      <c r="L379" s="17"/>
    </row>
    <row r="380" spans="3:12" x14ac:dyDescent="0.25">
      <c r="C380" s="31">
        <f t="shared" ca="1" si="26"/>
        <v>63.351621924608686</v>
      </c>
      <c r="D380" s="31">
        <f t="shared" ca="1" si="26"/>
        <v>116.67781058515985</v>
      </c>
      <c r="E380" s="32">
        <v>61.214816834881788</v>
      </c>
      <c r="F380" s="32">
        <v>133.01235619639988</v>
      </c>
      <c r="I380" s="17"/>
      <c r="J380" s="17"/>
      <c r="K380" s="17"/>
      <c r="L380" s="17"/>
    </row>
    <row r="381" spans="3:12" x14ac:dyDescent="0.25">
      <c r="C381" s="31">
        <f t="shared" ca="1" si="26"/>
        <v>47.636139389304105</v>
      </c>
      <c r="D381" s="31">
        <f t="shared" ca="1" si="26"/>
        <v>84.751364320077329</v>
      </c>
      <c r="E381" s="32">
        <v>82.727189410993901</v>
      </c>
      <c r="F381" s="32">
        <v>112.03163645831994</v>
      </c>
      <c r="I381" s="17"/>
      <c r="J381" s="17"/>
      <c r="K381" s="17"/>
      <c r="L381" s="17"/>
    </row>
    <row r="382" spans="3:12" x14ac:dyDescent="0.25">
      <c r="C382" s="31">
        <f t="shared" ca="1" si="26"/>
        <v>57.348903131800149</v>
      </c>
      <c r="D382" s="31">
        <f t="shared" ca="1" si="26"/>
        <v>125.14357755807903</v>
      </c>
      <c r="E382" s="32">
        <v>76.482447257960018</v>
      </c>
      <c r="F382" s="32">
        <v>152.78777925151348</v>
      </c>
      <c r="I382" s="17"/>
      <c r="J382" s="17"/>
      <c r="K382" s="17"/>
      <c r="L382" s="17"/>
    </row>
    <row r="383" spans="3:12" x14ac:dyDescent="0.25">
      <c r="C383" s="31">
        <f t="shared" ca="1" si="26"/>
        <v>73.813208698582571</v>
      </c>
      <c r="D383" s="31">
        <f t="shared" ca="1" si="26"/>
        <v>111.74086569617</v>
      </c>
      <c r="E383" s="32">
        <v>58.727133658964206</v>
      </c>
      <c r="F383" s="32">
        <v>128.4653377320677</v>
      </c>
      <c r="I383" s="17"/>
      <c r="J383" s="17"/>
      <c r="K383" s="17"/>
      <c r="L383" s="17"/>
    </row>
    <row r="384" spans="3:12" x14ac:dyDescent="0.25">
      <c r="C384" s="31">
        <f t="shared" ca="1" si="26"/>
        <v>74.188467871619309</v>
      </c>
      <c r="D384" s="31">
        <f t="shared" ca="1" si="26"/>
        <v>108.07715170185037</v>
      </c>
      <c r="E384" s="32">
        <v>54.007381299482788</v>
      </c>
      <c r="F384" s="32">
        <v>100.0844125216055</v>
      </c>
      <c r="I384" s="17"/>
      <c r="J384" s="17"/>
      <c r="K384" s="17"/>
      <c r="L384" s="17"/>
    </row>
    <row r="385" spans="3:12" x14ac:dyDescent="0.25">
      <c r="C385" s="31">
        <f t="shared" ca="1" si="26"/>
        <v>48.650377426450049</v>
      </c>
      <c r="D385" s="31">
        <f t="shared" ca="1" si="26"/>
        <v>123.17668502041943</v>
      </c>
      <c r="E385" s="32">
        <v>56.684536663923922</v>
      </c>
      <c r="F385" s="32">
        <v>90.181577917682148</v>
      </c>
      <c r="I385" s="17"/>
      <c r="J385" s="17"/>
      <c r="K385" s="17"/>
      <c r="L385" s="17"/>
    </row>
    <row r="386" spans="3:12" x14ac:dyDescent="0.25">
      <c r="C386" s="31">
        <f t="shared" ca="1" si="26"/>
        <v>83.016852628023173</v>
      </c>
      <c r="D386" s="31">
        <f t="shared" ca="1" si="26"/>
        <v>114.68486427108648</v>
      </c>
      <c r="E386" s="32">
        <v>64.980284376535977</v>
      </c>
      <c r="F386" s="32">
        <v>111.65209217148477</v>
      </c>
      <c r="I386" s="17"/>
      <c r="J386" s="17"/>
      <c r="K386" s="17"/>
      <c r="L386" s="17"/>
    </row>
    <row r="387" spans="3:12" x14ac:dyDescent="0.25">
      <c r="C387" s="31">
        <f t="shared" ca="1" si="26"/>
        <v>57.550816241463764</v>
      </c>
      <c r="D387" s="31">
        <f t="shared" ca="1" si="26"/>
        <v>82.144940162593599</v>
      </c>
      <c r="E387" s="32">
        <v>33.78293871248232</v>
      </c>
      <c r="F387" s="32">
        <v>144.70023596847875</v>
      </c>
      <c r="I387" s="17"/>
      <c r="J387" s="17"/>
      <c r="K387" s="17"/>
      <c r="L387" s="17"/>
    </row>
    <row r="388" spans="3:12" x14ac:dyDescent="0.25">
      <c r="C388" s="31">
        <f t="shared" ca="1" si="26"/>
        <v>67.638073607844291</v>
      </c>
      <c r="D388" s="31">
        <f t="shared" ca="1" si="26"/>
        <v>122.12389014379613</v>
      </c>
      <c r="E388" s="32">
        <v>71.295678102204789</v>
      </c>
      <c r="F388" s="32">
        <v>102.72467692841551</v>
      </c>
      <c r="I388" s="17"/>
      <c r="J388" s="17"/>
      <c r="K388" s="17"/>
      <c r="L388" s="17"/>
    </row>
    <row r="389" spans="3:12" x14ac:dyDescent="0.25">
      <c r="C389" s="31">
        <f t="shared" ca="1" si="26"/>
        <v>58.845992972607135</v>
      </c>
      <c r="D389" s="31">
        <f t="shared" ca="1" si="26"/>
        <v>118.4048925830987</v>
      </c>
      <c r="E389" s="32">
        <v>45.402976217719619</v>
      </c>
      <c r="F389" s="32">
        <v>136.73377011772391</v>
      </c>
      <c r="I389" s="17"/>
      <c r="J389" s="17"/>
      <c r="K389" s="17"/>
      <c r="L389" s="17"/>
    </row>
    <row r="390" spans="3:12" x14ac:dyDescent="0.25">
      <c r="C390" s="31">
        <f t="shared" ca="1" si="26"/>
        <v>68.438131283505768</v>
      </c>
      <c r="D390" s="31">
        <f t="shared" ca="1" si="26"/>
        <v>101.45214315673405</v>
      </c>
      <c r="E390" s="32">
        <v>59.013531229260352</v>
      </c>
      <c r="F390" s="32">
        <v>136.45210021324098</v>
      </c>
      <c r="I390" s="17"/>
      <c r="J390" s="17"/>
      <c r="K390" s="17"/>
      <c r="L390" s="17"/>
    </row>
    <row r="391" spans="3:12" x14ac:dyDescent="0.25">
      <c r="C391" s="31">
        <f t="shared" ca="1" si="26"/>
        <v>44.938258430310832</v>
      </c>
      <c r="D391" s="31">
        <f t="shared" ca="1" si="26"/>
        <v>129.1039542745126</v>
      </c>
      <c r="E391" s="32">
        <v>42.464531689323636</v>
      </c>
      <c r="F391" s="32">
        <v>113.27438412338964</v>
      </c>
      <c r="I391" s="17"/>
      <c r="J391" s="17"/>
      <c r="K391" s="17"/>
      <c r="L391" s="17"/>
    </row>
    <row r="392" spans="3:12" x14ac:dyDescent="0.25">
      <c r="C392" s="31">
        <f t="shared" ca="1" si="26"/>
        <v>51.269214811820071</v>
      </c>
      <c r="D392" s="31">
        <f t="shared" ca="1" si="26"/>
        <v>133.99317145177429</v>
      </c>
      <c r="E392" s="32">
        <v>60.808927353422625</v>
      </c>
      <c r="F392" s="32">
        <v>146.98569363329068</v>
      </c>
      <c r="I392" s="17"/>
      <c r="J392" s="17"/>
      <c r="K392" s="17"/>
      <c r="L392" s="17"/>
    </row>
    <row r="393" spans="3:12" x14ac:dyDescent="0.25">
      <c r="C393" s="31">
        <f t="shared" ca="1" si="26"/>
        <v>67.369330784305163</v>
      </c>
      <c r="D393" s="31">
        <f t="shared" ca="1" si="26"/>
        <v>78.354244123263882</v>
      </c>
      <c r="E393" s="32">
        <v>62.989734945727832</v>
      </c>
      <c r="F393" s="32">
        <v>88.051849080192881</v>
      </c>
      <c r="I393" s="17"/>
      <c r="J393" s="17"/>
      <c r="K393" s="17"/>
      <c r="L393" s="17"/>
    </row>
    <row r="394" spans="3:12" x14ac:dyDescent="0.25">
      <c r="C394" s="31">
        <f t="shared" ref="C394:D413" ca="1" si="27">_xlfn.NORM.INV(RAND(),C$4,C$5)</f>
        <v>56.875679199305935</v>
      </c>
      <c r="D394" s="31">
        <f t="shared" ca="1" si="27"/>
        <v>98.82208318961537</v>
      </c>
      <c r="E394" s="32">
        <v>59.712662838824379</v>
      </c>
      <c r="F394" s="32">
        <v>128.42048805086941</v>
      </c>
      <c r="I394" s="17"/>
      <c r="J394" s="17"/>
      <c r="K394" s="17"/>
      <c r="L394" s="17"/>
    </row>
    <row r="395" spans="3:12" x14ac:dyDescent="0.25">
      <c r="C395" s="31">
        <f t="shared" ca="1" si="27"/>
        <v>51.318891127288239</v>
      </c>
      <c r="D395" s="31">
        <f t="shared" ca="1" si="27"/>
        <v>100.72898997943437</v>
      </c>
      <c r="E395" s="32">
        <v>54.856401678684563</v>
      </c>
      <c r="F395" s="32">
        <v>113.7599070492314</v>
      </c>
      <c r="I395" s="17"/>
      <c r="J395" s="17"/>
      <c r="K395" s="17"/>
      <c r="L395" s="17"/>
    </row>
    <row r="396" spans="3:12" x14ac:dyDescent="0.25">
      <c r="C396" s="31">
        <f t="shared" ca="1" si="27"/>
        <v>46.47753885924844</v>
      </c>
      <c r="D396" s="31">
        <f t="shared" ca="1" si="27"/>
        <v>121.60836763346721</v>
      </c>
      <c r="E396" s="32">
        <v>42.257145185991376</v>
      </c>
      <c r="F396" s="32">
        <v>122.04433464719904</v>
      </c>
      <c r="I396" s="17"/>
      <c r="J396" s="17"/>
      <c r="K396" s="17"/>
      <c r="L396" s="17"/>
    </row>
    <row r="397" spans="3:12" x14ac:dyDescent="0.25">
      <c r="C397" s="31">
        <f t="shared" ca="1" si="27"/>
        <v>49.766277715791958</v>
      </c>
      <c r="D397" s="31">
        <f t="shared" ca="1" si="27"/>
        <v>123.20255794508817</v>
      </c>
      <c r="E397" s="32">
        <v>71.475002363330361</v>
      </c>
      <c r="F397" s="32">
        <v>107.49084784457877</v>
      </c>
      <c r="I397" s="17"/>
      <c r="J397" s="17"/>
      <c r="K397" s="17"/>
      <c r="L397" s="17"/>
    </row>
    <row r="398" spans="3:12" x14ac:dyDescent="0.25">
      <c r="C398" s="31">
        <f t="shared" ca="1" si="27"/>
        <v>51.656905829892636</v>
      </c>
      <c r="D398" s="31">
        <f t="shared" ca="1" si="27"/>
        <v>79.833026635019877</v>
      </c>
      <c r="E398" s="32">
        <v>41.615858017845369</v>
      </c>
      <c r="F398" s="32">
        <v>116.78732989520431</v>
      </c>
      <c r="I398" s="17"/>
      <c r="J398" s="17"/>
      <c r="K398" s="17"/>
      <c r="L398" s="17"/>
    </row>
    <row r="399" spans="3:12" x14ac:dyDescent="0.25">
      <c r="C399" s="31">
        <f t="shared" ca="1" si="27"/>
        <v>44.526473439648839</v>
      </c>
      <c r="D399" s="31">
        <f t="shared" ca="1" si="27"/>
        <v>88.120279437032309</v>
      </c>
      <c r="E399" s="32">
        <v>69.669699503139398</v>
      </c>
      <c r="F399" s="32">
        <v>75.700520214521077</v>
      </c>
      <c r="I399" s="17"/>
      <c r="J399" s="17"/>
      <c r="K399" s="17"/>
      <c r="L399" s="17"/>
    </row>
    <row r="400" spans="3:12" x14ac:dyDescent="0.25">
      <c r="C400" s="31">
        <f t="shared" ca="1" si="27"/>
        <v>61.313394010027864</v>
      </c>
      <c r="D400" s="31">
        <f t="shared" ca="1" si="27"/>
        <v>124.53730580329564</v>
      </c>
      <c r="E400" s="32">
        <v>60.061935889733157</v>
      </c>
      <c r="F400" s="32">
        <v>113.87262147181276</v>
      </c>
      <c r="I400" s="17"/>
      <c r="J400" s="17"/>
      <c r="K400" s="17"/>
      <c r="L400" s="17"/>
    </row>
    <row r="401" spans="3:12" x14ac:dyDescent="0.25">
      <c r="C401" s="31">
        <f t="shared" ca="1" si="27"/>
        <v>67.414025180843609</v>
      </c>
      <c r="D401" s="31">
        <f t="shared" ca="1" si="27"/>
        <v>124.95674458108091</v>
      </c>
      <c r="E401" s="32">
        <v>70.05797151617432</v>
      </c>
      <c r="F401" s="32">
        <v>123.52277718652394</v>
      </c>
      <c r="I401" s="17"/>
      <c r="J401" s="17"/>
      <c r="K401" s="17"/>
      <c r="L401" s="17"/>
    </row>
    <row r="402" spans="3:12" x14ac:dyDescent="0.25">
      <c r="C402" s="31">
        <f t="shared" ca="1" si="27"/>
        <v>64.45808704670057</v>
      </c>
      <c r="D402" s="31">
        <f t="shared" ca="1" si="27"/>
        <v>100.15785115481194</v>
      </c>
      <c r="E402" s="32">
        <v>60.851441103933986</v>
      </c>
      <c r="F402" s="32">
        <v>107.35839539934435</v>
      </c>
      <c r="I402" s="17"/>
      <c r="J402" s="17"/>
      <c r="K402" s="17"/>
      <c r="L402" s="17"/>
    </row>
    <row r="403" spans="3:12" x14ac:dyDescent="0.25">
      <c r="C403" s="31">
        <f t="shared" ca="1" si="27"/>
        <v>58.030370912812181</v>
      </c>
      <c r="D403" s="31">
        <f t="shared" ca="1" si="27"/>
        <v>118.2438671599093</v>
      </c>
      <c r="E403" s="32">
        <v>62.97737123586753</v>
      </c>
      <c r="F403" s="32">
        <v>146.77674267985816</v>
      </c>
      <c r="I403" s="17"/>
      <c r="J403" s="17"/>
      <c r="K403" s="17"/>
      <c r="L403" s="17"/>
    </row>
    <row r="404" spans="3:12" x14ac:dyDescent="0.25">
      <c r="C404" s="31">
        <f t="shared" ca="1" si="27"/>
        <v>52.888454562677225</v>
      </c>
      <c r="D404" s="31">
        <f t="shared" ca="1" si="27"/>
        <v>110.38897110855602</v>
      </c>
      <c r="E404" s="32">
        <v>64.850769705264582</v>
      </c>
      <c r="F404" s="32">
        <v>106.76935166826847</v>
      </c>
      <c r="I404" s="17"/>
      <c r="J404" s="17"/>
      <c r="K404" s="17"/>
      <c r="L404" s="17"/>
    </row>
    <row r="405" spans="3:12" x14ac:dyDescent="0.25">
      <c r="C405" s="31">
        <f t="shared" ca="1" si="27"/>
        <v>50.380652505184401</v>
      </c>
      <c r="D405" s="31">
        <f t="shared" ca="1" si="27"/>
        <v>114.79343394436189</v>
      </c>
      <c r="E405" s="32">
        <v>66.02767522704363</v>
      </c>
      <c r="F405" s="32">
        <v>148.36956838917689</v>
      </c>
      <c r="I405" s="17"/>
      <c r="J405" s="17"/>
      <c r="K405" s="17"/>
      <c r="L405" s="17"/>
    </row>
    <row r="406" spans="3:12" x14ac:dyDescent="0.25">
      <c r="C406" s="31">
        <f t="shared" ca="1" si="27"/>
        <v>52.351584960689742</v>
      </c>
      <c r="D406" s="31">
        <f t="shared" ca="1" si="27"/>
        <v>143.34624032476694</v>
      </c>
      <c r="E406" s="32">
        <v>60.380218338054583</v>
      </c>
      <c r="F406" s="32">
        <v>125.07257944597008</v>
      </c>
      <c r="I406" s="17"/>
      <c r="J406" s="17"/>
      <c r="K406" s="17"/>
      <c r="L406" s="17"/>
    </row>
    <row r="407" spans="3:12" x14ac:dyDescent="0.25">
      <c r="C407" s="31">
        <f t="shared" ca="1" si="27"/>
        <v>62.588190409800937</v>
      </c>
      <c r="D407" s="31">
        <f t="shared" ca="1" si="27"/>
        <v>114.79510054007314</v>
      </c>
      <c r="E407" s="32">
        <v>54.353478681989031</v>
      </c>
      <c r="F407" s="32">
        <v>109.71296118887193</v>
      </c>
      <c r="I407" s="17"/>
      <c r="J407" s="17"/>
      <c r="K407" s="17"/>
      <c r="L407" s="17"/>
    </row>
    <row r="408" spans="3:12" x14ac:dyDescent="0.25">
      <c r="C408" s="31">
        <f t="shared" ca="1" si="27"/>
        <v>42.277458255125197</v>
      </c>
      <c r="D408" s="31">
        <f t="shared" ca="1" si="27"/>
        <v>91.679837456273248</v>
      </c>
      <c r="E408" s="32">
        <v>51.178386420572721</v>
      </c>
      <c r="F408" s="32">
        <v>101.14984500202836</v>
      </c>
      <c r="I408" s="17"/>
      <c r="J408" s="17"/>
      <c r="K408" s="17"/>
      <c r="L408" s="17"/>
    </row>
    <row r="409" spans="3:12" x14ac:dyDescent="0.25">
      <c r="C409" s="31">
        <f t="shared" ca="1" si="27"/>
        <v>56.831684806965697</v>
      </c>
      <c r="D409" s="31">
        <f t="shared" ca="1" si="27"/>
        <v>129.11172384177939</v>
      </c>
      <c r="E409" s="32">
        <v>64.262423027574727</v>
      </c>
      <c r="F409" s="32">
        <v>156.2219150646379</v>
      </c>
      <c r="I409" s="17"/>
      <c r="J409" s="17"/>
      <c r="K409" s="17"/>
      <c r="L409" s="17"/>
    </row>
    <row r="410" spans="3:12" x14ac:dyDescent="0.25">
      <c r="C410" s="31">
        <f t="shared" ca="1" si="27"/>
        <v>58.796284021180959</v>
      </c>
      <c r="D410" s="31">
        <f t="shared" ca="1" si="27"/>
        <v>99.119908074690812</v>
      </c>
      <c r="E410" s="32">
        <v>41.26965919483488</v>
      </c>
      <c r="F410" s="32">
        <v>120.07434491865978</v>
      </c>
      <c r="I410" s="17"/>
      <c r="J410" s="17"/>
      <c r="K410" s="17"/>
      <c r="L410" s="17"/>
    </row>
    <row r="411" spans="3:12" x14ac:dyDescent="0.25">
      <c r="C411" s="31">
        <f t="shared" ca="1" si="27"/>
        <v>51.944921207795787</v>
      </c>
      <c r="D411" s="31">
        <f t="shared" ca="1" si="27"/>
        <v>118.20137806108194</v>
      </c>
      <c r="E411" s="32">
        <v>58.163435565040487</v>
      </c>
      <c r="F411" s="32">
        <v>85.228045381270249</v>
      </c>
      <c r="I411" s="17"/>
      <c r="J411" s="17"/>
      <c r="K411" s="17"/>
      <c r="L411" s="17"/>
    </row>
    <row r="412" spans="3:12" x14ac:dyDescent="0.25">
      <c r="C412" s="31">
        <f t="shared" ca="1" si="27"/>
        <v>53.791006978637604</v>
      </c>
      <c r="D412" s="31">
        <f t="shared" ca="1" si="27"/>
        <v>112.82950817626086</v>
      </c>
      <c r="E412" s="32">
        <v>58.010392367397799</v>
      </c>
      <c r="F412" s="32">
        <v>129.61357431220765</v>
      </c>
      <c r="I412" s="17"/>
      <c r="J412" s="17"/>
      <c r="K412" s="17"/>
      <c r="L412" s="17"/>
    </row>
    <row r="413" spans="3:12" x14ac:dyDescent="0.25">
      <c r="C413" s="31">
        <f t="shared" ca="1" si="27"/>
        <v>50.173309341341408</v>
      </c>
      <c r="D413" s="31">
        <f t="shared" ca="1" si="27"/>
        <v>83.522816166256305</v>
      </c>
      <c r="E413" s="32">
        <v>60.231046826727635</v>
      </c>
      <c r="F413" s="32">
        <v>138.94215458304535</v>
      </c>
      <c r="I413" s="17"/>
      <c r="J413" s="17"/>
      <c r="K413" s="17"/>
      <c r="L413" s="17"/>
    </row>
    <row r="414" spans="3:12" x14ac:dyDescent="0.25">
      <c r="C414" s="31">
        <f t="shared" ref="C414:D433" ca="1" si="28">_xlfn.NORM.INV(RAND(),C$4,C$5)</f>
        <v>57.565682561420275</v>
      </c>
      <c r="D414" s="31">
        <f t="shared" ca="1" si="28"/>
        <v>112.4531623365084</v>
      </c>
      <c r="E414" s="32">
        <v>56.851418367982092</v>
      </c>
      <c r="F414" s="32">
        <v>105.08287011545166</v>
      </c>
      <c r="I414" s="17"/>
      <c r="J414" s="17"/>
      <c r="K414" s="17"/>
      <c r="L414" s="17"/>
    </row>
    <row r="415" spans="3:12" x14ac:dyDescent="0.25">
      <c r="C415" s="31">
        <f t="shared" ca="1" si="28"/>
        <v>57.159960470694919</v>
      </c>
      <c r="D415" s="31">
        <f t="shared" ca="1" si="28"/>
        <v>110.73690123763353</v>
      </c>
      <c r="E415" s="32">
        <v>44.943604620046202</v>
      </c>
      <c r="F415" s="32">
        <v>132.12152817841601</v>
      </c>
      <c r="I415" s="17"/>
      <c r="J415" s="17"/>
      <c r="K415" s="17"/>
      <c r="L415" s="17"/>
    </row>
    <row r="416" spans="3:12" x14ac:dyDescent="0.25">
      <c r="C416" s="31">
        <f t="shared" ca="1" si="28"/>
        <v>64.204145929256384</v>
      </c>
      <c r="D416" s="31">
        <f t="shared" ca="1" si="28"/>
        <v>79.962226707688259</v>
      </c>
      <c r="E416" s="32">
        <v>57.446183413444608</v>
      </c>
      <c r="F416" s="32">
        <v>124.16599759026414</v>
      </c>
      <c r="I416" s="17"/>
      <c r="J416" s="17"/>
      <c r="K416" s="17"/>
      <c r="L416" s="17"/>
    </row>
    <row r="417" spans="3:12" x14ac:dyDescent="0.25">
      <c r="C417" s="31">
        <f t="shared" ca="1" si="28"/>
        <v>78.947060758067025</v>
      </c>
      <c r="D417" s="31">
        <f t="shared" ca="1" si="28"/>
        <v>107.58905342586533</v>
      </c>
      <c r="E417" s="32">
        <v>60.606826034209313</v>
      </c>
      <c r="F417" s="32">
        <v>99.244854237414472</v>
      </c>
      <c r="I417" s="17"/>
      <c r="J417" s="17"/>
      <c r="K417" s="17"/>
      <c r="L417" s="17"/>
    </row>
    <row r="418" spans="3:12" x14ac:dyDescent="0.25">
      <c r="C418" s="31">
        <f t="shared" ca="1" si="28"/>
        <v>55.118234550547491</v>
      </c>
      <c r="D418" s="31">
        <f t="shared" ca="1" si="28"/>
        <v>111.14886352649519</v>
      </c>
      <c r="E418" s="32">
        <v>49.17412592265454</v>
      </c>
      <c r="F418" s="32">
        <v>91.428123759782522</v>
      </c>
      <c r="I418" s="17"/>
      <c r="J418" s="17"/>
      <c r="K418" s="17"/>
      <c r="L418" s="17"/>
    </row>
    <row r="419" spans="3:12" x14ac:dyDescent="0.25">
      <c r="C419" s="31">
        <f t="shared" ca="1" si="28"/>
        <v>70.453643538085416</v>
      </c>
      <c r="D419" s="31">
        <f t="shared" ca="1" si="28"/>
        <v>114.83149301957202</v>
      </c>
      <c r="E419" s="32">
        <v>45.156976849041371</v>
      </c>
      <c r="F419" s="32">
        <v>106.1747732713097</v>
      </c>
      <c r="I419" s="17"/>
      <c r="J419" s="17"/>
      <c r="K419" s="17"/>
      <c r="L419" s="17"/>
    </row>
    <row r="420" spans="3:12" x14ac:dyDescent="0.25">
      <c r="C420" s="31">
        <f t="shared" ca="1" si="28"/>
        <v>67.848888425150847</v>
      </c>
      <c r="D420" s="31">
        <f t="shared" ca="1" si="28"/>
        <v>105.79766465050307</v>
      </c>
      <c r="E420" s="32">
        <v>69.120649392972084</v>
      </c>
      <c r="F420" s="32">
        <v>122.75090617770435</v>
      </c>
      <c r="I420" s="17"/>
      <c r="J420" s="17"/>
      <c r="K420" s="17"/>
      <c r="L420" s="17"/>
    </row>
    <row r="421" spans="3:12" x14ac:dyDescent="0.25">
      <c r="C421" s="31">
        <f t="shared" ca="1" si="28"/>
        <v>57.594618563060209</v>
      </c>
      <c r="D421" s="31">
        <f t="shared" ca="1" si="28"/>
        <v>138.77444314701708</v>
      </c>
      <c r="E421" s="32">
        <v>47.387280993618035</v>
      </c>
      <c r="F421" s="32">
        <v>116.56061722797079</v>
      </c>
      <c r="I421" s="17"/>
      <c r="J421" s="17"/>
      <c r="K421" s="17"/>
      <c r="L421" s="17"/>
    </row>
    <row r="422" spans="3:12" x14ac:dyDescent="0.25">
      <c r="C422" s="31">
        <f t="shared" ca="1" si="28"/>
        <v>54.078192756356508</v>
      </c>
      <c r="D422" s="31">
        <f t="shared" ca="1" si="28"/>
        <v>97.190324140978959</v>
      </c>
      <c r="E422" s="32">
        <v>63.920047112824513</v>
      </c>
      <c r="F422" s="32">
        <v>110.55690544330528</v>
      </c>
      <c r="I422" s="17"/>
      <c r="J422" s="17"/>
      <c r="K422" s="17"/>
      <c r="L422" s="17"/>
    </row>
    <row r="423" spans="3:12" x14ac:dyDescent="0.25">
      <c r="C423" s="31">
        <f t="shared" ca="1" si="28"/>
        <v>70.177891100701046</v>
      </c>
      <c r="D423" s="31">
        <f t="shared" ca="1" si="28"/>
        <v>104.62237150980673</v>
      </c>
      <c r="E423" s="32">
        <v>52.288790067881479</v>
      </c>
      <c r="F423" s="32">
        <v>134.51867322979157</v>
      </c>
      <c r="I423" s="17"/>
      <c r="J423" s="17"/>
      <c r="K423" s="17"/>
      <c r="L423" s="17"/>
    </row>
    <row r="424" spans="3:12" x14ac:dyDescent="0.25">
      <c r="C424" s="31">
        <f t="shared" ca="1" si="28"/>
        <v>53.074054787214081</v>
      </c>
      <c r="D424" s="31">
        <f t="shared" ca="1" si="28"/>
        <v>127.5144243617903</v>
      </c>
      <c r="E424" s="32">
        <v>81.30302175703352</v>
      </c>
      <c r="F424" s="32">
        <v>78.583154523034011</v>
      </c>
      <c r="I424" s="17"/>
      <c r="J424" s="17"/>
      <c r="K424" s="17"/>
      <c r="L424" s="17"/>
    </row>
    <row r="425" spans="3:12" x14ac:dyDescent="0.25">
      <c r="C425" s="31">
        <f t="shared" ca="1" si="28"/>
        <v>39.761471118454637</v>
      </c>
      <c r="D425" s="31">
        <f t="shared" ca="1" si="28"/>
        <v>89.806352152248834</v>
      </c>
      <c r="E425" s="32">
        <v>71.185920900563687</v>
      </c>
      <c r="F425" s="32">
        <v>83.838156411385711</v>
      </c>
      <c r="I425" s="17"/>
      <c r="J425" s="17"/>
      <c r="K425" s="17"/>
      <c r="L425" s="17"/>
    </row>
    <row r="426" spans="3:12" x14ac:dyDescent="0.25">
      <c r="C426" s="31">
        <f t="shared" ca="1" si="28"/>
        <v>69.805839885353095</v>
      </c>
      <c r="D426" s="31">
        <f t="shared" ca="1" si="28"/>
        <v>141.29762954489604</v>
      </c>
      <c r="E426" s="32">
        <v>58.988935489618015</v>
      </c>
      <c r="F426" s="32">
        <v>124.82444589454373</v>
      </c>
      <c r="I426" s="17"/>
      <c r="J426" s="17"/>
      <c r="K426" s="17"/>
      <c r="L426" s="17"/>
    </row>
    <row r="427" spans="3:12" x14ac:dyDescent="0.25">
      <c r="C427" s="31">
        <f t="shared" ca="1" si="28"/>
        <v>77.779124579316857</v>
      </c>
      <c r="D427" s="31">
        <f t="shared" ca="1" si="28"/>
        <v>126.63916265982142</v>
      </c>
      <c r="E427" s="32">
        <v>72.218372189670802</v>
      </c>
      <c r="F427" s="32">
        <v>96.656747017276587</v>
      </c>
      <c r="I427" s="17"/>
      <c r="J427" s="17"/>
      <c r="K427" s="17"/>
      <c r="L427" s="17"/>
    </row>
    <row r="428" spans="3:12" x14ac:dyDescent="0.25">
      <c r="C428" s="31">
        <f t="shared" ca="1" si="28"/>
        <v>70.69031642689697</v>
      </c>
      <c r="D428" s="31">
        <f t="shared" ca="1" si="28"/>
        <v>136.59223585330579</v>
      </c>
      <c r="E428" s="32">
        <v>48.465637882338044</v>
      </c>
      <c r="F428" s="32">
        <v>88.814561716173472</v>
      </c>
      <c r="I428" s="17"/>
      <c r="J428" s="17"/>
      <c r="K428" s="17"/>
      <c r="L428" s="17"/>
    </row>
    <row r="429" spans="3:12" x14ac:dyDescent="0.25">
      <c r="C429" s="31">
        <f t="shared" ca="1" si="28"/>
        <v>76.679971414396093</v>
      </c>
      <c r="D429" s="31">
        <f t="shared" ca="1" si="28"/>
        <v>95.502443625428612</v>
      </c>
      <c r="E429" s="32">
        <v>82.280587148870865</v>
      </c>
      <c r="F429" s="32">
        <v>115.93369157670129</v>
      </c>
      <c r="I429" s="17"/>
      <c r="J429" s="17"/>
      <c r="K429" s="17"/>
      <c r="L429" s="17"/>
    </row>
    <row r="430" spans="3:12" x14ac:dyDescent="0.25">
      <c r="C430" s="31">
        <f t="shared" ca="1" si="28"/>
        <v>55.959726519959453</v>
      </c>
      <c r="D430" s="31">
        <f t="shared" ca="1" si="28"/>
        <v>111.35394580663311</v>
      </c>
      <c r="E430" s="32">
        <v>47.231323087398081</v>
      </c>
      <c r="F430" s="32">
        <v>96.455595544613814</v>
      </c>
      <c r="I430" s="17"/>
      <c r="J430" s="17"/>
      <c r="K430" s="17"/>
      <c r="L430" s="17"/>
    </row>
    <row r="431" spans="3:12" x14ac:dyDescent="0.25">
      <c r="C431" s="31">
        <f t="shared" ca="1" si="28"/>
        <v>65.417005720528337</v>
      </c>
      <c r="D431" s="31">
        <f t="shared" ca="1" si="28"/>
        <v>144.46781805612733</v>
      </c>
      <c r="E431" s="32">
        <v>63.034277269369305</v>
      </c>
      <c r="F431" s="32">
        <v>129.7819428716345</v>
      </c>
      <c r="I431" s="17"/>
      <c r="J431" s="17"/>
      <c r="K431" s="17"/>
      <c r="L431" s="17"/>
    </row>
    <row r="432" spans="3:12" x14ac:dyDescent="0.25">
      <c r="C432" s="31">
        <f t="shared" ca="1" si="28"/>
        <v>51.566624211994458</v>
      </c>
      <c r="D432" s="31">
        <f t="shared" ca="1" si="28"/>
        <v>114.80578047042991</v>
      </c>
      <c r="E432" s="32">
        <v>64.702647609157736</v>
      </c>
      <c r="F432" s="32">
        <v>135.89437382274869</v>
      </c>
      <c r="I432" s="17"/>
      <c r="J432" s="17"/>
      <c r="K432" s="17"/>
      <c r="L432" s="17"/>
    </row>
    <row r="433" spans="3:12" x14ac:dyDescent="0.25">
      <c r="C433" s="31">
        <f t="shared" ca="1" si="28"/>
        <v>69.65920297813355</v>
      </c>
      <c r="D433" s="31">
        <f t="shared" ca="1" si="28"/>
        <v>107.50637335946405</v>
      </c>
      <c r="E433" s="32">
        <v>32.56936961183105</v>
      </c>
      <c r="F433" s="32">
        <v>84.586352012837665</v>
      </c>
      <c r="I433" s="17"/>
      <c r="J433" s="17"/>
      <c r="K433" s="17"/>
      <c r="L433" s="17"/>
    </row>
    <row r="434" spans="3:12" x14ac:dyDescent="0.25">
      <c r="C434" s="31">
        <f t="shared" ref="C434:D453" ca="1" si="29">_xlfn.NORM.INV(RAND(),C$4,C$5)</f>
        <v>58.149117490920759</v>
      </c>
      <c r="D434" s="31">
        <f t="shared" ca="1" si="29"/>
        <v>105.10681380224941</v>
      </c>
      <c r="E434" s="32">
        <v>60.198528974332731</v>
      </c>
      <c r="F434" s="32">
        <v>100.20824026333008</v>
      </c>
      <c r="I434" s="17"/>
      <c r="J434" s="17"/>
      <c r="K434" s="17"/>
      <c r="L434" s="17"/>
    </row>
    <row r="435" spans="3:12" x14ac:dyDescent="0.25">
      <c r="C435" s="31">
        <f t="shared" ca="1" si="29"/>
        <v>59.845371574235337</v>
      </c>
      <c r="D435" s="31">
        <f t="shared" ca="1" si="29"/>
        <v>129.67530678258211</v>
      </c>
      <c r="E435" s="32">
        <v>58.435753956295109</v>
      </c>
      <c r="F435" s="32">
        <v>86.484336395094999</v>
      </c>
      <c r="I435" s="17"/>
      <c r="J435" s="17"/>
      <c r="K435" s="17"/>
      <c r="L435" s="17"/>
    </row>
    <row r="436" spans="3:12" x14ac:dyDescent="0.25">
      <c r="C436" s="31">
        <f t="shared" ca="1" si="29"/>
        <v>49.653033646588234</v>
      </c>
      <c r="D436" s="31">
        <f t="shared" ca="1" si="29"/>
        <v>85.965092344886671</v>
      </c>
      <c r="E436" s="32">
        <v>61.249834537013548</v>
      </c>
      <c r="F436" s="32">
        <v>114.71593718454089</v>
      </c>
      <c r="I436" s="17"/>
      <c r="J436" s="17"/>
      <c r="K436" s="17"/>
      <c r="L436" s="17"/>
    </row>
    <row r="437" spans="3:12" x14ac:dyDescent="0.25">
      <c r="C437" s="31">
        <f t="shared" ca="1" si="29"/>
        <v>46.459940355145285</v>
      </c>
      <c r="D437" s="31">
        <f t="shared" ca="1" si="29"/>
        <v>132.9672945214669</v>
      </c>
      <c r="E437" s="32">
        <v>73.471928392122607</v>
      </c>
      <c r="F437" s="32">
        <v>94.438888306499337</v>
      </c>
      <c r="I437" s="17"/>
      <c r="J437" s="17"/>
      <c r="K437" s="17"/>
      <c r="L437" s="17"/>
    </row>
    <row r="438" spans="3:12" x14ac:dyDescent="0.25">
      <c r="C438" s="31">
        <f t="shared" ca="1" si="29"/>
        <v>41.307349809639597</v>
      </c>
      <c r="D438" s="31">
        <f t="shared" ca="1" si="29"/>
        <v>127.79190916196816</v>
      </c>
      <c r="E438" s="32">
        <v>54.416849230556437</v>
      </c>
      <c r="F438" s="32">
        <v>124.74550053781162</v>
      </c>
      <c r="I438" s="17"/>
      <c r="J438" s="17"/>
      <c r="K438" s="17"/>
      <c r="L438" s="17"/>
    </row>
    <row r="439" spans="3:12" x14ac:dyDescent="0.25">
      <c r="C439" s="31">
        <f t="shared" ca="1" si="29"/>
        <v>58.634126818929609</v>
      </c>
      <c r="D439" s="31">
        <f t="shared" ca="1" si="29"/>
        <v>147.98625748774518</v>
      </c>
      <c r="E439" s="32">
        <v>72.682103178365409</v>
      </c>
      <c r="F439" s="32">
        <v>135.94356066078839</v>
      </c>
      <c r="I439" s="17"/>
      <c r="J439" s="17"/>
      <c r="K439" s="17"/>
      <c r="L439" s="17"/>
    </row>
    <row r="440" spans="3:12" x14ac:dyDescent="0.25">
      <c r="C440" s="31">
        <f t="shared" ca="1" si="29"/>
        <v>41.345631304166602</v>
      </c>
      <c r="D440" s="31">
        <f t="shared" ca="1" si="29"/>
        <v>116.62538601716882</v>
      </c>
      <c r="E440" s="32">
        <v>57.328045392726445</v>
      </c>
      <c r="F440" s="32">
        <v>141.49152717332663</v>
      </c>
      <c r="I440" s="17"/>
      <c r="J440" s="17"/>
      <c r="K440" s="17"/>
      <c r="L440" s="17"/>
    </row>
    <row r="441" spans="3:12" x14ac:dyDescent="0.25">
      <c r="C441" s="31">
        <f t="shared" ca="1" si="29"/>
        <v>57.874947140459149</v>
      </c>
      <c r="D441" s="31">
        <f t="shared" ca="1" si="29"/>
        <v>141.66303375405465</v>
      </c>
      <c r="E441" s="32">
        <v>51.879949290451663</v>
      </c>
      <c r="F441" s="32">
        <v>81.224241806140427</v>
      </c>
      <c r="I441" s="17"/>
      <c r="J441" s="17"/>
      <c r="K441" s="17"/>
      <c r="L441" s="17"/>
    </row>
    <row r="442" spans="3:12" x14ac:dyDescent="0.25">
      <c r="C442" s="31">
        <f t="shared" ca="1" si="29"/>
        <v>62.828088293737352</v>
      </c>
      <c r="D442" s="31">
        <f t="shared" ca="1" si="29"/>
        <v>87.128810942595493</v>
      </c>
      <c r="E442" s="32">
        <v>44.441927154689083</v>
      </c>
      <c r="F442" s="32">
        <v>119.9374385835725</v>
      </c>
      <c r="I442" s="17"/>
      <c r="J442" s="17"/>
      <c r="K442" s="17"/>
      <c r="L442" s="17"/>
    </row>
    <row r="443" spans="3:12" x14ac:dyDescent="0.25">
      <c r="C443" s="31">
        <f t="shared" ca="1" si="29"/>
        <v>55.007634678823322</v>
      </c>
      <c r="D443" s="31">
        <f t="shared" ca="1" si="29"/>
        <v>82.178175631671323</v>
      </c>
      <c r="E443" s="32">
        <v>39.169112364903924</v>
      </c>
      <c r="F443" s="32">
        <v>139.41034608120142</v>
      </c>
      <c r="I443" s="17"/>
      <c r="J443" s="17"/>
      <c r="K443" s="17"/>
      <c r="L443" s="17"/>
    </row>
    <row r="444" spans="3:12" x14ac:dyDescent="0.25">
      <c r="C444" s="31">
        <f t="shared" ca="1" si="29"/>
        <v>60.564593633447778</v>
      </c>
      <c r="D444" s="31">
        <f t="shared" ca="1" si="29"/>
        <v>93.937179140956147</v>
      </c>
      <c r="E444" s="32">
        <v>73.90811595886251</v>
      </c>
      <c r="F444" s="32">
        <v>120.87122276882906</v>
      </c>
      <c r="I444" s="17"/>
      <c r="J444" s="17"/>
      <c r="K444" s="17"/>
      <c r="L444" s="17"/>
    </row>
    <row r="445" spans="3:12" x14ac:dyDescent="0.25">
      <c r="C445" s="31">
        <f t="shared" ca="1" si="29"/>
        <v>62.94719882351874</v>
      </c>
      <c r="D445" s="31">
        <f t="shared" ca="1" si="29"/>
        <v>104.35645174287748</v>
      </c>
      <c r="E445" s="32">
        <v>71.59993139463451</v>
      </c>
      <c r="F445" s="32">
        <v>97.974770925431557</v>
      </c>
      <c r="I445" s="17"/>
      <c r="J445" s="17"/>
      <c r="K445" s="17"/>
      <c r="L445" s="17"/>
    </row>
    <row r="446" spans="3:12" x14ac:dyDescent="0.25">
      <c r="C446" s="31">
        <f t="shared" ca="1" si="29"/>
        <v>58.121760223499109</v>
      </c>
      <c r="D446" s="31">
        <f t="shared" ca="1" si="29"/>
        <v>73.382479998691281</v>
      </c>
      <c r="E446" s="32">
        <v>49.346100292036994</v>
      </c>
      <c r="F446" s="32">
        <v>148.84564148633308</v>
      </c>
      <c r="I446" s="17"/>
      <c r="J446" s="17"/>
      <c r="K446" s="17"/>
      <c r="L446" s="17"/>
    </row>
    <row r="447" spans="3:12" x14ac:dyDescent="0.25">
      <c r="C447" s="31">
        <f t="shared" ca="1" si="29"/>
        <v>52.553936533071258</v>
      </c>
      <c r="D447" s="31">
        <f t="shared" ca="1" si="29"/>
        <v>131.25746359530956</v>
      </c>
      <c r="E447" s="32">
        <v>47.840492836641623</v>
      </c>
      <c r="F447" s="32">
        <v>126.39757976495696</v>
      </c>
      <c r="I447" s="17"/>
      <c r="J447" s="17"/>
      <c r="K447" s="17"/>
      <c r="L447" s="17"/>
    </row>
    <row r="448" spans="3:12" x14ac:dyDescent="0.25">
      <c r="C448" s="31">
        <f t="shared" ca="1" si="29"/>
        <v>43.633573734331847</v>
      </c>
      <c r="D448" s="31">
        <f t="shared" ca="1" si="29"/>
        <v>98.044445390785981</v>
      </c>
      <c r="E448" s="32">
        <v>58.412946863144519</v>
      </c>
      <c r="F448" s="32">
        <v>135.25607734303992</v>
      </c>
      <c r="I448" s="17"/>
      <c r="J448" s="17"/>
      <c r="K448" s="17"/>
      <c r="L448" s="17"/>
    </row>
    <row r="449" spans="3:12" x14ac:dyDescent="0.25">
      <c r="C449" s="31">
        <f t="shared" ca="1" si="29"/>
        <v>66.649937705373844</v>
      </c>
      <c r="D449" s="31">
        <f t="shared" ca="1" si="29"/>
        <v>98.760452985405209</v>
      </c>
      <c r="E449" s="32">
        <v>62.232199705994354</v>
      </c>
      <c r="F449" s="32">
        <v>112.22894689629734</v>
      </c>
      <c r="I449" s="17"/>
      <c r="J449" s="17"/>
      <c r="K449" s="17"/>
      <c r="L449" s="17"/>
    </row>
    <row r="450" spans="3:12" x14ac:dyDescent="0.25">
      <c r="C450" s="31">
        <f t="shared" ca="1" si="29"/>
        <v>84.651218062966905</v>
      </c>
      <c r="D450" s="31">
        <f t="shared" ca="1" si="29"/>
        <v>107.90090865591938</v>
      </c>
      <c r="E450" s="32">
        <v>46.589016322889847</v>
      </c>
      <c r="F450" s="32">
        <v>130.77784166475317</v>
      </c>
      <c r="I450" s="17"/>
      <c r="J450" s="17"/>
      <c r="K450" s="17"/>
      <c r="L450" s="17"/>
    </row>
    <row r="451" spans="3:12" x14ac:dyDescent="0.25">
      <c r="C451" s="31">
        <f t="shared" ca="1" si="29"/>
        <v>50.444378649831336</v>
      </c>
      <c r="D451" s="31">
        <f t="shared" ca="1" si="29"/>
        <v>113.64421690759538</v>
      </c>
      <c r="E451" s="32">
        <v>54.618563332501488</v>
      </c>
      <c r="F451" s="32">
        <v>119.29701294863082</v>
      </c>
      <c r="I451" s="17"/>
      <c r="J451" s="17"/>
      <c r="K451" s="17"/>
      <c r="L451" s="17"/>
    </row>
    <row r="452" spans="3:12" x14ac:dyDescent="0.25">
      <c r="C452" s="31">
        <f t="shared" ca="1" si="29"/>
        <v>46.223143429474355</v>
      </c>
      <c r="D452" s="31">
        <f t="shared" ca="1" si="29"/>
        <v>133.76962540016871</v>
      </c>
      <c r="E452" s="32">
        <v>52.644008454340465</v>
      </c>
      <c r="F452" s="32">
        <v>135.81912399047084</v>
      </c>
      <c r="I452" s="17"/>
      <c r="J452" s="17"/>
      <c r="K452" s="17"/>
      <c r="L452" s="17"/>
    </row>
    <row r="453" spans="3:12" x14ac:dyDescent="0.25">
      <c r="C453" s="31">
        <f t="shared" ca="1" si="29"/>
        <v>60.490884834896903</v>
      </c>
      <c r="D453" s="31">
        <f t="shared" ca="1" si="29"/>
        <v>112.48042649178703</v>
      </c>
      <c r="E453" s="32">
        <v>69.881044547782352</v>
      </c>
      <c r="F453" s="32">
        <v>116.44985765960607</v>
      </c>
      <c r="I453" s="17"/>
      <c r="J453" s="17"/>
      <c r="K453" s="17"/>
      <c r="L453" s="17"/>
    </row>
    <row r="454" spans="3:12" x14ac:dyDescent="0.25">
      <c r="C454" s="31">
        <f t="shared" ref="C454:D473" ca="1" si="30">_xlfn.NORM.INV(RAND(),C$4,C$5)</f>
        <v>44.811405727012378</v>
      </c>
      <c r="D454" s="31">
        <f t="shared" ca="1" si="30"/>
        <v>92.151173666563281</v>
      </c>
      <c r="E454" s="32">
        <v>64.768000336294179</v>
      </c>
      <c r="F454" s="32">
        <v>126.38956129115712</v>
      </c>
      <c r="I454" s="17"/>
      <c r="J454" s="17"/>
      <c r="K454" s="17"/>
      <c r="L454" s="17"/>
    </row>
    <row r="455" spans="3:12" x14ac:dyDescent="0.25">
      <c r="C455" s="31">
        <f t="shared" ca="1" si="30"/>
        <v>55.528584332312697</v>
      </c>
      <c r="D455" s="31">
        <f t="shared" ca="1" si="30"/>
        <v>100.85450184501005</v>
      </c>
      <c r="E455" s="32">
        <v>49.548717908082686</v>
      </c>
      <c r="F455" s="32">
        <v>120.03422247896897</v>
      </c>
      <c r="I455" s="17"/>
      <c r="J455" s="17"/>
      <c r="K455" s="17"/>
      <c r="L455" s="17"/>
    </row>
    <row r="456" spans="3:12" x14ac:dyDescent="0.25">
      <c r="C456" s="31">
        <f t="shared" ca="1" si="30"/>
        <v>54.541739052403038</v>
      </c>
      <c r="D456" s="31">
        <f t="shared" ca="1" si="30"/>
        <v>155.71652179503252</v>
      </c>
      <c r="E456" s="32">
        <v>59.644531266841639</v>
      </c>
      <c r="F456" s="32">
        <v>117.45695849368647</v>
      </c>
      <c r="I456" s="17"/>
      <c r="J456" s="17"/>
      <c r="K456" s="17"/>
      <c r="L456" s="17"/>
    </row>
    <row r="457" spans="3:12" x14ac:dyDescent="0.25">
      <c r="C457" s="31">
        <f t="shared" ca="1" si="30"/>
        <v>48.480244723304743</v>
      </c>
      <c r="D457" s="31">
        <f t="shared" ca="1" si="30"/>
        <v>123.3608438585685</v>
      </c>
      <c r="E457" s="32">
        <v>44.201261508048475</v>
      </c>
      <c r="F457" s="32">
        <v>104.57405231666553</v>
      </c>
      <c r="I457" s="17"/>
      <c r="J457" s="17"/>
      <c r="K457" s="17"/>
      <c r="L457" s="17"/>
    </row>
    <row r="458" spans="3:12" x14ac:dyDescent="0.25">
      <c r="C458" s="31">
        <f t="shared" ca="1" si="30"/>
        <v>59.941498877378265</v>
      </c>
      <c r="D458" s="31">
        <f t="shared" ca="1" si="30"/>
        <v>108.36218996150642</v>
      </c>
      <c r="E458" s="32">
        <v>53.893710532693596</v>
      </c>
      <c r="F458" s="32">
        <v>106.99686752472115</v>
      </c>
      <c r="I458" s="17"/>
      <c r="J458" s="17"/>
      <c r="K458" s="17"/>
      <c r="L458" s="17"/>
    </row>
    <row r="459" spans="3:12" x14ac:dyDescent="0.25">
      <c r="C459" s="31">
        <f t="shared" ca="1" si="30"/>
        <v>69.565930857799728</v>
      </c>
      <c r="D459" s="31">
        <f t="shared" ca="1" si="30"/>
        <v>122.51697071566424</v>
      </c>
      <c r="E459" s="32">
        <v>61.509213694288924</v>
      </c>
      <c r="F459" s="32">
        <v>100.84668734002425</v>
      </c>
      <c r="I459" s="17"/>
      <c r="J459" s="17"/>
      <c r="K459" s="17"/>
      <c r="L459" s="17"/>
    </row>
    <row r="460" spans="3:12" x14ac:dyDescent="0.25">
      <c r="C460" s="31">
        <f t="shared" ca="1" si="30"/>
        <v>52.670306750191408</v>
      </c>
      <c r="D460" s="31">
        <f t="shared" ca="1" si="30"/>
        <v>104.51431371691717</v>
      </c>
      <c r="E460" s="32">
        <v>57.825244341613669</v>
      </c>
      <c r="F460" s="32">
        <v>125.04550503191967</v>
      </c>
      <c r="I460" s="17"/>
      <c r="J460" s="17"/>
      <c r="K460" s="17"/>
      <c r="L460" s="17"/>
    </row>
    <row r="461" spans="3:12" x14ac:dyDescent="0.25">
      <c r="C461" s="31">
        <f t="shared" ca="1" si="30"/>
        <v>53.737977357065148</v>
      </c>
      <c r="D461" s="31">
        <f t="shared" ca="1" si="30"/>
        <v>122.14340947075823</v>
      </c>
      <c r="E461" s="32">
        <v>64.396765796016439</v>
      </c>
      <c r="F461" s="32">
        <v>116.82660958997108</v>
      </c>
      <c r="I461" s="17"/>
      <c r="J461" s="17"/>
      <c r="K461" s="17"/>
      <c r="L461" s="17"/>
    </row>
    <row r="462" spans="3:12" x14ac:dyDescent="0.25">
      <c r="C462" s="31">
        <f t="shared" ca="1" si="30"/>
        <v>60.916715847851755</v>
      </c>
      <c r="D462" s="31">
        <f t="shared" ca="1" si="30"/>
        <v>104.8886206025829</v>
      </c>
      <c r="E462" s="32">
        <v>85.192837967502797</v>
      </c>
      <c r="F462" s="32">
        <v>93.897958960186017</v>
      </c>
      <c r="I462" s="17"/>
      <c r="J462" s="17"/>
      <c r="K462" s="17"/>
      <c r="L462" s="17"/>
    </row>
    <row r="463" spans="3:12" x14ac:dyDescent="0.25">
      <c r="C463" s="31">
        <f t="shared" ca="1" si="30"/>
        <v>47.423499696919656</v>
      </c>
      <c r="D463" s="31">
        <f t="shared" ca="1" si="30"/>
        <v>133.38008644166669</v>
      </c>
      <c r="E463" s="32">
        <v>39.732505762792975</v>
      </c>
      <c r="F463" s="32">
        <v>129.53848771093146</v>
      </c>
      <c r="I463" s="17"/>
      <c r="J463" s="17"/>
      <c r="K463" s="17"/>
      <c r="L463" s="17"/>
    </row>
    <row r="464" spans="3:12" x14ac:dyDescent="0.25">
      <c r="C464" s="31">
        <f t="shared" ca="1" si="30"/>
        <v>65.417564304799157</v>
      </c>
      <c r="D464" s="31">
        <f t="shared" ca="1" si="30"/>
        <v>104.43881001005839</v>
      </c>
      <c r="E464" s="32">
        <v>64.478544284012116</v>
      </c>
      <c r="F464" s="32">
        <v>126.7092292753625</v>
      </c>
      <c r="I464" s="17"/>
      <c r="J464" s="17"/>
      <c r="K464" s="17"/>
      <c r="L464" s="17"/>
    </row>
    <row r="465" spans="3:12" x14ac:dyDescent="0.25">
      <c r="C465" s="31">
        <f t="shared" ca="1" si="30"/>
        <v>59.433205775663346</v>
      </c>
      <c r="D465" s="31">
        <f t="shared" ca="1" si="30"/>
        <v>117.9090022785341</v>
      </c>
      <c r="E465" s="32">
        <v>48.815022994323414</v>
      </c>
      <c r="F465" s="32">
        <v>116.96009805852376</v>
      </c>
      <c r="I465" s="17"/>
      <c r="J465" s="17"/>
      <c r="K465" s="17"/>
      <c r="L465" s="17"/>
    </row>
    <row r="466" spans="3:12" x14ac:dyDescent="0.25">
      <c r="C466" s="31">
        <f t="shared" ca="1" si="30"/>
        <v>64.57684558952613</v>
      </c>
      <c r="D466" s="31">
        <f t="shared" ca="1" si="30"/>
        <v>124.34805669615815</v>
      </c>
      <c r="E466" s="32">
        <v>64.156007351420158</v>
      </c>
      <c r="F466" s="32">
        <v>120.71677642826737</v>
      </c>
      <c r="I466" s="17"/>
      <c r="J466" s="17"/>
      <c r="K466" s="17"/>
      <c r="L466" s="17"/>
    </row>
    <row r="467" spans="3:12" x14ac:dyDescent="0.25">
      <c r="C467" s="31">
        <f t="shared" ca="1" si="30"/>
        <v>64.542131190523591</v>
      </c>
      <c r="D467" s="31">
        <f t="shared" ca="1" si="30"/>
        <v>161.65632993352244</v>
      </c>
      <c r="E467" s="32">
        <v>55.87933983340524</v>
      </c>
      <c r="F467" s="32">
        <v>108.8755106594207</v>
      </c>
      <c r="I467" s="17"/>
      <c r="J467" s="17"/>
      <c r="K467" s="17"/>
      <c r="L467" s="17"/>
    </row>
    <row r="468" spans="3:12" x14ac:dyDescent="0.25">
      <c r="C468" s="31">
        <f t="shared" ca="1" si="30"/>
        <v>62.704693393969109</v>
      </c>
      <c r="D468" s="31">
        <f t="shared" ca="1" si="30"/>
        <v>126.38628056390905</v>
      </c>
      <c r="E468" s="32">
        <v>65.227573252712247</v>
      </c>
      <c r="F468" s="32">
        <v>150.73787160938326</v>
      </c>
      <c r="I468" s="17"/>
      <c r="J468" s="17"/>
      <c r="K468" s="17"/>
      <c r="L468" s="17"/>
    </row>
    <row r="469" spans="3:12" x14ac:dyDescent="0.25">
      <c r="C469" s="31">
        <f t="shared" ca="1" si="30"/>
        <v>81.835912699287917</v>
      </c>
      <c r="D469" s="31">
        <f t="shared" ca="1" si="30"/>
        <v>104.51526611352458</v>
      </c>
      <c r="E469" s="32">
        <v>50.199742752716283</v>
      </c>
      <c r="F469" s="32">
        <v>98.730407857270123</v>
      </c>
      <c r="I469" s="17"/>
      <c r="J469" s="17"/>
      <c r="K469" s="17"/>
      <c r="L469" s="17"/>
    </row>
    <row r="470" spans="3:12" x14ac:dyDescent="0.25">
      <c r="C470" s="31">
        <f t="shared" ca="1" si="30"/>
        <v>54.15054960109368</v>
      </c>
      <c r="D470" s="31">
        <f t="shared" ca="1" si="30"/>
        <v>129.17247558026497</v>
      </c>
      <c r="E470" s="32">
        <v>60.253622863351026</v>
      </c>
      <c r="F470" s="32">
        <v>88.570470411015449</v>
      </c>
      <c r="I470" s="17"/>
      <c r="J470" s="17"/>
      <c r="K470" s="17"/>
      <c r="L470" s="17"/>
    </row>
    <row r="471" spans="3:12" x14ac:dyDescent="0.25">
      <c r="C471" s="31">
        <f t="shared" ca="1" si="30"/>
        <v>59.225821269170936</v>
      </c>
      <c r="D471" s="31">
        <f t="shared" ca="1" si="30"/>
        <v>134.77649140790868</v>
      </c>
      <c r="E471" s="32">
        <v>56.588909723757396</v>
      </c>
      <c r="F471" s="32">
        <v>112.06164737859297</v>
      </c>
      <c r="I471" s="17"/>
      <c r="J471" s="17"/>
      <c r="K471" s="17"/>
      <c r="L471" s="17"/>
    </row>
    <row r="472" spans="3:12" x14ac:dyDescent="0.25">
      <c r="C472" s="31">
        <f t="shared" ca="1" si="30"/>
        <v>44.277654553134745</v>
      </c>
      <c r="D472" s="31">
        <f t="shared" ca="1" si="30"/>
        <v>123.74303226011085</v>
      </c>
      <c r="E472" s="32">
        <v>51.429176004542775</v>
      </c>
      <c r="F472" s="32">
        <v>100.75174011863545</v>
      </c>
      <c r="I472" s="17"/>
      <c r="J472" s="17"/>
      <c r="K472" s="17"/>
      <c r="L472" s="17"/>
    </row>
    <row r="473" spans="3:12" x14ac:dyDescent="0.25">
      <c r="C473" s="31">
        <f t="shared" ca="1" si="30"/>
        <v>66.844526779050085</v>
      </c>
      <c r="D473" s="31">
        <f t="shared" ca="1" si="30"/>
        <v>107.4274191980805</v>
      </c>
      <c r="E473" s="32">
        <v>55.797237393956685</v>
      </c>
      <c r="F473" s="32">
        <v>176.39629572723555</v>
      </c>
      <c r="I473" s="17"/>
      <c r="J473" s="17"/>
      <c r="K473" s="17"/>
      <c r="L473" s="17"/>
    </row>
    <row r="474" spans="3:12" x14ac:dyDescent="0.25">
      <c r="C474" s="31">
        <f t="shared" ref="C474:D493" ca="1" si="31">_xlfn.NORM.INV(RAND(),C$4,C$5)</f>
        <v>61.327074823731202</v>
      </c>
      <c r="D474" s="31">
        <f t="shared" ca="1" si="31"/>
        <v>109.44934391352925</v>
      </c>
      <c r="E474" s="32">
        <v>31.654631282557784</v>
      </c>
      <c r="F474" s="32">
        <v>134.54278910046722</v>
      </c>
      <c r="I474" s="17"/>
      <c r="J474" s="17"/>
      <c r="K474" s="17"/>
      <c r="L474" s="17"/>
    </row>
    <row r="475" spans="3:12" x14ac:dyDescent="0.25">
      <c r="C475" s="31">
        <f t="shared" ca="1" si="31"/>
        <v>69.477844744545337</v>
      </c>
      <c r="D475" s="31">
        <f t="shared" ca="1" si="31"/>
        <v>108.17937915680557</v>
      </c>
      <c r="E475" s="32">
        <v>74.039482529687504</v>
      </c>
      <c r="F475" s="32">
        <v>92.009571642259118</v>
      </c>
      <c r="I475" s="17"/>
      <c r="J475" s="17"/>
      <c r="K475" s="17"/>
      <c r="L475" s="17"/>
    </row>
    <row r="476" spans="3:12" x14ac:dyDescent="0.25">
      <c r="C476" s="31">
        <f t="shared" ca="1" si="31"/>
        <v>60.474623721531387</v>
      </c>
      <c r="D476" s="31">
        <f t="shared" ca="1" si="31"/>
        <v>97.459940056003717</v>
      </c>
      <c r="E476" s="32">
        <v>70.700811780278343</v>
      </c>
      <c r="F476" s="32">
        <v>133.72424451894511</v>
      </c>
      <c r="I476" s="17"/>
      <c r="J476" s="17"/>
      <c r="K476" s="17"/>
      <c r="L476" s="17"/>
    </row>
    <row r="477" spans="3:12" x14ac:dyDescent="0.25">
      <c r="C477" s="31">
        <f t="shared" ca="1" si="31"/>
        <v>57.503491716813933</v>
      </c>
      <c r="D477" s="31">
        <f t="shared" ca="1" si="31"/>
        <v>90.937064650676461</v>
      </c>
      <c r="E477" s="32">
        <v>61.53156482884846</v>
      </c>
      <c r="F477" s="32">
        <v>86.92810469035139</v>
      </c>
      <c r="I477" s="17"/>
      <c r="J477" s="17"/>
      <c r="K477" s="17"/>
      <c r="L477" s="17"/>
    </row>
    <row r="478" spans="3:12" x14ac:dyDescent="0.25">
      <c r="C478" s="31">
        <f t="shared" ca="1" si="31"/>
        <v>60.662946873288632</v>
      </c>
      <c r="D478" s="31">
        <f t="shared" ca="1" si="31"/>
        <v>92.190615637880668</v>
      </c>
      <c r="E478" s="32">
        <v>71.366369637533495</v>
      </c>
      <c r="F478" s="32">
        <v>107.56912205502672</v>
      </c>
      <c r="I478" s="17"/>
      <c r="J478" s="17"/>
      <c r="K478" s="17"/>
      <c r="L478" s="17"/>
    </row>
    <row r="479" spans="3:12" x14ac:dyDescent="0.25">
      <c r="C479" s="31">
        <f t="shared" ca="1" si="31"/>
        <v>55.739773744213544</v>
      </c>
      <c r="D479" s="31">
        <f t="shared" ca="1" si="31"/>
        <v>109.52297495075418</v>
      </c>
      <c r="E479" s="32">
        <v>59.344516950509522</v>
      </c>
      <c r="F479" s="32">
        <v>123.70133191820567</v>
      </c>
      <c r="I479" s="17"/>
      <c r="J479" s="17"/>
      <c r="K479" s="17"/>
      <c r="L479" s="17"/>
    </row>
    <row r="480" spans="3:12" x14ac:dyDescent="0.25">
      <c r="C480" s="31">
        <f t="shared" ca="1" si="31"/>
        <v>60.246549833202501</v>
      </c>
      <c r="D480" s="31">
        <f t="shared" ca="1" si="31"/>
        <v>101.95164747353355</v>
      </c>
      <c r="E480" s="32">
        <v>46.817363704569409</v>
      </c>
      <c r="F480" s="32">
        <v>120.53929441032751</v>
      </c>
      <c r="I480" s="17"/>
      <c r="J480" s="17"/>
      <c r="K480" s="17"/>
      <c r="L480" s="17"/>
    </row>
    <row r="481" spans="3:12" x14ac:dyDescent="0.25">
      <c r="C481" s="31">
        <f t="shared" ca="1" si="31"/>
        <v>67.319172318053944</v>
      </c>
      <c r="D481" s="31">
        <f t="shared" ca="1" si="31"/>
        <v>110.66083091040989</v>
      </c>
      <c r="E481" s="32">
        <v>52.70026784270253</v>
      </c>
      <c r="F481" s="32">
        <v>100.97906209145339</v>
      </c>
      <c r="I481" s="17"/>
      <c r="J481" s="17"/>
      <c r="K481" s="17"/>
      <c r="L481" s="17"/>
    </row>
    <row r="482" spans="3:12" x14ac:dyDescent="0.25">
      <c r="C482" s="31">
        <f t="shared" ca="1" si="31"/>
        <v>58.804673952232392</v>
      </c>
      <c r="D482" s="31">
        <f t="shared" ca="1" si="31"/>
        <v>104.44438624036997</v>
      </c>
      <c r="E482" s="32">
        <v>57.453224400925713</v>
      </c>
      <c r="F482" s="32">
        <v>115.16903902424728</v>
      </c>
      <c r="I482" s="17"/>
      <c r="J482" s="17"/>
      <c r="K482" s="17"/>
      <c r="L482" s="17"/>
    </row>
    <row r="483" spans="3:12" x14ac:dyDescent="0.25">
      <c r="C483" s="31">
        <f t="shared" ca="1" si="31"/>
        <v>40.530049001516389</v>
      </c>
      <c r="D483" s="31">
        <f t="shared" ca="1" si="31"/>
        <v>127.83628561573889</v>
      </c>
      <c r="E483" s="32">
        <v>61.213079252934875</v>
      </c>
      <c r="F483" s="32">
        <v>118.88112382186475</v>
      </c>
      <c r="I483" s="17"/>
      <c r="J483" s="17"/>
      <c r="K483" s="17"/>
      <c r="L483" s="17"/>
    </row>
    <row r="484" spans="3:12" x14ac:dyDescent="0.25">
      <c r="C484" s="31">
        <f t="shared" ca="1" si="31"/>
        <v>60.602700419451963</v>
      </c>
      <c r="D484" s="31">
        <f t="shared" ca="1" si="31"/>
        <v>91.494623859075347</v>
      </c>
      <c r="E484" s="32">
        <v>55.25540820753811</v>
      </c>
      <c r="F484" s="32">
        <v>145.59273718710591</v>
      </c>
      <c r="I484" s="17"/>
      <c r="J484" s="17"/>
      <c r="K484" s="17"/>
      <c r="L484" s="17"/>
    </row>
    <row r="485" spans="3:12" x14ac:dyDescent="0.25">
      <c r="C485" s="31">
        <f t="shared" ca="1" si="31"/>
        <v>40.031288092603695</v>
      </c>
      <c r="D485" s="31">
        <f t="shared" ca="1" si="31"/>
        <v>110.73714721841294</v>
      </c>
      <c r="E485" s="32">
        <v>53.56995313595683</v>
      </c>
      <c r="F485" s="32">
        <v>157.1901324777117</v>
      </c>
      <c r="I485" s="17"/>
      <c r="J485" s="17"/>
      <c r="K485" s="17"/>
      <c r="L485" s="17"/>
    </row>
    <row r="486" spans="3:12" x14ac:dyDescent="0.25">
      <c r="C486" s="31">
        <f t="shared" ca="1" si="31"/>
        <v>46.216931827096083</v>
      </c>
      <c r="D486" s="31">
        <f t="shared" ca="1" si="31"/>
        <v>139.8171833254728</v>
      </c>
      <c r="E486" s="32">
        <v>47.881851588968644</v>
      </c>
      <c r="F486" s="32">
        <v>98.111264889485938</v>
      </c>
      <c r="I486" s="17"/>
      <c r="J486" s="17"/>
      <c r="K486" s="17"/>
      <c r="L486" s="17"/>
    </row>
    <row r="487" spans="3:12" x14ac:dyDescent="0.25">
      <c r="C487" s="31">
        <f t="shared" ca="1" si="31"/>
        <v>44.542483042081578</v>
      </c>
      <c r="D487" s="31">
        <f t="shared" ca="1" si="31"/>
        <v>103.18831677940506</v>
      </c>
      <c r="E487" s="32">
        <v>67.711573561990363</v>
      </c>
      <c r="F487" s="32">
        <v>125.33884610656241</v>
      </c>
      <c r="I487" s="17"/>
      <c r="J487" s="17"/>
      <c r="K487" s="17"/>
      <c r="L487" s="17"/>
    </row>
    <row r="488" spans="3:12" x14ac:dyDescent="0.25">
      <c r="C488" s="31">
        <f t="shared" ca="1" si="31"/>
        <v>38.259092900739319</v>
      </c>
      <c r="D488" s="31">
        <f t="shared" ca="1" si="31"/>
        <v>99.408148280555281</v>
      </c>
      <c r="E488" s="32">
        <v>59.462913669464001</v>
      </c>
      <c r="F488" s="32">
        <v>165.60164420124789</v>
      </c>
      <c r="I488" s="17"/>
      <c r="J488" s="17"/>
      <c r="K488" s="17"/>
      <c r="L488" s="17"/>
    </row>
    <row r="489" spans="3:12" x14ac:dyDescent="0.25">
      <c r="C489" s="31">
        <f t="shared" ca="1" si="31"/>
        <v>78.819005162856485</v>
      </c>
      <c r="D489" s="31">
        <f t="shared" ca="1" si="31"/>
        <v>100.00232500708499</v>
      </c>
      <c r="E489" s="32">
        <v>73.083102070598869</v>
      </c>
      <c r="F489" s="32">
        <v>117.24824481773832</v>
      </c>
      <c r="I489" s="17"/>
      <c r="J489" s="17"/>
      <c r="K489" s="17"/>
      <c r="L489" s="17"/>
    </row>
    <row r="490" spans="3:12" x14ac:dyDescent="0.25">
      <c r="C490" s="31">
        <f t="shared" ca="1" si="31"/>
        <v>55.933134883916104</v>
      </c>
      <c r="D490" s="31">
        <f t="shared" ca="1" si="31"/>
        <v>140.82417872152831</v>
      </c>
      <c r="E490" s="32">
        <v>66.014973757163546</v>
      </c>
      <c r="F490" s="32">
        <v>137.90567226487826</v>
      </c>
      <c r="I490" s="17"/>
      <c r="J490" s="17"/>
      <c r="K490" s="17"/>
      <c r="L490" s="17"/>
    </row>
    <row r="491" spans="3:12" x14ac:dyDescent="0.25">
      <c r="C491" s="31">
        <f t="shared" ca="1" si="31"/>
        <v>63.932194414248144</v>
      </c>
      <c r="D491" s="31">
        <f t="shared" ca="1" si="31"/>
        <v>101.93570448023897</v>
      </c>
      <c r="E491" s="32">
        <v>62.339191631043981</v>
      </c>
      <c r="F491" s="32">
        <v>121.71158162141384</v>
      </c>
      <c r="I491" s="17"/>
      <c r="J491" s="17"/>
      <c r="K491" s="17"/>
      <c r="L491" s="17"/>
    </row>
    <row r="492" spans="3:12" x14ac:dyDescent="0.25">
      <c r="C492" s="31">
        <f t="shared" ca="1" si="31"/>
        <v>73.528381356238626</v>
      </c>
      <c r="D492" s="31">
        <f t="shared" ca="1" si="31"/>
        <v>85.85207955619957</v>
      </c>
      <c r="E492" s="32">
        <v>45.942784172061934</v>
      </c>
      <c r="F492" s="32">
        <v>137.75365658140353</v>
      </c>
      <c r="I492" s="17"/>
      <c r="J492" s="17"/>
      <c r="K492" s="17"/>
      <c r="L492" s="17"/>
    </row>
    <row r="493" spans="3:12" x14ac:dyDescent="0.25">
      <c r="C493" s="31">
        <f t="shared" ca="1" si="31"/>
        <v>56.468537482628442</v>
      </c>
      <c r="D493" s="31">
        <f t="shared" ca="1" si="31"/>
        <v>121.08518474471978</v>
      </c>
      <c r="E493" s="32">
        <v>49.462586906591483</v>
      </c>
      <c r="F493" s="32">
        <v>110.29678839713708</v>
      </c>
      <c r="I493" s="17"/>
      <c r="J493" s="17"/>
      <c r="K493" s="17"/>
      <c r="L493" s="17"/>
    </row>
    <row r="494" spans="3:12" x14ac:dyDescent="0.25">
      <c r="C494" s="31">
        <f t="shared" ref="C494:D509" ca="1" si="32">_xlfn.NORM.INV(RAND(),C$4,C$5)</f>
        <v>69.7971007908709</v>
      </c>
      <c r="D494" s="31">
        <f t="shared" ca="1" si="32"/>
        <v>91.259431044604113</v>
      </c>
      <c r="E494" s="32">
        <v>62.334593759381136</v>
      </c>
      <c r="F494" s="32">
        <v>122.88229747578103</v>
      </c>
      <c r="I494" s="17"/>
      <c r="J494" s="17"/>
      <c r="K494" s="17"/>
      <c r="L494" s="17"/>
    </row>
    <row r="495" spans="3:12" x14ac:dyDescent="0.25">
      <c r="C495" s="31">
        <f t="shared" ca="1" si="32"/>
        <v>66.560758604685674</v>
      </c>
      <c r="D495" s="31">
        <f t="shared" ca="1" si="32"/>
        <v>121.15208952173069</v>
      </c>
      <c r="E495" s="32">
        <v>57.315514845603168</v>
      </c>
      <c r="F495" s="32">
        <v>104.57713633717555</v>
      </c>
      <c r="I495" s="17"/>
      <c r="J495" s="17"/>
      <c r="K495" s="17"/>
      <c r="L495" s="17"/>
    </row>
    <row r="496" spans="3:12" x14ac:dyDescent="0.25">
      <c r="C496" s="31">
        <f t="shared" ca="1" si="32"/>
        <v>53.946715052773328</v>
      </c>
      <c r="D496" s="31">
        <f t="shared" ca="1" si="32"/>
        <v>123.95093510477705</v>
      </c>
      <c r="E496" s="32">
        <v>73.126613225772331</v>
      </c>
      <c r="F496" s="32">
        <v>137.81744218788248</v>
      </c>
      <c r="I496" s="17"/>
      <c r="J496" s="17"/>
      <c r="K496" s="17"/>
      <c r="L496" s="17"/>
    </row>
    <row r="497" spans="3:12" x14ac:dyDescent="0.25">
      <c r="C497" s="31">
        <f t="shared" ca="1" si="32"/>
        <v>57.390867854338353</v>
      </c>
      <c r="D497" s="31">
        <f t="shared" ca="1" si="32"/>
        <v>99.409495795969178</v>
      </c>
      <c r="E497" s="32">
        <v>72.524919572370322</v>
      </c>
      <c r="F497" s="32">
        <v>133.41959806329376</v>
      </c>
      <c r="I497" s="17"/>
      <c r="J497" s="17"/>
      <c r="K497" s="17"/>
      <c r="L497" s="17"/>
    </row>
    <row r="498" spans="3:12" x14ac:dyDescent="0.25">
      <c r="C498" s="31">
        <f t="shared" ca="1" si="32"/>
        <v>49.017111316294567</v>
      </c>
      <c r="D498" s="31">
        <f t="shared" ca="1" si="32"/>
        <v>101.56786511083661</v>
      </c>
      <c r="E498" s="32">
        <v>51.956603946654312</v>
      </c>
      <c r="F498" s="32">
        <v>127.68915808381887</v>
      </c>
      <c r="I498" s="17"/>
      <c r="J498" s="17"/>
      <c r="K498" s="17"/>
      <c r="L498" s="17"/>
    </row>
    <row r="499" spans="3:12" x14ac:dyDescent="0.25">
      <c r="C499" s="31">
        <f t="shared" ca="1" si="32"/>
        <v>64.847955062771831</v>
      </c>
      <c r="D499" s="31">
        <f t="shared" ca="1" si="32"/>
        <v>121.39870482515788</v>
      </c>
      <c r="E499" s="32">
        <v>81.014569252569999</v>
      </c>
      <c r="F499" s="32">
        <v>112.56262780663505</v>
      </c>
      <c r="I499" s="17"/>
      <c r="J499" s="17"/>
      <c r="K499" s="17"/>
      <c r="L499" s="17"/>
    </row>
    <row r="500" spans="3:12" x14ac:dyDescent="0.25">
      <c r="C500" s="31">
        <f t="shared" ca="1" si="32"/>
        <v>45.889668126592241</v>
      </c>
      <c r="D500" s="31">
        <f t="shared" ca="1" si="32"/>
        <v>126.27901345113514</v>
      </c>
      <c r="E500" s="32">
        <v>51.840184933606366</v>
      </c>
      <c r="F500" s="32">
        <v>69.725036604657888</v>
      </c>
      <c r="I500" s="17"/>
      <c r="J500" s="17"/>
      <c r="K500" s="17"/>
      <c r="L500" s="17"/>
    </row>
    <row r="501" spans="3:12" x14ac:dyDescent="0.25">
      <c r="C501" s="31">
        <f t="shared" ca="1" si="32"/>
        <v>51.59008120854763</v>
      </c>
      <c r="D501" s="31">
        <f t="shared" ca="1" si="32"/>
        <v>112.87130486848538</v>
      </c>
      <c r="E501" s="32">
        <v>69.245979344109301</v>
      </c>
      <c r="F501" s="32">
        <v>161.09533025114524</v>
      </c>
      <c r="I501" s="17"/>
      <c r="J501" s="17"/>
      <c r="K501" s="17"/>
      <c r="L501" s="17"/>
    </row>
    <row r="502" spans="3:12" x14ac:dyDescent="0.25">
      <c r="C502" s="31">
        <f t="shared" ca="1" si="32"/>
        <v>57.271680550150329</v>
      </c>
      <c r="D502" s="31">
        <f t="shared" ca="1" si="32"/>
        <v>79.994546933871035</v>
      </c>
      <c r="E502" s="32">
        <v>55.158855439692601</v>
      </c>
      <c r="F502" s="32">
        <v>77.814043727892056</v>
      </c>
      <c r="I502" s="17"/>
      <c r="J502" s="17"/>
      <c r="K502" s="17"/>
      <c r="L502" s="17"/>
    </row>
    <row r="503" spans="3:12" x14ac:dyDescent="0.25">
      <c r="C503" s="31">
        <f t="shared" ca="1" si="32"/>
        <v>53.309017325051926</v>
      </c>
      <c r="D503" s="31">
        <f t="shared" ca="1" si="32"/>
        <v>99.851736959842881</v>
      </c>
      <c r="E503" s="32">
        <v>65.249175438245302</v>
      </c>
      <c r="F503" s="32">
        <v>141.39390361515842</v>
      </c>
      <c r="I503" s="17"/>
      <c r="J503" s="17"/>
      <c r="K503" s="17"/>
      <c r="L503" s="17"/>
    </row>
    <row r="504" spans="3:12" x14ac:dyDescent="0.25">
      <c r="C504" s="31">
        <f t="shared" ca="1" si="32"/>
        <v>55.618720871925134</v>
      </c>
      <c r="D504" s="31">
        <f t="shared" ca="1" si="32"/>
        <v>139.25817495301786</v>
      </c>
      <c r="E504" s="32">
        <v>62.471152717426591</v>
      </c>
      <c r="F504" s="32">
        <v>110.29886861281111</v>
      </c>
      <c r="I504" s="17"/>
      <c r="J504" s="17"/>
      <c r="K504" s="17"/>
      <c r="L504" s="17"/>
    </row>
    <row r="505" spans="3:12" x14ac:dyDescent="0.25">
      <c r="C505" s="31">
        <f t="shared" ca="1" si="32"/>
        <v>62.025053993053852</v>
      </c>
      <c r="E505">
        <v>43.958403106501166</v>
      </c>
    </row>
    <row r="506" spans="3:12" x14ac:dyDescent="0.25">
      <c r="C506" s="31">
        <f t="shared" ca="1" si="32"/>
        <v>83.083769017753454</v>
      </c>
      <c r="E506">
        <v>52.997120359785022</v>
      </c>
    </row>
    <row r="507" spans="3:12" x14ac:dyDescent="0.25">
      <c r="C507" s="31">
        <f t="shared" ca="1" si="32"/>
        <v>46.155559425438327</v>
      </c>
      <c r="E507">
        <v>51.105578582399517</v>
      </c>
    </row>
    <row r="508" spans="3:12" x14ac:dyDescent="0.25">
      <c r="C508" s="31">
        <f t="shared" ca="1" si="32"/>
        <v>69.785479433608131</v>
      </c>
      <c r="E508">
        <v>64.488257392429972</v>
      </c>
    </row>
    <row r="509" spans="3:12" x14ac:dyDescent="0.25">
      <c r="C509" s="31">
        <f t="shared" ca="1" si="32"/>
        <v>61.701002961766292</v>
      </c>
      <c r="E509">
        <v>65.10031616909734</v>
      </c>
    </row>
    <row r="510" spans="3:12" x14ac:dyDescent="0.25">
      <c r="C510" s="31">
        <f t="shared" ref="C510:C573" ca="1" si="33">_xlfn.NORM.INV(RAND(),C$4,C$5)</f>
        <v>56.673734758969879</v>
      </c>
      <c r="E510">
        <v>67.279530380179025</v>
      </c>
    </row>
    <row r="511" spans="3:12" x14ac:dyDescent="0.25">
      <c r="C511" s="31">
        <f t="shared" ca="1" si="33"/>
        <v>65.13801985331952</v>
      </c>
      <c r="E511">
        <v>46.538911270931948</v>
      </c>
    </row>
    <row r="512" spans="3:12" x14ac:dyDescent="0.25">
      <c r="C512" s="31">
        <f t="shared" ca="1" si="33"/>
        <v>76.131856303339859</v>
      </c>
      <c r="E512">
        <v>49.27507548880115</v>
      </c>
    </row>
    <row r="513" spans="3:5" x14ac:dyDescent="0.25">
      <c r="C513" s="31">
        <f t="shared" ca="1" si="33"/>
        <v>61.919693770164933</v>
      </c>
      <c r="E513">
        <v>54.963692269482209</v>
      </c>
    </row>
    <row r="514" spans="3:5" x14ac:dyDescent="0.25">
      <c r="C514" s="31">
        <f t="shared" ca="1" si="33"/>
        <v>75.034398926695829</v>
      </c>
      <c r="E514">
        <v>72.726791460964364</v>
      </c>
    </row>
    <row r="515" spans="3:5" x14ac:dyDescent="0.25">
      <c r="C515" s="31">
        <f t="shared" ca="1" si="33"/>
        <v>66.122359532211007</v>
      </c>
      <c r="E515">
        <v>61.092023105579827</v>
      </c>
    </row>
    <row r="516" spans="3:5" x14ac:dyDescent="0.25">
      <c r="C516" s="31">
        <f t="shared" ca="1" si="33"/>
        <v>61.771803981427617</v>
      </c>
      <c r="E516">
        <v>69.414102910421718</v>
      </c>
    </row>
    <row r="517" spans="3:5" x14ac:dyDescent="0.25">
      <c r="C517" s="31">
        <f t="shared" ca="1" si="33"/>
        <v>58.328943457958324</v>
      </c>
      <c r="E517">
        <v>47.792802450041961</v>
      </c>
    </row>
    <row r="518" spans="3:5" x14ac:dyDescent="0.25">
      <c r="C518" s="31">
        <f t="shared" ca="1" si="33"/>
        <v>57.55665885684769</v>
      </c>
      <c r="E518">
        <v>63.828288006501843</v>
      </c>
    </row>
    <row r="519" spans="3:5" x14ac:dyDescent="0.25">
      <c r="C519" s="31">
        <f t="shared" ca="1" si="33"/>
        <v>52.809014849161102</v>
      </c>
      <c r="E519">
        <v>55.538238352111257</v>
      </c>
    </row>
    <row r="520" spans="3:5" x14ac:dyDescent="0.25">
      <c r="C520" s="31">
        <f t="shared" ca="1" si="33"/>
        <v>45.934048934023693</v>
      </c>
      <c r="E520">
        <v>59.559429165265023</v>
      </c>
    </row>
    <row r="521" spans="3:5" x14ac:dyDescent="0.25">
      <c r="C521" s="31">
        <f t="shared" ca="1" si="33"/>
        <v>58.914965772483967</v>
      </c>
      <c r="E521">
        <v>56.057112344142347</v>
      </c>
    </row>
    <row r="522" spans="3:5" x14ac:dyDescent="0.25">
      <c r="C522" s="31">
        <f t="shared" ca="1" si="33"/>
        <v>59.246105842389426</v>
      </c>
      <c r="E522">
        <v>65.966181295257186</v>
      </c>
    </row>
    <row r="523" spans="3:5" x14ac:dyDescent="0.25">
      <c r="C523" s="31">
        <f t="shared" ca="1" si="33"/>
        <v>56.971168582633815</v>
      </c>
      <c r="E523">
        <v>49.068701674920128</v>
      </c>
    </row>
    <row r="524" spans="3:5" x14ac:dyDescent="0.25">
      <c r="C524" s="31">
        <f t="shared" ca="1" si="33"/>
        <v>54.408649536306768</v>
      </c>
      <c r="E524">
        <v>61.171965149745752</v>
      </c>
    </row>
    <row r="525" spans="3:5" x14ac:dyDescent="0.25">
      <c r="C525" s="31">
        <f t="shared" ca="1" si="33"/>
        <v>45.316284988132651</v>
      </c>
      <c r="E525">
        <v>65.389193374914342</v>
      </c>
    </row>
    <row r="526" spans="3:5" x14ac:dyDescent="0.25">
      <c r="C526" s="31">
        <f t="shared" ca="1" si="33"/>
        <v>71.398777936109397</v>
      </c>
      <c r="E526">
        <v>36.911873724691866</v>
      </c>
    </row>
    <row r="527" spans="3:5" x14ac:dyDescent="0.25">
      <c r="C527" s="31">
        <f t="shared" ca="1" si="33"/>
        <v>66.482828318672489</v>
      </c>
      <c r="E527">
        <v>64.877029580138881</v>
      </c>
    </row>
    <row r="528" spans="3:5" x14ac:dyDescent="0.25">
      <c r="C528" s="31">
        <f t="shared" ca="1" si="33"/>
        <v>77.177309660383315</v>
      </c>
      <c r="E528">
        <v>53.204142705059589</v>
      </c>
    </row>
    <row r="529" spans="3:5" x14ac:dyDescent="0.25">
      <c r="C529" s="31">
        <f t="shared" ca="1" si="33"/>
        <v>56.107952620855166</v>
      </c>
      <c r="E529">
        <v>64.898608522781615</v>
      </c>
    </row>
    <row r="530" spans="3:5" x14ac:dyDescent="0.25">
      <c r="C530" s="31">
        <f t="shared" ca="1" si="33"/>
        <v>75.348296399312204</v>
      </c>
      <c r="E530">
        <v>47.594703727581873</v>
      </c>
    </row>
    <row r="531" spans="3:5" x14ac:dyDescent="0.25">
      <c r="C531" s="31">
        <f t="shared" ca="1" si="33"/>
        <v>65.53806341241679</v>
      </c>
      <c r="E531">
        <v>51.333241435055427</v>
      </c>
    </row>
    <row r="532" spans="3:5" x14ac:dyDescent="0.25">
      <c r="C532" s="31">
        <f t="shared" ca="1" si="33"/>
        <v>52.646652320955909</v>
      </c>
      <c r="E532">
        <v>49.864008124009672</v>
      </c>
    </row>
    <row r="533" spans="3:5" x14ac:dyDescent="0.25">
      <c r="C533" s="31">
        <f t="shared" ca="1" si="33"/>
        <v>53.440701140255975</v>
      </c>
      <c r="E533">
        <v>59.069945930168565</v>
      </c>
    </row>
    <row r="534" spans="3:5" x14ac:dyDescent="0.25">
      <c r="C534" s="31">
        <f t="shared" ca="1" si="33"/>
        <v>87.858037440317005</v>
      </c>
      <c r="E534">
        <v>59.084944545171965</v>
      </c>
    </row>
    <row r="535" spans="3:5" x14ac:dyDescent="0.25">
      <c r="C535" s="31">
        <f t="shared" ca="1" si="33"/>
        <v>86.948319710680224</v>
      </c>
      <c r="E535">
        <v>49.20738621551159</v>
      </c>
    </row>
    <row r="536" spans="3:5" x14ac:dyDescent="0.25">
      <c r="C536" s="31">
        <f t="shared" ca="1" si="33"/>
        <v>45.108494127518171</v>
      </c>
      <c r="E536">
        <v>50.15614713422049</v>
      </c>
    </row>
    <row r="537" spans="3:5" x14ac:dyDescent="0.25">
      <c r="C537" s="31">
        <f t="shared" ca="1" si="33"/>
        <v>56.873359598006864</v>
      </c>
      <c r="E537">
        <v>63.370902432989126</v>
      </c>
    </row>
    <row r="538" spans="3:5" x14ac:dyDescent="0.25">
      <c r="C538" s="31">
        <f t="shared" ca="1" si="33"/>
        <v>62.2445389942486</v>
      </c>
      <c r="E538">
        <v>64.774698096665674</v>
      </c>
    </row>
    <row r="539" spans="3:5" x14ac:dyDescent="0.25">
      <c r="C539" s="31">
        <f t="shared" ca="1" si="33"/>
        <v>61.188241000649526</v>
      </c>
      <c r="E539">
        <v>47.979029731687795</v>
      </c>
    </row>
    <row r="540" spans="3:5" x14ac:dyDescent="0.25">
      <c r="C540" s="31">
        <f t="shared" ca="1" si="33"/>
        <v>55.410922137409095</v>
      </c>
      <c r="E540">
        <v>82.711294232676295</v>
      </c>
    </row>
    <row r="541" spans="3:5" x14ac:dyDescent="0.25">
      <c r="C541" s="31">
        <f t="shared" ca="1" si="33"/>
        <v>50.904159120284319</v>
      </c>
      <c r="E541">
        <v>59.091045765025306</v>
      </c>
    </row>
    <row r="542" spans="3:5" x14ac:dyDescent="0.25">
      <c r="C542" s="31">
        <f t="shared" ca="1" si="33"/>
        <v>65.077122063846133</v>
      </c>
      <c r="E542">
        <v>64.163743657089029</v>
      </c>
    </row>
    <row r="543" spans="3:5" x14ac:dyDescent="0.25">
      <c r="C543" s="31">
        <f t="shared" ca="1" si="33"/>
        <v>45.94872436758962</v>
      </c>
      <c r="E543">
        <v>79.169502748517488</v>
      </c>
    </row>
    <row r="544" spans="3:5" x14ac:dyDescent="0.25">
      <c r="C544" s="31">
        <f t="shared" ca="1" si="33"/>
        <v>60.704111266036847</v>
      </c>
      <c r="E544">
        <v>55.345549552651214</v>
      </c>
    </row>
    <row r="545" spans="3:5" x14ac:dyDescent="0.25">
      <c r="C545" s="31">
        <f t="shared" ca="1" si="33"/>
        <v>50.025226401138603</v>
      </c>
      <c r="E545">
        <v>76.484370164577612</v>
      </c>
    </row>
    <row r="546" spans="3:5" x14ac:dyDescent="0.25">
      <c r="C546" s="31">
        <f t="shared" ca="1" si="33"/>
        <v>49.677772810382599</v>
      </c>
      <c r="E546">
        <v>54.582804278471954</v>
      </c>
    </row>
    <row r="547" spans="3:5" x14ac:dyDescent="0.25">
      <c r="C547" s="31">
        <f t="shared" ca="1" si="33"/>
        <v>52.052291028994169</v>
      </c>
      <c r="E547">
        <v>66.19895258610039</v>
      </c>
    </row>
    <row r="548" spans="3:5" x14ac:dyDescent="0.25">
      <c r="C548" s="31">
        <f t="shared" ca="1" si="33"/>
        <v>60.072169504275649</v>
      </c>
      <c r="E548">
        <v>56.840258222200902</v>
      </c>
    </row>
    <row r="549" spans="3:5" x14ac:dyDescent="0.25">
      <c r="C549" s="31">
        <f t="shared" ca="1" si="33"/>
        <v>65.952727764852824</v>
      </c>
      <c r="E549">
        <v>55.038707285909069</v>
      </c>
    </row>
    <row r="550" spans="3:5" x14ac:dyDescent="0.25">
      <c r="C550" s="31">
        <f t="shared" ca="1" si="33"/>
        <v>52.021956736553335</v>
      </c>
      <c r="E550">
        <v>37.221335436028838</v>
      </c>
    </row>
    <row r="551" spans="3:5" x14ac:dyDescent="0.25">
      <c r="C551" s="31">
        <f t="shared" ca="1" si="33"/>
        <v>41.406456670644388</v>
      </c>
      <c r="E551">
        <v>35.867290751284507</v>
      </c>
    </row>
    <row r="552" spans="3:5" x14ac:dyDescent="0.25">
      <c r="C552" s="31">
        <f t="shared" ca="1" si="33"/>
        <v>66.71496047732829</v>
      </c>
      <c r="E552">
        <v>52.687089633044863</v>
      </c>
    </row>
    <row r="553" spans="3:5" x14ac:dyDescent="0.25">
      <c r="C553" s="31">
        <f t="shared" ca="1" si="33"/>
        <v>55.499444152220747</v>
      </c>
      <c r="E553">
        <v>50.898703580976701</v>
      </c>
    </row>
    <row r="554" spans="3:5" x14ac:dyDescent="0.25">
      <c r="C554" s="31">
        <f t="shared" ca="1" si="33"/>
        <v>49.748017819395166</v>
      </c>
      <c r="E554">
        <v>78.438223885996933</v>
      </c>
    </row>
    <row r="555" spans="3:5" x14ac:dyDescent="0.25">
      <c r="C555" s="31">
        <f t="shared" ca="1" si="33"/>
        <v>70.470423326765641</v>
      </c>
      <c r="E555">
        <v>74.660353460728018</v>
      </c>
    </row>
    <row r="556" spans="3:5" x14ac:dyDescent="0.25">
      <c r="C556" s="31">
        <f t="shared" ca="1" si="33"/>
        <v>74.497898180318757</v>
      </c>
      <c r="E556">
        <v>67.873757901920897</v>
      </c>
    </row>
    <row r="557" spans="3:5" x14ac:dyDescent="0.25">
      <c r="C557" s="31">
        <f t="shared" ca="1" si="33"/>
        <v>64.710967412196922</v>
      </c>
      <c r="E557">
        <v>60.782749198318513</v>
      </c>
    </row>
    <row r="558" spans="3:5" x14ac:dyDescent="0.25">
      <c r="C558" s="31">
        <f t="shared" ca="1" si="33"/>
        <v>68.273646075667699</v>
      </c>
      <c r="E558">
        <v>64.69246530035727</v>
      </c>
    </row>
    <row r="559" spans="3:5" x14ac:dyDescent="0.25">
      <c r="C559" s="31">
        <f t="shared" ca="1" si="33"/>
        <v>61.792922444907425</v>
      </c>
      <c r="E559">
        <v>64.511353137527152</v>
      </c>
    </row>
    <row r="560" spans="3:5" x14ac:dyDescent="0.25">
      <c r="C560" s="31">
        <f t="shared" ca="1" si="33"/>
        <v>66.704114210637158</v>
      </c>
      <c r="E560">
        <v>30.832877593036816</v>
      </c>
    </row>
    <row r="561" spans="3:5" x14ac:dyDescent="0.25">
      <c r="C561" s="31">
        <f t="shared" ca="1" si="33"/>
        <v>59.112493436661296</v>
      </c>
      <c r="E561">
        <v>48.818796824938204</v>
      </c>
    </row>
    <row r="562" spans="3:5" x14ac:dyDescent="0.25">
      <c r="C562" s="31">
        <f t="shared" ca="1" si="33"/>
        <v>81.310423368178931</v>
      </c>
      <c r="E562">
        <v>51.851693451036368</v>
      </c>
    </row>
    <row r="563" spans="3:5" x14ac:dyDescent="0.25">
      <c r="C563" s="31">
        <f t="shared" ca="1" si="33"/>
        <v>65.129257369558758</v>
      </c>
      <c r="E563">
        <v>52.462242513894608</v>
      </c>
    </row>
    <row r="564" spans="3:5" x14ac:dyDescent="0.25">
      <c r="C564" s="31">
        <f t="shared" ca="1" si="33"/>
        <v>50.802489082309421</v>
      </c>
      <c r="E564">
        <v>49.434691022876393</v>
      </c>
    </row>
    <row r="565" spans="3:5" x14ac:dyDescent="0.25">
      <c r="C565" s="31">
        <f t="shared" ca="1" si="33"/>
        <v>59.134852372811878</v>
      </c>
      <c r="E565">
        <v>60.156290263607332</v>
      </c>
    </row>
    <row r="566" spans="3:5" x14ac:dyDescent="0.25">
      <c r="C566" s="31">
        <f t="shared" ca="1" si="33"/>
        <v>54.77570868247669</v>
      </c>
      <c r="E566">
        <v>67.514246350731682</v>
      </c>
    </row>
    <row r="567" spans="3:5" x14ac:dyDescent="0.25">
      <c r="C567" s="31">
        <f t="shared" ca="1" si="33"/>
        <v>52.08168184831829</v>
      </c>
      <c r="E567">
        <v>70.920555573227773</v>
      </c>
    </row>
    <row r="568" spans="3:5" x14ac:dyDescent="0.25">
      <c r="C568" s="31">
        <f t="shared" ca="1" si="33"/>
        <v>58.580605974168023</v>
      </c>
      <c r="E568">
        <v>50.908005630775655</v>
      </c>
    </row>
    <row r="569" spans="3:5" x14ac:dyDescent="0.25">
      <c r="C569" s="31">
        <f t="shared" ca="1" si="33"/>
        <v>60.897698519106321</v>
      </c>
      <c r="E569">
        <v>60.120410689073289</v>
      </c>
    </row>
    <row r="570" spans="3:5" x14ac:dyDescent="0.25">
      <c r="C570" s="31">
        <f t="shared" ca="1" si="33"/>
        <v>45.908320358554057</v>
      </c>
      <c r="E570">
        <v>68.504454456280612</v>
      </c>
    </row>
    <row r="571" spans="3:5" x14ac:dyDescent="0.25">
      <c r="C571" s="31">
        <f t="shared" ca="1" si="33"/>
        <v>66.361644457114039</v>
      </c>
      <c r="E571">
        <v>57.053359351503502</v>
      </c>
    </row>
    <row r="572" spans="3:5" x14ac:dyDescent="0.25">
      <c r="C572" s="31">
        <f t="shared" ca="1" si="33"/>
        <v>71.405866365894269</v>
      </c>
      <c r="E572">
        <v>56.798780113076404</v>
      </c>
    </row>
    <row r="573" spans="3:5" x14ac:dyDescent="0.25">
      <c r="C573" s="31">
        <f t="shared" ca="1" si="33"/>
        <v>61.215632599079704</v>
      </c>
      <c r="E573">
        <v>51.434484564625222</v>
      </c>
    </row>
    <row r="574" spans="3:5" x14ac:dyDescent="0.25">
      <c r="C574" s="31">
        <f t="shared" ref="C574:C637" ca="1" si="34">_xlfn.NORM.INV(RAND(),C$4,C$5)</f>
        <v>61.081791242509595</v>
      </c>
      <c r="E574">
        <v>55.316282203936801</v>
      </c>
    </row>
    <row r="575" spans="3:5" x14ac:dyDescent="0.25">
      <c r="C575" s="31">
        <f t="shared" ca="1" si="34"/>
        <v>64.290978091048544</v>
      </c>
      <c r="E575">
        <v>43.400782128576012</v>
      </c>
    </row>
    <row r="576" spans="3:5" x14ac:dyDescent="0.25">
      <c r="C576" s="31">
        <f t="shared" ca="1" si="34"/>
        <v>39.66390357858824</v>
      </c>
      <c r="E576">
        <v>81.812105097572783</v>
      </c>
    </row>
    <row r="577" spans="3:5" x14ac:dyDescent="0.25">
      <c r="C577" s="31">
        <f t="shared" ca="1" si="34"/>
        <v>73.431841751807227</v>
      </c>
      <c r="E577">
        <v>61.659566610408007</v>
      </c>
    </row>
    <row r="578" spans="3:5" x14ac:dyDescent="0.25">
      <c r="C578" s="31">
        <f t="shared" ca="1" si="34"/>
        <v>70.525394360745409</v>
      </c>
      <c r="E578">
        <v>63.147355059541781</v>
      </c>
    </row>
    <row r="579" spans="3:5" x14ac:dyDescent="0.25">
      <c r="C579" s="31">
        <f t="shared" ca="1" si="34"/>
        <v>61.472402476577145</v>
      </c>
      <c r="E579">
        <v>64.114385521273363</v>
      </c>
    </row>
    <row r="580" spans="3:5" x14ac:dyDescent="0.25">
      <c r="C580" s="31">
        <f t="shared" ca="1" si="34"/>
        <v>62.428462287810646</v>
      </c>
      <c r="E580">
        <v>66.86591772225303</v>
      </c>
    </row>
    <row r="581" spans="3:5" x14ac:dyDescent="0.25">
      <c r="C581" s="31">
        <f t="shared" ca="1" si="34"/>
        <v>71.956180960029357</v>
      </c>
      <c r="E581">
        <v>62.261218316005071</v>
      </c>
    </row>
    <row r="582" spans="3:5" x14ac:dyDescent="0.25">
      <c r="C582" s="31">
        <f t="shared" ca="1" si="34"/>
        <v>49.580733581915496</v>
      </c>
      <c r="E582">
        <v>67.103058292764416</v>
      </c>
    </row>
    <row r="583" spans="3:5" x14ac:dyDescent="0.25">
      <c r="C583" s="31">
        <f t="shared" ca="1" si="34"/>
        <v>67.705630104189169</v>
      </c>
      <c r="E583">
        <v>71.364117398379733</v>
      </c>
    </row>
    <row r="584" spans="3:5" x14ac:dyDescent="0.25">
      <c r="C584" s="31">
        <f t="shared" ca="1" si="34"/>
        <v>60.429772236114268</v>
      </c>
      <c r="E584">
        <v>59.473493598094336</v>
      </c>
    </row>
    <row r="585" spans="3:5" x14ac:dyDescent="0.25">
      <c r="C585" s="31">
        <f t="shared" ca="1" si="34"/>
        <v>42.265380203137994</v>
      </c>
      <c r="E585">
        <v>47.431003782633709</v>
      </c>
    </row>
    <row r="586" spans="3:5" x14ac:dyDescent="0.25">
      <c r="C586" s="31">
        <f t="shared" ca="1" si="34"/>
        <v>54.119222089679148</v>
      </c>
      <c r="E586">
        <v>60.580883143836317</v>
      </c>
    </row>
    <row r="587" spans="3:5" x14ac:dyDescent="0.25">
      <c r="C587" s="31">
        <f t="shared" ca="1" si="34"/>
        <v>59.125111661492632</v>
      </c>
      <c r="E587">
        <v>60.616871472724164</v>
      </c>
    </row>
    <row r="588" spans="3:5" x14ac:dyDescent="0.25">
      <c r="C588" s="31">
        <f t="shared" ca="1" si="34"/>
        <v>60.084711383460728</v>
      </c>
      <c r="E588">
        <v>60.269871674501729</v>
      </c>
    </row>
    <row r="589" spans="3:5" x14ac:dyDescent="0.25">
      <c r="C589" s="31">
        <f t="shared" ca="1" si="34"/>
        <v>54.2769635563169</v>
      </c>
      <c r="E589">
        <v>65.395303644984537</v>
      </c>
    </row>
    <row r="590" spans="3:5" x14ac:dyDescent="0.25">
      <c r="C590" s="31">
        <f t="shared" ca="1" si="34"/>
        <v>34.267586309105553</v>
      </c>
      <c r="E590">
        <v>65.442340080226487</v>
      </c>
    </row>
    <row r="591" spans="3:5" x14ac:dyDescent="0.25">
      <c r="C591" s="31">
        <f t="shared" ca="1" si="34"/>
        <v>43.586921839155529</v>
      </c>
      <c r="E591">
        <v>57.107446435769475</v>
      </c>
    </row>
    <row r="592" spans="3:5" x14ac:dyDescent="0.25">
      <c r="C592" s="31">
        <f t="shared" ca="1" si="34"/>
        <v>55.226027599689289</v>
      </c>
      <c r="E592">
        <v>71.186631681280176</v>
      </c>
    </row>
    <row r="593" spans="3:5" x14ac:dyDescent="0.25">
      <c r="C593" s="31">
        <f t="shared" ca="1" si="34"/>
        <v>58.279505382945402</v>
      </c>
      <c r="E593">
        <v>58.280509677452066</v>
      </c>
    </row>
    <row r="594" spans="3:5" x14ac:dyDescent="0.25">
      <c r="C594" s="31">
        <f t="shared" ca="1" si="34"/>
        <v>63.824219130632471</v>
      </c>
      <c r="E594">
        <v>66.991386080034189</v>
      </c>
    </row>
    <row r="595" spans="3:5" x14ac:dyDescent="0.25">
      <c r="C595" s="31">
        <f t="shared" ca="1" si="34"/>
        <v>76.66537917288305</v>
      </c>
      <c r="E595">
        <v>64.515533171979968</v>
      </c>
    </row>
    <row r="596" spans="3:5" x14ac:dyDescent="0.25">
      <c r="C596" s="31">
        <f t="shared" ca="1" si="34"/>
        <v>57.776226858169196</v>
      </c>
      <c r="E596">
        <v>57.090740236636435</v>
      </c>
    </row>
    <row r="597" spans="3:5" x14ac:dyDescent="0.25">
      <c r="C597" s="31">
        <f t="shared" ca="1" si="34"/>
        <v>65.840851608115642</v>
      </c>
      <c r="E597">
        <v>51.392922743589828</v>
      </c>
    </row>
    <row r="598" spans="3:5" x14ac:dyDescent="0.25">
      <c r="C598" s="31">
        <f t="shared" ca="1" si="34"/>
        <v>80.291281585172172</v>
      </c>
      <c r="E598">
        <v>67.114860031822005</v>
      </c>
    </row>
    <row r="599" spans="3:5" x14ac:dyDescent="0.25">
      <c r="C599" s="31">
        <f t="shared" ca="1" si="34"/>
        <v>59.397634418031217</v>
      </c>
      <c r="E599">
        <v>74.698417424610966</v>
      </c>
    </row>
    <row r="600" spans="3:5" x14ac:dyDescent="0.25">
      <c r="C600" s="31">
        <f t="shared" ca="1" si="34"/>
        <v>50.692201358856025</v>
      </c>
      <c r="E600">
        <v>74.097366388782021</v>
      </c>
    </row>
    <row r="601" spans="3:5" x14ac:dyDescent="0.25">
      <c r="C601" s="31">
        <f t="shared" ca="1" si="34"/>
        <v>58.71542650613403</v>
      </c>
      <c r="E601">
        <v>68.787582757110613</v>
      </c>
    </row>
    <row r="602" spans="3:5" x14ac:dyDescent="0.25">
      <c r="C602" s="31">
        <f t="shared" ca="1" si="34"/>
        <v>61.360174520492443</v>
      </c>
      <c r="E602">
        <v>68.793195822113347</v>
      </c>
    </row>
    <row r="603" spans="3:5" x14ac:dyDescent="0.25">
      <c r="C603" s="31">
        <f t="shared" ca="1" si="34"/>
        <v>44.294681955249764</v>
      </c>
      <c r="E603">
        <v>69.625416654513515</v>
      </c>
    </row>
    <row r="604" spans="3:5" x14ac:dyDescent="0.25">
      <c r="C604" s="31">
        <f t="shared" ca="1" si="34"/>
        <v>66.496565233901265</v>
      </c>
      <c r="E604">
        <v>54.333039016471048</v>
      </c>
    </row>
    <row r="605" spans="3:5" x14ac:dyDescent="0.25">
      <c r="C605" s="31">
        <f t="shared" ca="1" si="34"/>
        <v>49.27869100002674</v>
      </c>
      <c r="E605">
        <v>57.73523268879417</v>
      </c>
    </row>
    <row r="606" spans="3:5" x14ac:dyDescent="0.25">
      <c r="C606" s="31">
        <f t="shared" ca="1" si="34"/>
        <v>54.215723639798441</v>
      </c>
      <c r="E606">
        <v>73.229834835763754</v>
      </c>
    </row>
    <row r="607" spans="3:5" x14ac:dyDescent="0.25">
      <c r="C607" s="31">
        <f t="shared" ca="1" si="34"/>
        <v>53.773448719343477</v>
      </c>
      <c r="E607">
        <v>66.797212140130341</v>
      </c>
    </row>
    <row r="608" spans="3:5" x14ac:dyDescent="0.25">
      <c r="C608" s="31">
        <f t="shared" ca="1" si="34"/>
        <v>54.494256858214463</v>
      </c>
      <c r="E608">
        <v>60.499190887180966</v>
      </c>
    </row>
    <row r="609" spans="3:5" x14ac:dyDescent="0.25">
      <c r="C609" s="31">
        <f t="shared" ca="1" si="34"/>
        <v>63.820921325914107</v>
      </c>
      <c r="E609">
        <v>58.658542923981493</v>
      </c>
    </row>
    <row r="610" spans="3:5" x14ac:dyDescent="0.25">
      <c r="C610" s="31">
        <f t="shared" ca="1" si="34"/>
        <v>67.228196254272447</v>
      </c>
      <c r="E610">
        <v>61.249928575836542</v>
      </c>
    </row>
    <row r="611" spans="3:5" x14ac:dyDescent="0.25">
      <c r="C611" s="31">
        <f t="shared" ca="1" si="34"/>
        <v>74.00968465984198</v>
      </c>
      <c r="E611">
        <v>61.797871585732302</v>
      </c>
    </row>
    <row r="612" spans="3:5" x14ac:dyDescent="0.25">
      <c r="C612" s="31">
        <f t="shared" ca="1" si="34"/>
        <v>46.366686785615983</v>
      </c>
      <c r="E612">
        <v>55.970784676320122</v>
      </c>
    </row>
    <row r="613" spans="3:5" x14ac:dyDescent="0.25">
      <c r="C613" s="31">
        <f t="shared" ca="1" si="34"/>
        <v>66.8752739252986</v>
      </c>
      <c r="E613">
        <v>60.893520392726472</v>
      </c>
    </row>
    <row r="614" spans="3:5" x14ac:dyDescent="0.25">
      <c r="C614" s="31">
        <f t="shared" ca="1" si="34"/>
        <v>61.15892718773997</v>
      </c>
      <c r="E614">
        <v>63.626638166105742</v>
      </c>
    </row>
    <row r="615" spans="3:5" x14ac:dyDescent="0.25">
      <c r="C615" s="31">
        <f t="shared" ca="1" si="34"/>
        <v>69.124141471553614</v>
      </c>
      <c r="E615">
        <v>68.086950482704665</v>
      </c>
    </row>
    <row r="616" spans="3:5" x14ac:dyDescent="0.25">
      <c r="C616" s="31">
        <f t="shared" ca="1" si="34"/>
        <v>71.278567664503399</v>
      </c>
      <c r="E616">
        <v>51.658167403456716</v>
      </c>
    </row>
    <row r="617" spans="3:5" x14ac:dyDescent="0.25">
      <c r="C617" s="31">
        <f t="shared" ca="1" si="34"/>
        <v>43.254974780202815</v>
      </c>
      <c r="E617">
        <v>60.080045930362907</v>
      </c>
    </row>
    <row r="618" spans="3:5" x14ac:dyDescent="0.25">
      <c r="C618" s="31">
        <f t="shared" ca="1" si="34"/>
        <v>68.741019449147714</v>
      </c>
      <c r="E618">
        <v>63.051638250057756</v>
      </c>
    </row>
    <row r="619" spans="3:5" x14ac:dyDescent="0.25">
      <c r="C619" s="31">
        <f t="shared" ca="1" si="34"/>
        <v>72.229921154413589</v>
      </c>
      <c r="E619">
        <v>68.611206376054582</v>
      </c>
    </row>
    <row r="620" spans="3:5" x14ac:dyDescent="0.25">
      <c r="C620" s="31">
        <f t="shared" ca="1" si="34"/>
        <v>41.537461366782424</v>
      </c>
      <c r="E620">
        <v>61.526790478607481</v>
      </c>
    </row>
    <row r="621" spans="3:5" x14ac:dyDescent="0.25">
      <c r="C621" s="31">
        <f t="shared" ca="1" si="34"/>
        <v>41.019548633957783</v>
      </c>
      <c r="E621">
        <v>56.671885792230491</v>
      </c>
    </row>
    <row r="622" spans="3:5" x14ac:dyDescent="0.25">
      <c r="C622" s="31">
        <f t="shared" ca="1" si="34"/>
        <v>71.592962122060072</v>
      </c>
      <c r="E622">
        <v>35.523327715025594</v>
      </c>
    </row>
    <row r="623" spans="3:5" x14ac:dyDescent="0.25">
      <c r="C623" s="31">
        <f t="shared" ca="1" si="34"/>
        <v>63.352832687603311</v>
      </c>
      <c r="E623">
        <v>72.409402532686968</v>
      </c>
    </row>
    <row r="624" spans="3:5" x14ac:dyDescent="0.25">
      <c r="C624" s="31">
        <f t="shared" ca="1" si="34"/>
        <v>75.146858175834481</v>
      </c>
      <c r="E624">
        <v>65.894166542183186</v>
      </c>
    </row>
    <row r="625" spans="3:5" x14ac:dyDescent="0.25">
      <c r="C625" s="31">
        <f t="shared" ca="1" si="34"/>
        <v>51.260403912662497</v>
      </c>
      <c r="E625">
        <v>58.537221760876434</v>
      </c>
    </row>
    <row r="626" spans="3:5" x14ac:dyDescent="0.25">
      <c r="C626" s="31">
        <f t="shared" ca="1" si="34"/>
        <v>55.882889477359491</v>
      </c>
      <c r="E626">
        <v>60.276061755325983</v>
      </c>
    </row>
    <row r="627" spans="3:5" x14ac:dyDescent="0.25">
      <c r="C627" s="31">
        <f t="shared" ca="1" si="34"/>
        <v>46.216768155275702</v>
      </c>
      <c r="E627">
        <v>52.785813807020844</v>
      </c>
    </row>
    <row r="628" spans="3:5" x14ac:dyDescent="0.25">
      <c r="C628" s="31">
        <f t="shared" ca="1" si="34"/>
        <v>47.464799591866722</v>
      </c>
      <c r="E628">
        <v>54.882489775012473</v>
      </c>
    </row>
    <row r="629" spans="3:5" x14ac:dyDescent="0.25">
      <c r="C629" s="31">
        <f t="shared" ca="1" si="34"/>
        <v>67.733173594361432</v>
      </c>
      <c r="E629">
        <v>56.998288729486831</v>
      </c>
    </row>
    <row r="630" spans="3:5" x14ac:dyDescent="0.25">
      <c r="C630" s="31">
        <f t="shared" ca="1" si="34"/>
        <v>76.544880867607887</v>
      </c>
      <c r="E630">
        <v>72.603326126465802</v>
      </c>
    </row>
    <row r="631" spans="3:5" x14ac:dyDescent="0.25">
      <c r="C631" s="31">
        <f t="shared" ca="1" si="34"/>
        <v>64.416619928214701</v>
      </c>
      <c r="E631">
        <v>63.38486090381123</v>
      </c>
    </row>
    <row r="632" spans="3:5" x14ac:dyDescent="0.25">
      <c r="C632" s="31">
        <f t="shared" ca="1" si="34"/>
        <v>64.096789807548063</v>
      </c>
      <c r="E632">
        <v>60.767702166005051</v>
      </c>
    </row>
    <row r="633" spans="3:5" x14ac:dyDescent="0.25">
      <c r="C633" s="31">
        <f t="shared" ca="1" si="34"/>
        <v>53.359936240510507</v>
      </c>
      <c r="E633">
        <v>46.402840023402746</v>
      </c>
    </row>
    <row r="634" spans="3:5" x14ac:dyDescent="0.25">
      <c r="C634" s="31">
        <f t="shared" ca="1" si="34"/>
        <v>47.561263689477428</v>
      </c>
      <c r="E634">
        <v>58.215678210425231</v>
      </c>
    </row>
    <row r="635" spans="3:5" x14ac:dyDescent="0.25">
      <c r="C635" s="31">
        <f t="shared" ca="1" si="34"/>
        <v>48.813842019708005</v>
      </c>
      <c r="E635">
        <v>52.939814148274337</v>
      </c>
    </row>
    <row r="636" spans="3:5" x14ac:dyDescent="0.25">
      <c r="C636" s="31">
        <f t="shared" ca="1" si="34"/>
        <v>53.327188047914916</v>
      </c>
      <c r="E636">
        <v>57.557011950316209</v>
      </c>
    </row>
    <row r="637" spans="3:5" x14ac:dyDescent="0.25">
      <c r="C637" s="31">
        <f t="shared" ca="1" si="34"/>
        <v>68.628976247322669</v>
      </c>
      <c r="E637">
        <v>65.88770355458351</v>
      </c>
    </row>
    <row r="638" spans="3:5" x14ac:dyDescent="0.25">
      <c r="C638" s="31">
        <f t="shared" ref="C638:C701" ca="1" si="35">_xlfn.NORM.INV(RAND(),C$4,C$5)</f>
        <v>65.532532276085433</v>
      </c>
      <c r="E638">
        <v>74.011066665554125</v>
      </c>
    </row>
    <row r="639" spans="3:5" x14ac:dyDescent="0.25">
      <c r="C639" s="31">
        <f t="shared" ca="1" si="35"/>
        <v>45.797672614504158</v>
      </c>
      <c r="E639">
        <v>73.565874395252152</v>
      </c>
    </row>
    <row r="640" spans="3:5" x14ac:dyDescent="0.25">
      <c r="C640" s="31">
        <f t="shared" ca="1" si="35"/>
        <v>59.765363853657426</v>
      </c>
      <c r="E640">
        <v>44.115970276275718</v>
      </c>
    </row>
    <row r="641" spans="3:5" x14ac:dyDescent="0.25">
      <c r="C641" s="31">
        <f t="shared" ca="1" si="35"/>
        <v>50.952741919903943</v>
      </c>
      <c r="E641">
        <v>65.05363317434005</v>
      </c>
    </row>
    <row r="642" spans="3:5" x14ac:dyDescent="0.25">
      <c r="C642" s="31">
        <f t="shared" ca="1" si="35"/>
        <v>66.233711480968623</v>
      </c>
      <c r="E642">
        <v>49.727080223653104</v>
      </c>
    </row>
    <row r="643" spans="3:5" x14ac:dyDescent="0.25">
      <c r="C643" s="31">
        <f t="shared" ca="1" si="35"/>
        <v>67.281126432226827</v>
      </c>
      <c r="E643">
        <v>58.302442194350846</v>
      </c>
    </row>
    <row r="644" spans="3:5" x14ac:dyDescent="0.25">
      <c r="C644" s="31">
        <f t="shared" ca="1" si="35"/>
        <v>51.104381883691019</v>
      </c>
      <c r="E644">
        <v>57.466011863633305</v>
      </c>
    </row>
    <row r="645" spans="3:5" x14ac:dyDescent="0.25">
      <c r="C645" s="31">
        <f t="shared" ca="1" si="35"/>
        <v>63.24247901258498</v>
      </c>
      <c r="E645">
        <v>66.346679625437631</v>
      </c>
    </row>
    <row r="646" spans="3:5" x14ac:dyDescent="0.25">
      <c r="C646" s="31">
        <f t="shared" ca="1" si="35"/>
        <v>36.962567175444278</v>
      </c>
      <c r="E646">
        <v>69.199645648006197</v>
      </c>
    </row>
    <row r="647" spans="3:5" x14ac:dyDescent="0.25">
      <c r="C647" s="31">
        <f t="shared" ca="1" si="35"/>
        <v>71.008421512895779</v>
      </c>
      <c r="E647">
        <v>67.604002950240002</v>
      </c>
    </row>
    <row r="648" spans="3:5" x14ac:dyDescent="0.25">
      <c r="C648" s="31">
        <f t="shared" ca="1" si="35"/>
        <v>60.647238091173044</v>
      </c>
      <c r="E648">
        <v>56.855326360279228</v>
      </c>
    </row>
    <row r="649" spans="3:5" x14ac:dyDescent="0.25">
      <c r="C649" s="31">
        <f t="shared" ca="1" si="35"/>
        <v>63.298356203917216</v>
      </c>
      <c r="E649">
        <v>64.439682700069568</v>
      </c>
    </row>
    <row r="650" spans="3:5" x14ac:dyDescent="0.25">
      <c r="C650" s="31">
        <f t="shared" ca="1" si="35"/>
        <v>45.108121946767689</v>
      </c>
      <c r="E650">
        <v>48.710072810634273</v>
      </c>
    </row>
    <row r="651" spans="3:5" x14ac:dyDescent="0.25">
      <c r="C651" s="31">
        <f t="shared" ca="1" si="35"/>
        <v>64.972742177787296</v>
      </c>
      <c r="E651">
        <v>58.072052131183398</v>
      </c>
    </row>
    <row r="652" spans="3:5" x14ac:dyDescent="0.25">
      <c r="C652" s="31">
        <f t="shared" ca="1" si="35"/>
        <v>59.953567611259608</v>
      </c>
      <c r="E652">
        <v>56.988978618689643</v>
      </c>
    </row>
    <row r="653" spans="3:5" x14ac:dyDescent="0.25">
      <c r="C653" s="31">
        <f t="shared" ca="1" si="35"/>
        <v>81.700713881429863</v>
      </c>
      <c r="E653">
        <v>54.929119416472155</v>
      </c>
    </row>
    <row r="654" spans="3:5" x14ac:dyDescent="0.25">
      <c r="C654" s="31">
        <f t="shared" ca="1" si="35"/>
        <v>52.893855862890199</v>
      </c>
      <c r="E654">
        <v>74.682562418424581</v>
      </c>
    </row>
    <row r="655" spans="3:5" x14ac:dyDescent="0.25">
      <c r="C655" s="31">
        <f t="shared" ca="1" si="35"/>
        <v>67.361669303732853</v>
      </c>
      <c r="E655">
        <v>48.26135514531795</v>
      </c>
    </row>
    <row r="656" spans="3:5" x14ac:dyDescent="0.25">
      <c r="C656" s="31">
        <f t="shared" ca="1" si="35"/>
        <v>69.266310872634762</v>
      </c>
      <c r="E656">
        <v>47.306746264283596</v>
      </c>
    </row>
    <row r="657" spans="3:5" x14ac:dyDescent="0.25">
      <c r="C657" s="31">
        <f t="shared" ca="1" si="35"/>
        <v>56.797411415452302</v>
      </c>
      <c r="E657">
        <v>58.885878545910508</v>
      </c>
    </row>
    <row r="658" spans="3:5" x14ac:dyDescent="0.25">
      <c r="C658" s="31">
        <f t="shared" ca="1" si="35"/>
        <v>53.383138661154064</v>
      </c>
      <c r="E658">
        <v>42.778353356333966</v>
      </c>
    </row>
    <row r="659" spans="3:5" x14ac:dyDescent="0.25">
      <c r="C659" s="31">
        <f t="shared" ca="1" si="35"/>
        <v>61.617210832033535</v>
      </c>
      <c r="E659">
        <v>72.976143851034649</v>
      </c>
    </row>
    <row r="660" spans="3:5" x14ac:dyDescent="0.25">
      <c r="C660" s="31">
        <f t="shared" ca="1" si="35"/>
        <v>46.775237765040373</v>
      </c>
      <c r="E660">
        <v>65.540628228468236</v>
      </c>
    </row>
    <row r="661" spans="3:5" x14ac:dyDescent="0.25">
      <c r="C661" s="31">
        <f t="shared" ca="1" si="35"/>
        <v>53.396093930412881</v>
      </c>
      <c r="E661">
        <v>57.616687412674558</v>
      </c>
    </row>
    <row r="662" spans="3:5" x14ac:dyDescent="0.25">
      <c r="C662" s="31">
        <f t="shared" ca="1" si="35"/>
        <v>59.963412349709934</v>
      </c>
      <c r="E662">
        <v>52.831704806810194</v>
      </c>
    </row>
    <row r="663" spans="3:5" x14ac:dyDescent="0.25">
      <c r="C663" s="31">
        <f t="shared" ca="1" si="35"/>
        <v>63.680544047594751</v>
      </c>
      <c r="E663">
        <v>79.828703131609146</v>
      </c>
    </row>
    <row r="664" spans="3:5" x14ac:dyDescent="0.25">
      <c r="C664" s="31">
        <f t="shared" ca="1" si="35"/>
        <v>46.493225310749466</v>
      </c>
      <c r="E664">
        <v>52.416907226133169</v>
      </c>
    </row>
    <row r="665" spans="3:5" x14ac:dyDescent="0.25">
      <c r="C665" s="31">
        <f t="shared" ca="1" si="35"/>
        <v>45.309651918116266</v>
      </c>
      <c r="E665">
        <v>59.284620962449843</v>
      </c>
    </row>
    <row r="666" spans="3:5" x14ac:dyDescent="0.25">
      <c r="C666" s="31">
        <f t="shared" ca="1" si="35"/>
        <v>78.009565521211698</v>
      </c>
      <c r="E666">
        <v>65.848243238112559</v>
      </c>
    </row>
    <row r="667" spans="3:5" x14ac:dyDescent="0.25">
      <c r="C667" s="31">
        <f t="shared" ca="1" si="35"/>
        <v>72.888841809810629</v>
      </c>
      <c r="E667">
        <v>51.739353936189573</v>
      </c>
    </row>
    <row r="668" spans="3:5" x14ac:dyDescent="0.25">
      <c r="C668" s="31">
        <f t="shared" ca="1" si="35"/>
        <v>59.155519262924344</v>
      </c>
      <c r="E668">
        <v>45.790159813336508</v>
      </c>
    </row>
    <row r="669" spans="3:5" x14ac:dyDescent="0.25">
      <c r="C669" s="31">
        <f t="shared" ca="1" si="35"/>
        <v>66.034623386878394</v>
      </c>
      <c r="E669">
        <v>59.558067242519023</v>
      </c>
    </row>
    <row r="670" spans="3:5" x14ac:dyDescent="0.25">
      <c r="C670" s="31">
        <f t="shared" ca="1" si="35"/>
        <v>64.864969016473012</v>
      </c>
      <c r="E670">
        <v>57.794568354581116</v>
      </c>
    </row>
    <row r="671" spans="3:5" x14ac:dyDescent="0.25">
      <c r="C671" s="31">
        <f t="shared" ca="1" si="35"/>
        <v>55.388250307606725</v>
      </c>
      <c r="E671">
        <v>61.30221851128637</v>
      </c>
    </row>
    <row r="672" spans="3:5" x14ac:dyDescent="0.25">
      <c r="C672" s="31">
        <f t="shared" ca="1" si="35"/>
        <v>85.673603186235397</v>
      </c>
      <c r="E672">
        <v>61.236289310825697</v>
      </c>
    </row>
    <row r="673" spans="3:5" x14ac:dyDescent="0.25">
      <c r="C673" s="31">
        <f t="shared" ca="1" si="35"/>
        <v>51.003012331792576</v>
      </c>
      <c r="E673">
        <v>58.224742423489168</v>
      </c>
    </row>
    <row r="674" spans="3:5" x14ac:dyDescent="0.25">
      <c r="C674" s="31">
        <f t="shared" ca="1" si="35"/>
        <v>42.621134951418121</v>
      </c>
      <c r="E674">
        <v>71.144925318850227</v>
      </c>
    </row>
    <row r="675" spans="3:5" x14ac:dyDescent="0.25">
      <c r="C675" s="31">
        <f t="shared" ca="1" si="35"/>
        <v>62.880729731007072</v>
      </c>
      <c r="E675">
        <v>59.84423471267376</v>
      </c>
    </row>
    <row r="676" spans="3:5" x14ac:dyDescent="0.25">
      <c r="C676" s="31">
        <f t="shared" ca="1" si="35"/>
        <v>77.114594400438079</v>
      </c>
      <c r="E676">
        <v>63.584295417019305</v>
      </c>
    </row>
    <row r="677" spans="3:5" x14ac:dyDescent="0.25">
      <c r="C677" s="31">
        <f t="shared" ca="1" si="35"/>
        <v>71.895037923746301</v>
      </c>
      <c r="E677">
        <v>54.255384156885569</v>
      </c>
    </row>
    <row r="678" spans="3:5" x14ac:dyDescent="0.25">
      <c r="C678" s="31">
        <f t="shared" ca="1" si="35"/>
        <v>65.133491412645895</v>
      </c>
      <c r="E678">
        <v>62.792263696589778</v>
      </c>
    </row>
    <row r="679" spans="3:5" x14ac:dyDescent="0.25">
      <c r="C679" s="31">
        <f t="shared" ca="1" si="35"/>
        <v>51.590524739520184</v>
      </c>
      <c r="E679">
        <v>65.255689325901542</v>
      </c>
    </row>
    <row r="680" spans="3:5" x14ac:dyDescent="0.25">
      <c r="C680" s="31">
        <f t="shared" ca="1" si="35"/>
        <v>75.314433730313795</v>
      </c>
      <c r="E680">
        <v>52.158875994259681</v>
      </c>
    </row>
    <row r="681" spans="3:5" x14ac:dyDescent="0.25">
      <c r="C681" s="31">
        <f t="shared" ca="1" si="35"/>
        <v>59.273534341603856</v>
      </c>
      <c r="E681">
        <v>59.351109243656637</v>
      </c>
    </row>
    <row r="682" spans="3:5" x14ac:dyDescent="0.25">
      <c r="C682" s="31">
        <f t="shared" ca="1" si="35"/>
        <v>57.841412909313902</v>
      </c>
      <c r="E682">
        <v>47.160984122996076</v>
      </c>
    </row>
    <row r="683" spans="3:5" x14ac:dyDescent="0.25">
      <c r="C683" s="31">
        <f t="shared" ca="1" si="35"/>
        <v>50.150029086605755</v>
      </c>
      <c r="E683">
        <v>65.01792173355031</v>
      </c>
    </row>
    <row r="684" spans="3:5" x14ac:dyDescent="0.25">
      <c r="C684" s="31">
        <f t="shared" ca="1" si="35"/>
        <v>63.91489790273156</v>
      </c>
      <c r="E684">
        <v>64.219764513472199</v>
      </c>
    </row>
    <row r="685" spans="3:5" x14ac:dyDescent="0.25">
      <c r="C685" s="31">
        <f t="shared" ca="1" si="35"/>
        <v>56.973283062331618</v>
      </c>
      <c r="E685">
        <v>50.587798897982523</v>
      </c>
    </row>
    <row r="686" spans="3:5" x14ac:dyDescent="0.25">
      <c r="C686" s="31">
        <f t="shared" ca="1" si="35"/>
        <v>60.906758773043279</v>
      </c>
      <c r="E686">
        <v>66.714198560079794</v>
      </c>
    </row>
    <row r="687" spans="3:5" x14ac:dyDescent="0.25">
      <c r="C687" s="31">
        <f t="shared" ca="1" si="35"/>
        <v>63.842122384773901</v>
      </c>
      <c r="E687">
        <v>53.773789668532359</v>
      </c>
    </row>
    <row r="688" spans="3:5" x14ac:dyDescent="0.25">
      <c r="C688" s="31">
        <f t="shared" ca="1" si="35"/>
        <v>58.47645040983592</v>
      </c>
      <c r="E688">
        <v>47.89325937352821</v>
      </c>
    </row>
    <row r="689" spans="3:5" x14ac:dyDescent="0.25">
      <c r="C689" s="31">
        <f t="shared" ca="1" si="35"/>
        <v>46.609837813960176</v>
      </c>
      <c r="E689">
        <v>54.371500307316438</v>
      </c>
    </row>
    <row r="690" spans="3:5" x14ac:dyDescent="0.25">
      <c r="C690" s="31">
        <f t="shared" ca="1" si="35"/>
        <v>53.990581562049961</v>
      </c>
      <c r="E690">
        <v>58.857778454000197</v>
      </c>
    </row>
    <row r="691" spans="3:5" x14ac:dyDescent="0.25">
      <c r="C691" s="31">
        <f t="shared" ca="1" si="35"/>
        <v>57.559067312383256</v>
      </c>
      <c r="E691">
        <v>60.820544700164277</v>
      </c>
    </row>
    <row r="692" spans="3:5" x14ac:dyDescent="0.25">
      <c r="C692" s="31">
        <f t="shared" ca="1" si="35"/>
        <v>51.184988797411684</v>
      </c>
      <c r="E692">
        <v>62.040158885954597</v>
      </c>
    </row>
    <row r="693" spans="3:5" x14ac:dyDescent="0.25">
      <c r="C693" s="31">
        <f t="shared" ca="1" si="35"/>
        <v>70.21630916326329</v>
      </c>
      <c r="E693">
        <v>81.794262908553236</v>
      </c>
    </row>
    <row r="694" spans="3:5" x14ac:dyDescent="0.25">
      <c r="C694" s="31">
        <f t="shared" ca="1" si="35"/>
        <v>55.276390287760854</v>
      </c>
      <c r="E694">
        <v>66.97564149562379</v>
      </c>
    </row>
    <row r="695" spans="3:5" x14ac:dyDescent="0.25">
      <c r="C695" s="31">
        <f t="shared" ca="1" si="35"/>
        <v>55.551587292117233</v>
      </c>
      <c r="E695">
        <v>73.51132431828303</v>
      </c>
    </row>
    <row r="696" spans="3:5" x14ac:dyDescent="0.25">
      <c r="C696" s="31">
        <f t="shared" ca="1" si="35"/>
        <v>74.730564723087028</v>
      </c>
      <c r="E696">
        <v>55.596955864849278</v>
      </c>
    </row>
    <row r="697" spans="3:5" x14ac:dyDescent="0.25">
      <c r="C697" s="31">
        <f t="shared" ca="1" si="35"/>
        <v>78.589653578616222</v>
      </c>
      <c r="E697">
        <v>46.095675038800209</v>
      </c>
    </row>
    <row r="698" spans="3:5" x14ac:dyDescent="0.25">
      <c r="C698" s="31">
        <f t="shared" ca="1" si="35"/>
        <v>71.360284020066842</v>
      </c>
      <c r="E698">
        <v>51.131227939903603</v>
      </c>
    </row>
    <row r="699" spans="3:5" x14ac:dyDescent="0.25">
      <c r="C699" s="31">
        <f t="shared" ca="1" si="35"/>
        <v>85.144604705803388</v>
      </c>
      <c r="E699">
        <v>66.636838116625896</v>
      </c>
    </row>
    <row r="700" spans="3:5" x14ac:dyDescent="0.25">
      <c r="C700" s="31">
        <f t="shared" ca="1" si="35"/>
        <v>84.069696360439451</v>
      </c>
      <c r="E700">
        <v>57.425755089225646</v>
      </c>
    </row>
    <row r="701" spans="3:5" x14ac:dyDescent="0.25">
      <c r="C701" s="31">
        <f t="shared" ca="1" si="35"/>
        <v>43.430392864349315</v>
      </c>
      <c r="E701">
        <v>59.846706161968761</v>
      </c>
    </row>
    <row r="702" spans="3:5" x14ac:dyDescent="0.25">
      <c r="C702" s="31">
        <f t="shared" ref="C702:C765" ca="1" si="36">_xlfn.NORM.INV(RAND(),C$4,C$5)</f>
        <v>54.365209017734593</v>
      </c>
      <c r="E702">
        <v>61.850916942033344</v>
      </c>
    </row>
    <row r="703" spans="3:5" x14ac:dyDescent="0.25">
      <c r="C703" s="31">
        <f t="shared" ca="1" si="36"/>
        <v>51.464415501389965</v>
      </c>
      <c r="E703">
        <v>60.321289506490537</v>
      </c>
    </row>
    <row r="704" spans="3:5" x14ac:dyDescent="0.25">
      <c r="C704" s="31">
        <f t="shared" ca="1" si="36"/>
        <v>56.644138029094137</v>
      </c>
      <c r="E704">
        <v>70.232674128836933</v>
      </c>
    </row>
    <row r="705" spans="3:5" x14ac:dyDescent="0.25">
      <c r="C705" s="31">
        <f t="shared" ca="1" si="36"/>
        <v>58.175002319207955</v>
      </c>
      <c r="E705">
        <v>53.914831547841032</v>
      </c>
    </row>
    <row r="706" spans="3:5" x14ac:dyDescent="0.25">
      <c r="C706" s="31">
        <f t="shared" ca="1" si="36"/>
        <v>59.478505626247106</v>
      </c>
      <c r="E706">
        <v>72.767723836931538</v>
      </c>
    </row>
    <row r="707" spans="3:5" x14ac:dyDescent="0.25">
      <c r="C707" s="31">
        <f t="shared" ca="1" si="36"/>
        <v>54.754748780125567</v>
      </c>
      <c r="E707">
        <v>70.456824806410822</v>
      </c>
    </row>
    <row r="708" spans="3:5" x14ac:dyDescent="0.25">
      <c r="C708" s="31">
        <f t="shared" ca="1" si="36"/>
        <v>55.838011974371717</v>
      </c>
      <c r="E708">
        <v>77.205841558948819</v>
      </c>
    </row>
    <row r="709" spans="3:5" x14ac:dyDescent="0.25">
      <c r="C709" s="31">
        <f t="shared" ca="1" si="36"/>
        <v>67.823415595016101</v>
      </c>
      <c r="E709">
        <v>70.235909270415718</v>
      </c>
    </row>
    <row r="710" spans="3:5" x14ac:dyDescent="0.25">
      <c r="C710" s="31">
        <f t="shared" ca="1" si="36"/>
        <v>49.066649033458987</v>
      </c>
      <c r="E710">
        <v>55.041345899335852</v>
      </c>
    </row>
    <row r="711" spans="3:5" x14ac:dyDescent="0.25">
      <c r="C711" s="31">
        <f t="shared" ca="1" si="36"/>
        <v>79.261830965398303</v>
      </c>
      <c r="E711">
        <v>50.432743076283387</v>
      </c>
    </row>
    <row r="712" spans="3:5" x14ac:dyDescent="0.25">
      <c r="C712" s="31">
        <f t="shared" ca="1" si="36"/>
        <v>53.168754454526336</v>
      </c>
      <c r="E712">
        <v>61.917181185837912</v>
      </c>
    </row>
    <row r="713" spans="3:5" x14ac:dyDescent="0.25">
      <c r="C713" s="31">
        <f t="shared" ca="1" si="36"/>
        <v>56.41946782551193</v>
      </c>
      <c r="E713">
        <v>57.098167708049047</v>
      </c>
    </row>
    <row r="714" spans="3:5" x14ac:dyDescent="0.25">
      <c r="C714" s="31">
        <f t="shared" ca="1" si="36"/>
        <v>42.027558089651848</v>
      </c>
      <c r="E714">
        <v>53.762537825400578</v>
      </c>
    </row>
    <row r="715" spans="3:5" x14ac:dyDescent="0.25">
      <c r="C715" s="31">
        <f t="shared" ca="1" si="36"/>
        <v>53.780939635364376</v>
      </c>
      <c r="E715">
        <v>62.385674979930926</v>
      </c>
    </row>
    <row r="716" spans="3:5" x14ac:dyDescent="0.25">
      <c r="C716" s="31">
        <f t="shared" ca="1" si="36"/>
        <v>49.94079538615172</v>
      </c>
      <c r="E716">
        <v>93.684585600294852</v>
      </c>
    </row>
    <row r="717" spans="3:5" x14ac:dyDescent="0.25">
      <c r="C717" s="31">
        <f t="shared" ca="1" si="36"/>
        <v>64.54869112949369</v>
      </c>
      <c r="E717">
        <v>59.62251862941234</v>
      </c>
    </row>
    <row r="718" spans="3:5" x14ac:dyDescent="0.25">
      <c r="C718" s="31">
        <f t="shared" ca="1" si="36"/>
        <v>65.586541478307396</v>
      </c>
      <c r="E718">
        <v>58.314135157211489</v>
      </c>
    </row>
    <row r="719" spans="3:5" x14ac:dyDescent="0.25">
      <c r="C719" s="31">
        <f t="shared" ca="1" si="36"/>
        <v>76.467419562873488</v>
      </c>
      <c r="E719">
        <v>57.576205916951949</v>
      </c>
    </row>
    <row r="720" spans="3:5" x14ac:dyDescent="0.25">
      <c r="C720" s="31">
        <f t="shared" ca="1" si="36"/>
        <v>37.841311714726437</v>
      </c>
      <c r="E720">
        <v>76.686122267998257</v>
      </c>
    </row>
    <row r="721" spans="3:5" x14ac:dyDescent="0.25">
      <c r="C721" s="31">
        <f t="shared" ca="1" si="36"/>
        <v>60.840364802693223</v>
      </c>
      <c r="E721">
        <v>62.919755872690132</v>
      </c>
    </row>
    <row r="722" spans="3:5" x14ac:dyDescent="0.25">
      <c r="C722" s="31">
        <f t="shared" ca="1" si="36"/>
        <v>49.678145149166717</v>
      </c>
      <c r="E722">
        <v>77.412251962557377</v>
      </c>
    </row>
    <row r="723" spans="3:5" x14ac:dyDescent="0.25">
      <c r="C723" s="31">
        <f t="shared" ca="1" si="36"/>
        <v>51.182081301779519</v>
      </c>
      <c r="E723">
        <v>52.986826217176379</v>
      </c>
    </row>
    <row r="724" spans="3:5" x14ac:dyDescent="0.25">
      <c r="C724" s="31">
        <f t="shared" ca="1" si="36"/>
        <v>47.391781412996231</v>
      </c>
      <c r="E724">
        <v>51.701307342901345</v>
      </c>
    </row>
    <row r="725" spans="3:5" x14ac:dyDescent="0.25">
      <c r="C725" s="31">
        <f t="shared" ca="1" si="36"/>
        <v>57.985080007578752</v>
      </c>
      <c r="E725">
        <v>57.924953049420211</v>
      </c>
    </row>
    <row r="726" spans="3:5" x14ac:dyDescent="0.25">
      <c r="C726" s="31">
        <f t="shared" ca="1" si="36"/>
        <v>61.916004810390504</v>
      </c>
      <c r="E726">
        <v>57.865622647282912</v>
      </c>
    </row>
    <row r="727" spans="3:5" x14ac:dyDescent="0.25">
      <c r="C727" s="31">
        <f t="shared" ca="1" si="36"/>
        <v>86.561523609056593</v>
      </c>
      <c r="E727">
        <v>74.333542980553801</v>
      </c>
    </row>
    <row r="728" spans="3:5" x14ac:dyDescent="0.25">
      <c r="C728" s="31">
        <f t="shared" ca="1" si="36"/>
        <v>73.265378211613324</v>
      </c>
      <c r="E728">
        <v>63.921100704927071</v>
      </c>
    </row>
    <row r="729" spans="3:5" x14ac:dyDescent="0.25">
      <c r="C729" s="31">
        <f t="shared" ca="1" si="36"/>
        <v>49.890099839388377</v>
      </c>
      <c r="E729">
        <v>49.894470529395292</v>
      </c>
    </row>
    <row r="730" spans="3:5" x14ac:dyDescent="0.25">
      <c r="C730" s="31">
        <f t="shared" ca="1" si="36"/>
        <v>57.542952871092581</v>
      </c>
      <c r="E730">
        <v>54.060210872440379</v>
      </c>
    </row>
    <row r="731" spans="3:5" x14ac:dyDescent="0.25">
      <c r="C731" s="31">
        <f t="shared" ca="1" si="36"/>
        <v>62.827918273642801</v>
      </c>
      <c r="E731">
        <v>58.707822506579085</v>
      </c>
    </row>
    <row r="732" spans="3:5" x14ac:dyDescent="0.25">
      <c r="C732" s="31">
        <f t="shared" ca="1" si="36"/>
        <v>57.05470292770022</v>
      </c>
      <c r="E732">
        <v>70.553254819581014</v>
      </c>
    </row>
    <row r="733" spans="3:5" x14ac:dyDescent="0.25">
      <c r="C733" s="31">
        <f t="shared" ca="1" si="36"/>
        <v>62.038548872011482</v>
      </c>
      <c r="E733">
        <v>59.629243510585233</v>
      </c>
    </row>
    <row r="734" spans="3:5" x14ac:dyDescent="0.25">
      <c r="C734" s="31">
        <f t="shared" ca="1" si="36"/>
        <v>54.855074108265427</v>
      </c>
      <c r="E734">
        <v>60.012820664721168</v>
      </c>
    </row>
    <row r="735" spans="3:5" x14ac:dyDescent="0.25">
      <c r="C735" s="31">
        <f t="shared" ca="1" si="36"/>
        <v>51.433486127165452</v>
      </c>
      <c r="E735">
        <v>47.039497934354273</v>
      </c>
    </row>
    <row r="736" spans="3:5" x14ac:dyDescent="0.25">
      <c r="C736" s="31">
        <f t="shared" ca="1" si="36"/>
        <v>62.072898370610133</v>
      </c>
      <c r="E736">
        <v>57.714887003987528</v>
      </c>
    </row>
    <row r="737" spans="3:5" x14ac:dyDescent="0.25">
      <c r="C737" s="31">
        <f t="shared" ca="1" si="36"/>
        <v>55.102538550742835</v>
      </c>
      <c r="E737">
        <v>64.125088188249876</v>
      </c>
    </row>
    <row r="738" spans="3:5" x14ac:dyDescent="0.25">
      <c r="C738" s="31">
        <f t="shared" ca="1" si="36"/>
        <v>64.770010413312065</v>
      </c>
      <c r="E738">
        <v>68.371098777617064</v>
      </c>
    </row>
    <row r="739" spans="3:5" x14ac:dyDescent="0.25">
      <c r="C739" s="31">
        <f t="shared" ca="1" si="36"/>
        <v>48.544572941505109</v>
      </c>
      <c r="E739">
        <v>52.980817265040152</v>
      </c>
    </row>
    <row r="740" spans="3:5" x14ac:dyDescent="0.25">
      <c r="C740" s="31">
        <f t="shared" ca="1" si="36"/>
        <v>61.241705260999133</v>
      </c>
      <c r="E740">
        <v>45.162143324306953</v>
      </c>
    </row>
    <row r="741" spans="3:5" x14ac:dyDescent="0.25">
      <c r="C741" s="31">
        <f t="shared" ca="1" si="36"/>
        <v>64.325653433325357</v>
      </c>
      <c r="E741">
        <v>59.154698770869366</v>
      </c>
    </row>
    <row r="742" spans="3:5" x14ac:dyDescent="0.25">
      <c r="C742" s="31">
        <f t="shared" ca="1" si="36"/>
        <v>57.015319230332935</v>
      </c>
      <c r="E742">
        <v>38.771802163285393</v>
      </c>
    </row>
    <row r="743" spans="3:5" x14ac:dyDescent="0.25">
      <c r="C743" s="31">
        <f t="shared" ca="1" si="36"/>
        <v>67.139092356901898</v>
      </c>
      <c r="E743">
        <v>68.160374052835792</v>
      </c>
    </row>
    <row r="744" spans="3:5" x14ac:dyDescent="0.25">
      <c r="C744" s="31">
        <f t="shared" ca="1" si="36"/>
        <v>59.283155925927602</v>
      </c>
      <c r="E744">
        <v>58.216808972090931</v>
      </c>
    </row>
    <row r="745" spans="3:5" x14ac:dyDescent="0.25">
      <c r="C745" s="31">
        <f t="shared" ca="1" si="36"/>
        <v>58.658173939685227</v>
      </c>
      <c r="E745">
        <v>69.710444734690086</v>
      </c>
    </row>
    <row r="746" spans="3:5" x14ac:dyDescent="0.25">
      <c r="C746" s="31">
        <f t="shared" ca="1" si="36"/>
        <v>75.164801713101042</v>
      </c>
      <c r="E746">
        <v>55.576780762528905</v>
      </c>
    </row>
    <row r="747" spans="3:5" x14ac:dyDescent="0.25">
      <c r="C747" s="31">
        <f t="shared" ca="1" si="36"/>
        <v>63.046714727942465</v>
      </c>
      <c r="E747">
        <v>71.164693369205509</v>
      </c>
    </row>
    <row r="748" spans="3:5" x14ac:dyDescent="0.25">
      <c r="C748" s="31">
        <f t="shared" ca="1" si="36"/>
        <v>52.30437010946288</v>
      </c>
      <c r="E748">
        <v>62.348259954554045</v>
      </c>
    </row>
    <row r="749" spans="3:5" x14ac:dyDescent="0.25">
      <c r="C749" s="31">
        <f t="shared" ca="1" si="36"/>
        <v>69.819654704907023</v>
      </c>
      <c r="E749">
        <v>62.069440823886204</v>
      </c>
    </row>
    <row r="750" spans="3:5" x14ac:dyDescent="0.25">
      <c r="C750" s="31">
        <f t="shared" ca="1" si="36"/>
        <v>61.208752093207863</v>
      </c>
      <c r="E750">
        <v>49.198007886471736</v>
      </c>
    </row>
    <row r="751" spans="3:5" x14ac:dyDescent="0.25">
      <c r="C751" s="31">
        <f t="shared" ca="1" si="36"/>
        <v>64.656933784005886</v>
      </c>
      <c r="E751">
        <v>66.785631771118332</v>
      </c>
    </row>
    <row r="752" spans="3:5" x14ac:dyDescent="0.25">
      <c r="C752" s="31">
        <f t="shared" ca="1" si="36"/>
        <v>59.309084815738075</v>
      </c>
      <c r="E752">
        <v>53.152957630873367</v>
      </c>
    </row>
    <row r="753" spans="3:5" x14ac:dyDescent="0.25">
      <c r="C753" s="31">
        <f t="shared" ca="1" si="36"/>
        <v>53.084705135677993</v>
      </c>
      <c r="E753">
        <v>59.869758185529982</v>
      </c>
    </row>
    <row r="754" spans="3:5" x14ac:dyDescent="0.25">
      <c r="C754" s="31">
        <f t="shared" ca="1" si="36"/>
        <v>52.878805905918078</v>
      </c>
      <c r="E754">
        <v>72.467258265745798</v>
      </c>
    </row>
    <row r="755" spans="3:5" x14ac:dyDescent="0.25">
      <c r="C755" s="31">
        <f t="shared" ca="1" si="36"/>
        <v>73.778045174313775</v>
      </c>
      <c r="E755">
        <v>60.752331418566342</v>
      </c>
    </row>
    <row r="756" spans="3:5" x14ac:dyDescent="0.25">
      <c r="C756" s="31">
        <f t="shared" ca="1" si="36"/>
        <v>66.2525803132297</v>
      </c>
      <c r="E756">
        <v>63.69834406560728</v>
      </c>
    </row>
    <row r="757" spans="3:5" x14ac:dyDescent="0.25">
      <c r="C757" s="31">
        <f t="shared" ca="1" si="36"/>
        <v>63.690545051081465</v>
      </c>
      <c r="E757">
        <v>52.814833264250339</v>
      </c>
    </row>
    <row r="758" spans="3:5" x14ac:dyDescent="0.25">
      <c r="C758" s="31">
        <f t="shared" ca="1" si="36"/>
        <v>55.025876388691913</v>
      </c>
      <c r="E758">
        <v>66.413570315134848</v>
      </c>
    </row>
    <row r="759" spans="3:5" x14ac:dyDescent="0.25">
      <c r="C759" s="31">
        <f t="shared" ca="1" si="36"/>
        <v>64.260543934381928</v>
      </c>
      <c r="E759">
        <v>54.20283846308908</v>
      </c>
    </row>
    <row r="760" spans="3:5" x14ac:dyDescent="0.25">
      <c r="C760" s="31">
        <f t="shared" ca="1" si="36"/>
        <v>58.986540039996072</v>
      </c>
      <c r="E760">
        <v>54.391884143701105</v>
      </c>
    </row>
    <row r="761" spans="3:5" x14ac:dyDescent="0.25">
      <c r="C761" s="31">
        <f t="shared" ca="1" si="36"/>
        <v>54.414421122003382</v>
      </c>
      <c r="E761">
        <v>53.492793905622861</v>
      </c>
    </row>
    <row r="762" spans="3:5" x14ac:dyDescent="0.25">
      <c r="C762" s="31">
        <f t="shared" ca="1" si="36"/>
        <v>70.999463940616394</v>
      </c>
      <c r="E762">
        <v>85.039728672428197</v>
      </c>
    </row>
    <row r="763" spans="3:5" x14ac:dyDescent="0.25">
      <c r="C763" s="31">
        <f t="shared" ca="1" si="36"/>
        <v>57.898278409929041</v>
      </c>
      <c r="E763">
        <v>56.271668935484072</v>
      </c>
    </row>
    <row r="764" spans="3:5" x14ac:dyDescent="0.25">
      <c r="C764" s="31">
        <f t="shared" ca="1" si="36"/>
        <v>68.926299442293185</v>
      </c>
      <c r="E764">
        <v>46.749323994563454</v>
      </c>
    </row>
    <row r="765" spans="3:5" x14ac:dyDescent="0.25">
      <c r="C765" s="31">
        <f t="shared" ca="1" si="36"/>
        <v>71.776062301502876</v>
      </c>
      <c r="E765">
        <v>51.994955710397235</v>
      </c>
    </row>
    <row r="766" spans="3:5" x14ac:dyDescent="0.25">
      <c r="C766" s="31">
        <f t="shared" ref="C766:C829" ca="1" si="37">_xlfn.NORM.INV(RAND(),C$4,C$5)</f>
        <v>66.69789757768396</v>
      </c>
      <c r="E766">
        <v>60.137335608991151</v>
      </c>
    </row>
    <row r="767" spans="3:5" x14ac:dyDescent="0.25">
      <c r="C767" s="31">
        <f t="shared" ca="1" si="37"/>
        <v>58.203286601940071</v>
      </c>
      <c r="E767">
        <v>73.011965915208435</v>
      </c>
    </row>
    <row r="768" spans="3:5" x14ac:dyDescent="0.25">
      <c r="C768" s="31">
        <f t="shared" ca="1" si="37"/>
        <v>68.886142022749979</v>
      </c>
      <c r="E768">
        <v>47.010877412313377</v>
      </c>
    </row>
    <row r="769" spans="3:5" x14ac:dyDescent="0.25">
      <c r="C769" s="31">
        <f t="shared" ca="1" si="37"/>
        <v>69.281674029308959</v>
      </c>
      <c r="E769">
        <v>64.488466845689331</v>
      </c>
    </row>
    <row r="770" spans="3:5" x14ac:dyDescent="0.25">
      <c r="C770" s="31">
        <f t="shared" ca="1" si="37"/>
        <v>48.75505509842192</v>
      </c>
      <c r="E770">
        <v>43.257428562185822</v>
      </c>
    </row>
    <row r="771" spans="3:5" x14ac:dyDescent="0.25">
      <c r="C771" s="31">
        <f t="shared" ca="1" si="37"/>
        <v>54.131321613616088</v>
      </c>
      <c r="E771">
        <v>47.410826968717586</v>
      </c>
    </row>
    <row r="772" spans="3:5" x14ac:dyDescent="0.25">
      <c r="C772" s="31">
        <f t="shared" ca="1" si="37"/>
        <v>65.251205720794758</v>
      </c>
      <c r="E772">
        <v>64.013608061951103</v>
      </c>
    </row>
    <row r="773" spans="3:5" x14ac:dyDescent="0.25">
      <c r="C773" s="31">
        <f t="shared" ca="1" si="37"/>
        <v>56.805454698107255</v>
      </c>
      <c r="E773">
        <v>66.227079326667095</v>
      </c>
    </row>
    <row r="774" spans="3:5" x14ac:dyDescent="0.25">
      <c r="C774" s="31">
        <f t="shared" ca="1" si="37"/>
        <v>59.936136485276656</v>
      </c>
      <c r="E774">
        <v>63.352279086221657</v>
      </c>
    </row>
    <row r="775" spans="3:5" x14ac:dyDescent="0.25">
      <c r="C775" s="31">
        <f t="shared" ca="1" si="37"/>
        <v>60.448815049510117</v>
      </c>
      <c r="E775">
        <v>49.389517530689737</v>
      </c>
    </row>
    <row r="776" spans="3:5" x14ac:dyDescent="0.25">
      <c r="C776" s="31">
        <f t="shared" ca="1" si="37"/>
        <v>65.593855204182191</v>
      </c>
      <c r="E776">
        <v>55.204248156198851</v>
      </c>
    </row>
    <row r="777" spans="3:5" x14ac:dyDescent="0.25">
      <c r="C777" s="31">
        <f t="shared" ca="1" si="37"/>
        <v>50.120282451307631</v>
      </c>
      <c r="E777">
        <v>72.092448320557565</v>
      </c>
    </row>
    <row r="778" spans="3:5" x14ac:dyDescent="0.25">
      <c r="C778" s="31">
        <f t="shared" ca="1" si="37"/>
        <v>64.545209753341439</v>
      </c>
      <c r="E778">
        <v>46.492650453863689</v>
      </c>
    </row>
    <row r="779" spans="3:5" x14ac:dyDescent="0.25">
      <c r="C779" s="31">
        <f t="shared" ca="1" si="37"/>
        <v>60.82923378782229</v>
      </c>
      <c r="E779">
        <v>66.23182676613844</v>
      </c>
    </row>
    <row r="780" spans="3:5" x14ac:dyDescent="0.25">
      <c r="C780" s="31">
        <f t="shared" ca="1" si="37"/>
        <v>50.002958893555586</v>
      </c>
      <c r="E780">
        <v>32.358961098089097</v>
      </c>
    </row>
    <row r="781" spans="3:5" x14ac:dyDescent="0.25">
      <c r="C781" s="31">
        <f t="shared" ca="1" si="37"/>
        <v>64.322413561864565</v>
      </c>
      <c r="E781">
        <v>49.67171788452228</v>
      </c>
    </row>
    <row r="782" spans="3:5" x14ac:dyDescent="0.25">
      <c r="C782" s="31">
        <f t="shared" ca="1" si="37"/>
        <v>73.145943139352042</v>
      </c>
      <c r="E782">
        <v>43.373945701045464</v>
      </c>
    </row>
    <row r="783" spans="3:5" x14ac:dyDescent="0.25">
      <c r="C783" s="31">
        <f t="shared" ca="1" si="37"/>
        <v>67.791152241792474</v>
      </c>
      <c r="E783">
        <v>70.1354645848442</v>
      </c>
    </row>
    <row r="784" spans="3:5" x14ac:dyDescent="0.25">
      <c r="C784" s="31">
        <f t="shared" ca="1" si="37"/>
        <v>66.725165484166226</v>
      </c>
      <c r="E784">
        <v>48.784537054197173</v>
      </c>
    </row>
    <row r="785" spans="3:5" x14ac:dyDescent="0.25">
      <c r="C785" s="31">
        <f t="shared" ca="1" si="37"/>
        <v>75.245897444896727</v>
      </c>
      <c r="E785">
        <v>67.119571679166697</v>
      </c>
    </row>
    <row r="786" spans="3:5" x14ac:dyDescent="0.25">
      <c r="C786" s="31">
        <f t="shared" ca="1" si="37"/>
        <v>37.559872366946486</v>
      </c>
      <c r="E786">
        <v>60.073582215132731</v>
      </c>
    </row>
    <row r="787" spans="3:5" x14ac:dyDescent="0.25">
      <c r="C787" s="31">
        <f t="shared" ca="1" si="37"/>
        <v>60.875086787236832</v>
      </c>
      <c r="E787">
        <v>57.639734763980471</v>
      </c>
    </row>
    <row r="788" spans="3:5" x14ac:dyDescent="0.25">
      <c r="C788" s="31">
        <f t="shared" ca="1" si="37"/>
        <v>53.518723572520877</v>
      </c>
      <c r="E788">
        <v>78.620782992767616</v>
      </c>
    </row>
    <row r="789" spans="3:5" x14ac:dyDescent="0.25">
      <c r="C789" s="31">
        <f t="shared" ca="1" si="37"/>
        <v>60.378788020152818</v>
      </c>
      <c r="E789">
        <v>75.887299250573236</v>
      </c>
    </row>
    <row r="790" spans="3:5" x14ac:dyDescent="0.25">
      <c r="C790" s="31">
        <f t="shared" ca="1" si="37"/>
        <v>58.044149599194171</v>
      </c>
      <c r="E790">
        <v>63.006602863890819</v>
      </c>
    </row>
    <row r="791" spans="3:5" x14ac:dyDescent="0.25">
      <c r="C791" s="31">
        <f t="shared" ca="1" si="37"/>
        <v>50.798621697412194</v>
      </c>
      <c r="E791">
        <v>79.115002342007415</v>
      </c>
    </row>
    <row r="792" spans="3:5" x14ac:dyDescent="0.25">
      <c r="C792" s="31">
        <f t="shared" ca="1" si="37"/>
        <v>64.598148174206955</v>
      </c>
      <c r="E792">
        <v>63.717566714496847</v>
      </c>
    </row>
    <row r="793" spans="3:5" x14ac:dyDescent="0.25">
      <c r="C793" s="31">
        <f t="shared" ca="1" si="37"/>
        <v>57.742629674403325</v>
      </c>
      <c r="E793">
        <v>65.722306027512701</v>
      </c>
    </row>
    <row r="794" spans="3:5" x14ac:dyDescent="0.25">
      <c r="C794" s="31">
        <f t="shared" ca="1" si="37"/>
        <v>51.718904988076076</v>
      </c>
      <c r="E794">
        <v>42.714580036114022</v>
      </c>
    </row>
    <row r="795" spans="3:5" x14ac:dyDescent="0.25">
      <c r="C795" s="31">
        <f t="shared" ca="1" si="37"/>
        <v>56.286726991144597</v>
      </c>
      <c r="E795">
        <v>41.574689403840296</v>
      </c>
    </row>
    <row r="796" spans="3:5" x14ac:dyDescent="0.25">
      <c r="C796" s="31">
        <f t="shared" ca="1" si="37"/>
        <v>68.23278279056413</v>
      </c>
      <c r="E796">
        <v>50.287209630970828</v>
      </c>
    </row>
    <row r="797" spans="3:5" x14ac:dyDescent="0.25">
      <c r="C797" s="31">
        <f t="shared" ca="1" si="37"/>
        <v>49.015674494842514</v>
      </c>
      <c r="E797">
        <v>71.894547940325268</v>
      </c>
    </row>
    <row r="798" spans="3:5" x14ac:dyDescent="0.25">
      <c r="C798" s="31">
        <f t="shared" ca="1" si="37"/>
        <v>58.784714314101528</v>
      </c>
      <c r="E798">
        <v>54.916256081978744</v>
      </c>
    </row>
    <row r="799" spans="3:5" x14ac:dyDescent="0.25">
      <c r="C799" s="31">
        <f t="shared" ca="1" si="37"/>
        <v>71.705936840100037</v>
      </c>
      <c r="E799">
        <v>53.356106830581886</v>
      </c>
    </row>
    <row r="800" spans="3:5" x14ac:dyDescent="0.25">
      <c r="C800" s="31">
        <f t="shared" ca="1" si="37"/>
        <v>52.580785945895371</v>
      </c>
      <c r="E800">
        <v>50.309122637447835</v>
      </c>
    </row>
    <row r="801" spans="3:5" x14ac:dyDescent="0.25">
      <c r="C801" s="31">
        <f t="shared" ca="1" si="37"/>
        <v>61.467113248365479</v>
      </c>
      <c r="E801">
        <v>69.971172141363184</v>
      </c>
    </row>
    <row r="802" spans="3:5" x14ac:dyDescent="0.25">
      <c r="C802" s="31">
        <f t="shared" ca="1" si="37"/>
        <v>74.742702198042792</v>
      </c>
      <c r="E802">
        <v>52.067991701436597</v>
      </c>
    </row>
    <row r="803" spans="3:5" x14ac:dyDescent="0.25">
      <c r="C803" s="31">
        <f t="shared" ca="1" si="37"/>
        <v>68.979028005966384</v>
      </c>
      <c r="E803">
        <v>59.74906691212766</v>
      </c>
    </row>
    <row r="804" spans="3:5" x14ac:dyDescent="0.25">
      <c r="C804" s="31">
        <f t="shared" ca="1" si="37"/>
        <v>52.987823681824871</v>
      </c>
      <c r="E804">
        <v>52.36631432998746</v>
      </c>
    </row>
    <row r="805" spans="3:5" x14ac:dyDescent="0.25">
      <c r="C805" s="31">
        <f t="shared" ca="1" si="37"/>
        <v>36.084183862616506</v>
      </c>
      <c r="E805">
        <v>47.729343770761652</v>
      </c>
    </row>
    <row r="806" spans="3:5" x14ac:dyDescent="0.25">
      <c r="C806" s="31">
        <f t="shared" ca="1" si="37"/>
        <v>60.094600558809077</v>
      </c>
      <c r="E806">
        <v>75.249623632694423</v>
      </c>
    </row>
    <row r="807" spans="3:5" x14ac:dyDescent="0.25">
      <c r="C807" s="31">
        <f t="shared" ca="1" si="37"/>
        <v>63.537126793329925</v>
      </c>
      <c r="E807">
        <v>62.480808505374625</v>
      </c>
    </row>
    <row r="808" spans="3:5" x14ac:dyDescent="0.25">
      <c r="C808" s="31">
        <f t="shared" ca="1" si="37"/>
        <v>61.440593296456491</v>
      </c>
      <c r="E808">
        <v>40.881520688133136</v>
      </c>
    </row>
    <row r="809" spans="3:5" x14ac:dyDescent="0.25">
      <c r="C809" s="31">
        <f t="shared" ca="1" si="37"/>
        <v>61.130216132123962</v>
      </c>
      <c r="E809">
        <v>66.651678012303805</v>
      </c>
    </row>
    <row r="810" spans="3:5" x14ac:dyDescent="0.25">
      <c r="C810" s="31">
        <f t="shared" ca="1" si="37"/>
        <v>60.856848718991031</v>
      </c>
      <c r="E810">
        <v>53.125056934213632</v>
      </c>
    </row>
    <row r="811" spans="3:5" x14ac:dyDescent="0.25">
      <c r="C811" s="31">
        <f t="shared" ca="1" si="37"/>
        <v>63.448398505276458</v>
      </c>
      <c r="E811">
        <v>68.69754948103747</v>
      </c>
    </row>
    <row r="812" spans="3:5" x14ac:dyDescent="0.25">
      <c r="C812" s="31">
        <f t="shared" ca="1" si="37"/>
        <v>57.743419667986373</v>
      </c>
      <c r="E812">
        <v>57.648460292969425</v>
      </c>
    </row>
    <row r="813" spans="3:5" x14ac:dyDescent="0.25">
      <c r="C813" s="31">
        <f t="shared" ca="1" si="37"/>
        <v>68.276619428225899</v>
      </c>
      <c r="E813">
        <v>49.095431658096146</v>
      </c>
    </row>
    <row r="814" spans="3:5" x14ac:dyDescent="0.25">
      <c r="C814" s="31">
        <f t="shared" ca="1" si="37"/>
        <v>61.448191270201391</v>
      </c>
      <c r="E814">
        <v>76.006628128523872</v>
      </c>
    </row>
    <row r="815" spans="3:5" x14ac:dyDescent="0.25">
      <c r="C815" s="31">
        <f t="shared" ca="1" si="37"/>
        <v>53.916200159397839</v>
      </c>
      <c r="E815">
        <v>61.263562107206518</v>
      </c>
    </row>
    <row r="816" spans="3:5" x14ac:dyDescent="0.25">
      <c r="C816" s="31">
        <f t="shared" ca="1" si="37"/>
        <v>81.606508109427082</v>
      </c>
      <c r="E816">
        <v>65.382128101672564</v>
      </c>
    </row>
    <row r="817" spans="3:5" x14ac:dyDescent="0.25">
      <c r="C817" s="31">
        <f t="shared" ca="1" si="37"/>
        <v>44.081558578856729</v>
      </c>
      <c r="E817">
        <v>47.662804692702544</v>
      </c>
    </row>
    <row r="818" spans="3:5" x14ac:dyDescent="0.25">
      <c r="C818" s="31">
        <f t="shared" ca="1" si="37"/>
        <v>66.025697922594503</v>
      </c>
      <c r="E818">
        <v>57.883266208696178</v>
      </c>
    </row>
    <row r="819" spans="3:5" x14ac:dyDescent="0.25">
      <c r="C819" s="31">
        <f t="shared" ca="1" si="37"/>
        <v>58.429655307280214</v>
      </c>
      <c r="E819">
        <v>57.259334435440209</v>
      </c>
    </row>
    <row r="820" spans="3:5" x14ac:dyDescent="0.25">
      <c r="C820" s="31">
        <f t="shared" ca="1" si="37"/>
        <v>63.900167101310544</v>
      </c>
      <c r="E820">
        <v>55.361252463283613</v>
      </c>
    </row>
    <row r="821" spans="3:5" x14ac:dyDescent="0.25">
      <c r="C821" s="31">
        <f t="shared" ca="1" si="37"/>
        <v>41.019588319081208</v>
      </c>
      <c r="E821">
        <v>50.448755247394956</v>
      </c>
    </row>
    <row r="822" spans="3:5" x14ac:dyDescent="0.25">
      <c r="C822" s="31">
        <f t="shared" ca="1" si="37"/>
        <v>70.967959520857775</v>
      </c>
      <c r="E822">
        <v>68.053699216951685</v>
      </c>
    </row>
    <row r="823" spans="3:5" x14ac:dyDescent="0.25">
      <c r="C823" s="31">
        <f t="shared" ca="1" si="37"/>
        <v>65.19736163867853</v>
      </c>
      <c r="E823">
        <v>62.963958654317324</v>
      </c>
    </row>
    <row r="824" spans="3:5" x14ac:dyDescent="0.25">
      <c r="C824" s="31">
        <f t="shared" ca="1" si="37"/>
        <v>71.160104096073852</v>
      </c>
      <c r="E824">
        <v>41.502263374211196</v>
      </c>
    </row>
    <row r="825" spans="3:5" x14ac:dyDescent="0.25">
      <c r="C825" s="31">
        <f t="shared" ca="1" si="37"/>
        <v>61.847979295458728</v>
      </c>
      <c r="E825">
        <v>83.258576942741342</v>
      </c>
    </row>
    <row r="826" spans="3:5" x14ac:dyDescent="0.25">
      <c r="C826" s="31">
        <f t="shared" ca="1" si="37"/>
        <v>51.131199339384807</v>
      </c>
      <c r="E826">
        <v>65.568646192865515</v>
      </c>
    </row>
    <row r="827" spans="3:5" x14ac:dyDescent="0.25">
      <c r="C827" s="31">
        <f t="shared" ca="1" si="37"/>
        <v>72.300648396216801</v>
      </c>
      <c r="E827">
        <v>78.984933455863256</v>
      </c>
    </row>
    <row r="828" spans="3:5" x14ac:dyDescent="0.25">
      <c r="C828" s="31">
        <f t="shared" ca="1" si="37"/>
        <v>67.993011764298615</v>
      </c>
      <c r="E828">
        <v>48.110308987414427</v>
      </c>
    </row>
    <row r="829" spans="3:5" x14ac:dyDescent="0.25">
      <c r="C829" s="31">
        <f t="shared" ca="1" si="37"/>
        <v>55.289751302534711</v>
      </c>
      <c r="E829">
        <v>71.062921449221605</v>
      </c>
    </row>
    <row r="830" spans="3:5" x14ac:dyDescent="0.25">
      <c r="C830" s="31">
        <f t="shared" ref="C830:C893" ca="1" si="38">_xlfn.NORM.INV(RAND(),C$4,C$5)</f>
        <v>47.027206802303169</v>
      </c>
      <c r="E830">
        <v>47.70639151403094</v>
      </c>
    </row>
    <row r="831" spans="3:5" x14ac:dyDescent="0.25">
      <c r="C831" s="31">
        <f t="shared" ca="1" si="38"/>
        <v>53.452821487572116</v>
      </c>
      <c r="E831">
        <v>69.851501549414721</v>
      </c>
    </row>
    <row r="832" spans="3:5" x14ac:dyDescent="0.25">
      <c r="C832" s="31">
        <f t="shared" ca="1" si="38"/>
        <v>55.217899621607266</v>
      </c>
      <c r="E832">
        <v>74.413427952477818</v>
      </c>
    </row>
    <row r="833" spans="3:5" x14ac:dyDescent="0.25">
      <c r="C833" s="31">
        <f t="shared" ca="1" si="38"/>
        <v>50.207238734118974</v>
      </c>
      <c r="E833">
        <v>68.384579833384862</v>
      </c>
    </row>
    <row r="834" spans="3:5" x14ac:dyDescent="0.25">
      <c r="C834" s="31">
        <f t="shared" ca="1" si="38"/>
        <v>41.471203951861426</v>
      </c>
      <c r="E834">
        <v>42.949668284897257</v>
      </c>
    </row>
    <row r="835" spans="3:5" x14ac:dyDescent="0.25">
      <c r="C835" s="31">
        <f t="shared" ca="1" si="38"/>
        <v>59.32226182260613</v>
      </c>
      <c r="E835">
        <v>49.497880315454346</v>
      </c>
    </row>
    <row r="836" spans="3:5" x14ac:dyDescent="0.25">
      <c r="C836" s="31">
        <f t="shared" ca="1" si="38"/>
        <v>63.988722304061774</v>
      </c>
      <c r="E836">
        <v>59.068544028370212</v>
      </c>
    </row>
    <row r="837" spans="3:5" x14ac:dyDescent="0.25">
      <c r="C837" s="31">
        <f t="shared" ca="1" si="38"/>
        <v>55.53190608258717</v>
      </c>
      <c r="E837">
        <v>63.9927696701602</v>
      </c>
    </row>
    <row r="838" spans="3:5" x14ac:dyDescent="0.25">
      <c r="C838" s="31">
        <f t="shared" ca="1" si="38"/>
        <v>76.246438377244544</v>
      </c>
      <c r="E838">
        <v>61.519624067568778</v>
      </c>
    </row>
    <row r="839" spans="3:5" x14ac:dyDescent="0.25">
      <c r="C839" s="31">
        <f t="shared" ca="1" si="38"/>
        <v>53.31302484171654</v>
      </c>
      <c r="E839">
        <v>56.326262583169381</v>
      </c>
    </row>
    <row r="840" spans="3:5" x14ac:dyDescent="0.25">
      <c r="C840" s="31">
        <f t="shared" ca="1" si="38"/>
        <v>62.429902702948013</v>
      </c>
      <c r="E840">
        <v>46.311492356250128</v>
      </c>
    </row>
    <row r="841" spans="3:5" x14ac:dyDescent="0.25">
      <c r="C841" s="31">
        <f t="shared" ca="1" si="38"/>
        <v>58.131616298190153</v>
      </c>
      <c r="E841">
        <v>63.992272437221658</v>
      </c>
    </row>
    <row r="842" spans="3:5" x14ac:dyDescent="0.25">
      <c r="C842" s="31">
        <f t="shared" ca="1" si="38"/>
        <v>59.228237837792541</v>
      </c>
      <c r="E842">
        <v>63.140646538404766</v>
      </c>
    </row>
    <row r="843" spans="3:5" x14ac:dyDescent="0.25">
      <c r="C843" s="31">
        <f t="shared" ca="1" si="38"/>
        <v>75.121346772785301</v>
      </c>
      <c r="E843">
        <v>68.585557691784786</v>
      </c>
    </row>
    <row r="844" spans="3:5" x14ac:dyDescent="0.25">
      <c r="C844" s="31">
        <f t="shared" ca="1" si="38"/>
        <v>58.897042234460457</v>
      </c>
      <c r="E844">
        <v>84.988698846919547</v>
      </c>
    </row>
    <row r="845" spans="3:5" x14ac:dyDescent="0.25">
      <c r="C845" s="31">
        <f t="shared" ca="1" si="38"/>
        <v>47.104502694495693</v>
      </c>
      <c r="E845">
        <v>58.314291261730339</v>
      </c>
    </row>
    <row r="846" spans="3:5" x14ac:dyDescent="0.25">
      <c r="C846" s="31">
        <f t="shared" ca="1" si="38"/>
        <v>58.670541528713912</v>
      </c>
      <c r="E846">
        <v>50.78585107986639</v>
      </c>
    </row>
    <row r="847" spans="3:5" x14ac:dyDescent="0.25">
      <c r="C847" s="31">
        <f t="shared" ca="1" si="38"/>
        <v>78.2278598217857</v>
      </c>
      <c r="E847">
        <v>68.120795258332947</v>
      </c>
    </row>
    <row r="848" spans="3:5" x14ac:dyDescent="0.25">
      <c r="C848" s="31">
        <f t="shared" ca="1" si="38"/>
        <v>59.247037827686079</v>
      </c>
      <c r="E848">
        <v>75.655367134518798</v>
      </c>
    </row>
    <row r="849" spans="3:5" x14ac:dyDescent="0.25">
      <c r="C849" s="31">
        <f t="shared" ca="1" si="38"/>
        <v>63.577562450969971</v>
      </c>
      <c r="E849">
        <v>71.010538630355398</v>
      </c>
    </row>
    <row r="850" spans="3:5" x14ac:dyDescent="0.25">
      <c r="C850" s="31">
        <f t="shared" ca="1" si="38"/>
        <v>43.146928890864999</v>
      </c>
      <c r="E850">
        <v>66.999014948492203</v>
      </c>
    </row>
    <row r="851" spans="3:5" x14ac:dyDescent="0.25">
      <c r="C851" s="31">
        <f t="shared" ca="1" si="38"/>
        <v>48.981997945335003</v>
      </c>
      <c r="E851">
        <v>84.407114189939094</v>
      </c>
    </row>
    <row r="852" spans="3:5" x14ac:dyDescent="0.25">
      <c r="C852" s="31">
        <f t="shared" ca="1" si="38"/>
        <v>68.951475781449219</v>
      </c>
      <c r="E852">
        <v>77.02353364112281</v>
      </c>
    </row>
    <row r="853" spans="3:5" x14ac:dyDescent="0.25">
      <c r="C853" s="31">
        <f t="shared" ca="1" si="38"/>
        <v>48.21745199425218</v>
      </c>
      <c r="E853">
        <v>59.600120277363423</v>
      </c>
    </row>
    <row r="854" spans="3:5" x14ac:dyDescent="0.25">
      <c r="C854" s="31">
        <f t="shared" ca="1" si="38"/>
        <v>59.676064116338573</v>
      </c>
      <c r="E854">
        <v>51.230104552276501</v>
      </c>
    </row>
    <row r="855" spans="3:5" x14ac:dyDescent="0.25">
      <c r="C855" s="31">
        <f t="shared" ca="1" si="38"/>
        <v>60.961409973195614</v>
      </c>
      <c r="E855">
        <v>51.986656912914952</v>
      </c>
    </row>
    <row r="856" spans="3:5" x14ac:dyDescent="0.25">
      <c r="C856" s="31">
        <f t="shared" ca="1" si="38"/>
        <v>50.366683822321463</v>
      </c>
      <c r="E856">
        <v>53.532608479434465</v>
      </c>
    </row>
    <row r="857" spans="3:5" x14ac:dyDescent="0.25">
      <c r="C857" s="31">
        <f t="shared" ca="1" si="38"/>
        <v>64.890077352836386</v>
      </c>
      <c r="E857">
        <v>49.926819952867113</v>
      </c>
    </row>
    <row r="858" spans="3:5" x14ac:dyDescent="0.25">
      <c r="C858" s="31">
        <f t="shared" ca="1" si="38"/>
        <v>77.010108128597423</v>
      </c>
      <c r="E858">
        <v>62.605633198019888</v>
      </c>
    </row>
    <row r="859" spans="3:5" x14ac:dyDescent="0.25">
      <c r="C859" s="31">
        <f t="shared" ca="1" si="38"/>
        <v>59.137195514850625</v>
      </c>
      <c r="E859">
        <v>54.599933426505423</v>
      </c>
    </row>
    <row r="860" spans="3:5" x14ac:dyDescent="0.25">
      <c r="C860" s="31">
        <f t="shared" ca="1" si="38"/>
        <v>70.015906315773066</v>
      </c>
      <c r="E860">
        <v>61.445289980216657</v>
      </c>
    </row>
    <row r="861" spans="3:5" x14ac:dyDescent="0.25">
      <c r="C861" s="31">
        <f t="shared" ca="1" si="38"/>
        <v>52.985717210244331</v>
      </c>
      <c r="E861">
        <v>61.05440379864929</v>
      </c>
    </row>
    <row r="862" spans="3:5" x14ac:dyDescent="0.25">
      <c r="C862" s="31">
        <f t="shared" ca="1" si="38"/>
        <v>49.038254330706273</v>
      </c>
      <c r="E862">
        <v>59.899596365184777</v>
      </c>
    </row>
    <row r="863" spans="3:5" x14ac:dyDescent="0.25">
      <c r="C863" s="31">
        <f t="shared" ca="1" si="38"/>
        <v>62.531256108086453</v>
      </c>
      <c r="E863">
        <v>81.785997296341151</v>
      </c>
    </row>
    <row r="864" spans="3:5" x14ac:dyDescent="0.25">
      <c r="C864" s="31">
        <f t="shared" ca="1" si="38"/>
        <v>65.835054979003274</v>
      </c>
      <c r="E864">
        <v>62.067225111377013</v>
      </c>
    </row>
    <row r="865" spans="3:5" x14ac:dyDescent="0.25">
      <c r="C865" s="31">
        <f t="shared" ca="1" si="38"/>
        <v>65.626602851123394</v>
      </c>
      <c r="E865">
        <v>70.729334197624382</v>
      </c>
    </row>
    <row r="866" spans="3:5" x14ac:dyDescent="0.25">
      <c r="C866" s="31">
        <f t="shared" ca="1" si="38"/>
        <v>78.759886506170176</v>
      </c>
      <c r="E866">
        <v>52.110248854049097</v>
      </c>
    </row>
    <row r="867" spans="3:5" x14ac:dyDescent="0.25">
      <c r="C867" s="31">
        <f t="shared" ca="1" si="38"/>
        <v>65.523550173680732</v>
      </c>
      <c r="E867">
        <v>69.156562765980411</v>
      </c>
    </row>
    <row r="868" spans="3:5" x14ac:dyDescent="0.25">
      <c r="C868" s="31">
        <f t="shared" ca="1" si="38"/>
        <v>67.931640877873903</v>
      </c>
      <c r="E868">
        <v>84.286641753608137</v>
      </c>
    </row>
    <row r="869" spans="3:5" x14ac:dyDescent="0.25">
      <c r="C869" s="31">
        <f t="shared" ca="1" si="38"/>
        <v>58.404621598354552</v>
      </c>
      <c r="E869">
        <v>70.671671744559902</v>
      </c>
    </row>
    <row r="870" spans="3:5" x14ac:dyDescent="0.25">
      <c r="C870" s="31">
        <f t="shared" ca="1" si="38"/>
        <v>57.950281046316832</v>
      </c>
      <c r="E870">
        <v>39.495232573271764</v>
      </c>
    </row>
    <row r="871" spans="3:5" x14ac:dyDescent="0.25">
      <c r="C871" s="31">
        <f t="shared" ca="1" si="38"/>
        <v>56.332087135138707</v>
      </c>
      <c r="E871">
        <v>72.025286586822489</v>
      </c>
    </row>
    <row r="872" spans="3:5" x14ac:dyDescent="0.25">
      <c r="C872" s="31">
        <f t="shared" ca="1" si="38"/>
        <v>67.478236240414674</v>
      </c>
      <c r="E872">
        <v>54.751339182487015</v>
      </c>
    </row>
    <row r="873" spans="3:5" x14ac:dyDescent="0.25">
      <c r="C873" s="31">
        <f t="shared" ca="1" si="38"/>
        <v>62.97489974634081</v>
      </c>
      <c r="E873">
        <v>61.518565262406064</v>
      </c>
    </row>
    <row r="874" spans="3:5" x14ac:dyDescent="0.25">
      <c r="C874" s="31">
        <f t="shared" ca="1" si="38"/>
        <v>74.202332248487465</v>
      </c>
      <c r="E874">
        <v>48.893914832709591</v>
      </c>
    </row>
    <row r="875" spans="3:5" x14ac:dyDescent="0.25">
      <c r="C875" s="31">
        <f t="shared" ca="1" si="38"/>
        <v>66.261084892452388</v>
      </c>
      <c r="E875">
        <v>49.855577021816252</v>
      </c>
    </row>
    <row r="876" spans="3:5" x14ac:dyDescent="0.25">
      <c r="C876" s="31">
        <f t="shared" ca="1" si="38"/>
        <v>51.45577931547588</v>
      </c>
      <c r="E876">
        <v>52.509193117224576</v>
      </c>
    </row>
    <row r="877" spans="3:5" x14ac:dyDescent="0.25">
      <c r="C877" s="31">
        <f t="shared" ca="1" si="38"/>
        <v>52.447707307212852</v>
      </c>
      <c r="E877">
        <v>63.963276337504922</v>
      </c>
    </row>
    <row r="878" spans="3:5" x14ac:dyDescent="0.25">
      <c r="C878" s="31">
        <f t="shared" ca="1" si="38"/>
        <v>53.531440962170926</v>
      </c>
      <c r="E878">
        <v>58.601267197046901</v>
      </c>
    </row>
    <row r="879" spans="3:5" x14ac:dyDescent="0.25">
      <c r="C879" s="31">
        <f t="shared" ca="1" si="38"/>
        <v>65.316114043682603</v>
      </c>
      <c r="E879">
        <v>50.653404949104321</v>
      </c>
    </row>
    <row r="880" spans="3:5" x14ac:dyDescent="0.25">
      <c r="C880" s="31">
        <f t="shared" ca="1" si="38"/>
        <v>51.240741097169902</v>
      </c>
      <c r="E880">
        <v>67.773886507930527</v>
      </c>
    </row>
    <row r="881" spans="3:5" x14ac:dyDescent="0.25">
      <c r="C881" s="31">
        <f t="shared" ca="1" si="38"/>
        <v>55.156476155546159</v>
      </c>
      <c r="E881">
        <v>54.853970083683905</v>
      </c>
    </row>
    <row r="882" spans="3:5" x14ac:dyDescent="0.25">
      <c r="C882" s="31">
        <f t="shared" ca="1" si="38"/>
        <v>80.944172915036887</v>
      </c>
      <c r="E882">
        <v>61.509616723737444</v>
      </c>
    </row>
    <row r="883" spans="3:5" x14ac:dyDescent="0.25">
      <c r="C883" s="31">
        <f t="shared" ca="1" si="38"/>
        <v>65.298681739931212</v>
      </c>
      <c r="E883">
        <v>64.268388145383454</v>
      </c>
    </row>
    <row r="884" spans="3:5" x14ac:dyDescent="0.25">
      <c r="C884" s="31">
        <f t="shared" ca="1" si="38"/>
        <v>68.759583735753225</v>
      </c>
      <c r="E884">
        <v>85.247915856585692</v>
      </c>
    </row>
    <row r="885" spans="3:5" x14ac:dyDescent="0.25">
      <c r="C885" s="31">
        <f t="shared" ca="1" si="38"/>
        <v>52.227463387342631</v>
      </c>
      <c r="E885">
        <v>39.961431060910655</v>
      </c>
    </row>
    <row r="886" spans="3:5" x14ac:dyDescent="0.25">
      <c r="C886" s="31">
        <f t="shared" ca="1" si="38"/>
        <v>63.449144677666382</v>
      </c>
      <c r="E886">
        <v>63.889811262370131</v>
      </c>
    </row>
    <row r="887" spans="3:5" x14ac:dyDescent="0.25">
      <c r="C887" s="31">
        <f t="shared" ca="1" si="38"/>
        <v>58.42949756498485</v>
      </c>
      <c r="E887">
        <v>66.906635445713533</v>
      </c>
    </row>
    <row r="888" spans="3:5" x14ac:dyDescent="0.25">
      <c r="C888" s="31">
        <f t="shared" ca="1" si="38"/>
        <v>51.65761291362238</v>
      </c>
      <c r="E888">
        <v>70.107269382518723</v>
      </c>
    </row>
    <row r="889" spans="3:5" x14ac:dyDescent="0.25">
      <c r="C889" s="31">
        <f t="shared" ca="1" si="38"/>
        <v>60.085694633096246</v>
      </c>
      <c r="E889">
        <v>68.749832690003785</v>
      </c>
    </row>
    <row r="890" spans="3:5" x14ac:dyDescent="0.25">
      <c r="C890" s="31">
        <f t="shared" ca="1" si="38"/>
        <v>53.162692545466719</v>
      </c>
      <c r="E890">
        <v>71.721852343737041</v>
      </c>
    </row>
    <row r="891" spans="3:5" x14ac:dyDescent="0.25">
      <c r="C891" s="31">
        <f t="shared" ca="1" si="38"/>
        <v>49.315637983000919</v>
      </c>
      <c r="E891">
        <v>82.2876895490473</v>
      </c>
    </row>
    <row r="892" spans="3:5" x14ac:dyDescent="0.25">
      <c r="C892" s="31">
        <f t="shared" ca="1" si="38"/>
        <v>38.032353695967288</v>
      </c>
      <c r="E892">
        <v>48.020188158261853</v>
      </c>
    </row>
    <row r="893" spans="3:5" x14ac:dyDescent="0.25">
      <c r="C893" s="31">
        <f t="shared" ca="1" si="38"/>
        <v>56.358449904272547</v>
      </c>
      <c r="E893">
        <v>74.60172926541432</v>
      </c>
    </row>
    <row r="894" spans="3:5" x14ac:dyDescent="0.25">
      <c r="C894" s="31">
        <f t="shared" ref="C894:C957" ca="1" si="39">_xlfn.NORM.INV(RAND(),C$4,C$5)</f>
        <v>59.092340190224867</v>
      </c>
      <c r="E894">
        <v>77.772396060325605</v>
      </c>
    </row>
    <row r="895" spans="3:5" x14ac:dyDescent="0.25">
      <c r="C895" s="31">
        <f t="shared" ca="1" si="39"/>
        <v>85.873995693259999</v>
      </c>
      <c r="E895">
        <v>72.180319123066511</v>
      </c>
    </row>
    <row r="896" spans="3:5" x14ac:dyDescent="0.25">
      <c r="C896" s="31">
        <f t="shared" ca="1" si="39"/>
        <v>57.830677324066137</v>
      </c>
      <c r="E896">
        <v>65.864154321546934</v>
      </c>
    </row>
    <row r="897" spans="3:5" x14ac:dyDescent="0.25">
      <c r="C897" s="31">
        <f t="shared" ca="1" si="39"/>
        <v>65.179366472110175</v>
      </c>
      <c r="E897">
        <v>93.348163878566197</v>
      </c>
    </row>
    <row r="898" spans="3:5" x14ac:dyDescent="0.25">
      <c r="C898" s="31">
        <f t="shared" ca="1" si="39"/>
        <v>66.970364520363262</v>
      </c>
      <c r="E898">
        <v>50.230262931670381</v>
      </c>
    </row>
    <row r="899" spans="3:5" x14ac:dyDescent="0.25">
      <c r="C899" s="31">
        <f t="shared" ca="1" si="39"/>
        <v>46.490058273497574</v>
      </c>
      <c r="E899">
        <v>34.331987183053236</v>
      </c>
    </row>
    <row r="900" spans="3:5" x14ac:dyDescent="0.25">
      <c r="C900" s="31">
        <f t="shared" ca="1" si="39"/>
        <v>68.132765423167385</v>
      </c>
      <c r="E900">
        <v>62.352995195677551</v>
      </c>
    </row>
    <row r="901" spans="3:5" x14ac:dyDescent="0.25">
      <c r="C901" s="31">
        <f t="shared" ca="1" si="39"/>
        <v>55.405649257021082</v>
      </c>
      <c r="E901">
        <v>64.495721330515153</v>
      </c>
    </row>
    <row r="902" spans="3:5" x14ac:dyDescent="0.25">
      <c r="C902" s="31">
        <f t="shared" ca="1" si="39"/>
        <v>70.179798010079296</v>
      </c>
      <c r="E902">
        <v>52.55938226420912</v>
      </c>
    </row>
    <row r="903" spans="3:5" x14ac:dyDescent="0.25">
      <c r="C903" s="31">
        <f t="shared" ca="1" si="39"/>
        <v>66.758432058890222</v>
      </c>
      <c r="E903">
        <v>79.877118214969343</v>
      </c>
    </row>
    <row r="904" spans="3:5" x14ac:dyDescent="0.25">
      <c r="C904" s="31">
        <f t="shared" ca="1" si="39"/>
        <v>49.685963534153601</v>
      </c>
      <c r="E904">
        <v>52.83737120775065</v>
      </c>
    </row>
    <row r="905" spans="3:5" x14ac:dyDescent="0.25">
      <c r="C905" s="31">
        <f t="shared" ca="1" si="39"/>
        <v>56.12879893660822</v>
      </c>
      <c r="E905">
        <v>63.280971341269897</v>
      </c>
    </row>
    <row r="906" spans="3:5" x14ac:dyDescent="0.25">
      <c r="C906" s="31">
        <f t="shared" ca="1" si="39"/>
        <v>50.744520711933603</v>
      </c>
      <c r="E906">
        <v>73.644706881039525</v>
      </c>
    </row>
    <row r="907" spans="3:5" x14ac:dyDescent="0.25">
      <c r="C907" s="31">
        <f t="shared" ca="1" si="39"/>
        <v>55.18580294188633</v>
      </c>
      <c r="E907">
        <v>61.945566152228835</v>
      </c>
    </row>
    <row r="908" spans="3:5" x14ac:dyDescent="0.25">
      <c r="C908" s="31">
        <f t="shared" ca="1" si="39"/>
        <v>48.230737942195702</v>
      </c>
      <c r="E908">
        <v>39.382137439905108</v>
      </c>
    </row>
    <row r="909" spans="3:5" x14ac:dyDescent="0.25">
      <c r="C909" s="31">
        <f t="shared" ca="1" si="39"/>
        <v>65.139787671746575</v>
      </c>
      <c r="E909">
        <v>56.998989430922911</v>
      </c>
    </row>
    <row r="910" spans="3:5" x14ac:dyDescent="0.25">
      <c r="C910" s="31">
        <f t="shared" ca="1" si="39"/>
        <v>72.976835543704254</v>
      </c>
      <c r="E910">
        <v>56.717640728061951</v>
      </c>
    </row>
    <row r="911" spans="3:5" x14ac:dyDescent="0.25">
      <c r="C911" s="31">
        <f t="shared" ca="1" si="39"/>
        <v>57.352281223501961</v>
      </c>
      <c r="E911">
        <v>52.98708359505428</v>
      </c>
    </row>
    <row r="912" spans="3:5" x14ac:dyDescent="0.25">
      <c r="C912" s="31">
        <f t="shared" ca="1" si="39"/>
        <v>63.662360786612844</v>
      </c>
      <c r="E912">
        <v>50.391504133018955</v>
      </c>
    </row>
    <row r="913" spans="3:5" x14ac:dyDescent="0.25">
      <c r="C913" s="31">
        <f t="shared" ca="1" si="39"/>
        <v>71.000377877301233</v>
      </c>
      <c r="E913">
        <v>60.689589396284276</v>
      </c>
    </row>
    <row r="914" spans="3:5" x14ac:dyDescent="0.25">
      <c r="C914" s="31">
        <f t="shared" ca="1" si="39"/>
        <v>63.990821089964875</v>
      </c>
      <c r="E914">
        <v>61.883994949280869</v>
      </c>
    </row>
    <row r="915" spans="3:5" x14ac:dyDescent="0.25">
      <c r="C915" s="31">
        <f t="shared" ca="1" si="39"/>
        <v>45.772129383239161</v>
      </c>
      <c r="E915">
        <v>58.378237279496247</v>
      </c>
    </row>
    <row r="916" spans="3:5" x14ac:dyDescent="0.25">
      <c r="C916" s="31">
        <f t="shared" ca="1" si="39"/>
        <v>62.308529587634354</v>
      </c>
      <c r="E916">
        <v>49.319118881281518</v>
      </c>
    </row>
    <row r="917" spans="3:5" x14ac:dyDescent="0.25">
      <c r="C917" s="31">
        <f t="shared" ca="1" si="39"/>
        <v>41.64684319229778</v>
      </c>
      <c r="E917">
        <v>81.089551752594659</v>
      </c>
    </row>
    <row r="918" spans="3:5" x14ac:dyDescent="0.25">
      <c r="C918" s="31">
        <f t="shared" ca="1" si="39"/>
        <v>66.36176716397668</v>
      </c>
      <c r="E918">
        <v>79.239261984632705</v>
      </c>
    </row>
    <row r="919" spans="3:5" x14ac:dyDescent="0.25">
      <c r="C919" s="31">
        <f t="shared" ca="1" si="39"/>
        <v>42.150601308244134</v>
      </c>
      <c r="E919">
        <v>62.490161977878479</v>
      </c>
    </row>
    <row r="920" spans="3:5" x14ac:dyDescent="0.25">
      <c r="C920" s="31">
        <f t="shared" ca="1" si="39"/>
        <v>65.773951699130748</v>
      </c>
      <c r="E920">
        <v>78.575092258565888</v>
      </c>
    </row>
    <row r="921" spans="3:5" x14ac:dyDescent="0.25">
      <c r="C921" s="31">
        <f t="shared" ca="1" si="39"/>
        <v>47.127442694583713</v>
      </c>
      <c r="E921">
        <v>65.314760829188558</v>
      </c>
    </row>
    <row r="922" spans="3:5" x14ac:dyDescent="0.25">
      <c r="C922" s="31">
        <f t="shared" ca="1" si="39"/>
        <v>63.963003899611216</v>
      </c>
      <c r="E922">
        <v>64.060645944929973</v>
      </c>
    </row>
    <row r="923" spans="3:5" x14ac:dyDescent="0.25">
      <c r="C923" s="31">
        <f t="shared" ca="1" si="39"/>
        <v>72.020322877996406</v>
      </c>
      <c r="E923">
        <v>63.137439652983204</v>
      </c>
    </row>
    <row r="924" spans="3:5" x14ac:dyDescent="0.25">
      <c r="C924" s="31">
        <f t="shared" ca="1" si="39"/>
        <v>71.937650505915784</v>
      </c>
      <c r="E924">
        <v>62.626187631896201</v>
      </c>
    </row>
    <row r="925" spans="3:5" x14ac:dyDescent="0.25">
      <c r="C925" s="31">
        <f t="shared" ca="1" si="39"/>
        <v>65.825183843432228</v>
      </c>
      <c r="E925">
        <v>46.19119264854465</v>
      </c>
    </row>
    <row r="926" spans="3:5" x14ac:dyDescent="0.25">
      <c r="C926" s="31">
        <f t="shared" ca="1" si="39"/>
        <v>33.932511666144997</v>
      </c>
      <c r="E926">
        <v>45.617501889338776</v>
      </c>
    </row>
    <row r="927" spans="3:5" x14ac:dyDescent="0.25">
      <c r="C927" s="31">
        <f t="shared" ca="1" si="39"/>
        <v>44.471934482000442</v>
      </c>
      <c r="E927">
        <v>56.309382194682563</v>
      </c>
    </row>
    <row r="928" spans="3:5" x14ac:dyDescent="0.25">
      <c r="C928" s="31">
        <f t="shared" ca="1" si="39"/>
        <v>50.781031964995712</v>
      </c>
      <c r="E928">
        <v>48.762942830301704</v>
      </c>
    </row>
    <row r="929" spans="3:5" x14ac:dyDescent="0.25">
      <c r="C929" s="31">
        <f t="shared" ca="1" si="39"/>
        <v>62.272930909246483</v>
      </c>
      <c r="E929">
        <v>70.891473383019303</v>
      </c>
    </row>
    <row r="930" spans="3:5" x14ac:dyDescent="0.25">
      <c r="C930" s="31">
        <f t="shared" ca="1" si="39"/>
        <v>73.211261781261712</v>
      </c>
      <c r="E930">
        <v>67.411726555428473</v>
      </c>
    </row>
    <row r="931" spans="3:5" x14ac:dyDescent="0.25">
      <c r="C931" s="31">
        <f t="shared" ca="1" si="39"/>
        <v>53.241197955014982</v>
      </c>
      <c r="E931">
        <v>69.916114031601225</v>
      </c>
    </row>
    <row r="932" spans="3:5" x14ac:dyDescent="0.25">
      <c r="C932" s="31">
        <f t="shared" ca="1" si="39"/>
        <v>51.788763871384567</v>
      </c>
      <c r="E932">
        <v>62.252573932523639</v>
      </c>
    </row>
    <row r="933" spans="3:5" x14ac:dyDescent="0.25">
      <c r="C933" s="31">
        <f t="shared" ca="1" si="39"/>
        <v>61.565581607161931</v>
      </c>
      <c r="E933">
        <v>70.227450735669507</v>
      </c>
    </row>
    <row r="934" spans="3:5" x14ac:dyDescent="0.25">
      <c r="C934" s="31">
        <f t="shared" ca="1" si="39"/>
        <v>67.724825039655187</v>
      </c>
      <c r="E934">
        <v>53.617210291054043</v>
      </c>
    </row>
    <row r="935" spans="3:5" x14ac:dyDescent="0.25">
      <c r="C935" s="31">
        <f t="shared" ca="1" si="39"/>
        <v>65.40654527218625</v>
      </c>
      <c r="E935">
        <v>64.820800017485737</v>
      </c>
    </row>
    <row r="936" spans="3:5" x14ac:dyDescent="0.25">
      <c r="C936" s="31">
        <f t="shared" ca="1" si="39"/>
        <v>76.747227439395431</v>
      </c>
      <c r="E936">
        <v>61.823451686454959</v>
      </c>
    </row>
    <row r="937" spans="3:5" x14ac:dyDescent="0.25">
      <c r="C937" s="31">
        <f t="shared" ca="1" si="39"/>
        <v>58.258968024042801</v>
      </c>
      <c r="E937">
        <v>58.831190955457522</v>
      </c>
    </row>
    <row r="938" spans="3:5" x14ac:dyDescent="0.25">
      <c r="C938" s="31">
        <f t="shared" ca="1" si="39"/>
        <v>59.741623101297392</v>
      </c>
      <c r="E938">
        <v>57.875062114331122</v>
      </c>
    </row>
    <row r="939" spans="3:5" x14ac:dyDescent="0.25">
      <c r="C939" s="31">
        <f t="shared" ca="1" si="39"/>
        <v>81.315662442974997</v>
      </c>
      <c r="E939">
        <v>63.40274506802438</v>
      </c>
    </row>
    <row r="940" spans="3:5" x14ac:dyDescent="0.25">
      <c r="C940" s="31">
        <f t="shared" ca="1" si="39"/>
        <v>60.182675856838472</v>
      </c>
      <c r="E940">
        <v>69.397034648564286</v>
      </c>
    </row>
    <row r="941" spans="3:5" x14ac:dyDescent="0.25">
      <c r="C941" s="31">
        <f t="shared" ca="1" si="39"/>
        <v>80.888572644577067</v>
      </c>
      <c r="E941">
        <v>59.738084445975211</v>
      </c>
    </row>
    <row r="942" spans="3:5" x14ac:dyDescent="0.25">
      <c r="C942" s="31">
        <f t="shared" ca="1" si="39"/>
        <v>75.151492331548468</v>
      </c>
      <c r="E942">
        <v>70.458753964590102</v>
      </c>
    </row>
    <row r="943" spans="3:5" x14ac:dyDescent="0.25">
      <c r="C943" s="31">
        <f t="shared" ca="1" si="39"/>
        <v>70.717163923751627</v>
      </c>
      <c r="E943">
        <v>69.619543878462949</v>
      </c>
    </row>
    <row r="944" spans="3:5" x14ac:dyDescent="0.25">
      <c r="C944" s="31">
        <f t="shared" ca="1" si="39"/>
        <v>59.730282648522767</v>
      </c>
      <c r="E944">
        <v>56.071596051337607</v>
      </c>
    </row>
    <row r="945" spans="3:5" x14ac:dyDescent="0.25">
      <c r="C945" s="31">
        <f t="shared" ca="1" si="39"/>
        <v>59.170853711889713</v>
      </c>
      <c r="E945">
        <v>58.828268656161775</v>
      </c>
    </row>
    <row r="946" spans="3:5" x14ac:dyDescent="0.25">
      <c r="C946" s="31">
        <f t="shared" ca="1" si="39"/>
        <v>54.263804610020507</v>
      </c>
      <c r="E946">
        <v>46.849070643282886</v>
      </c>
    </row>
    <row r="947" spans="3:5" x14ac:dyDescent="0.25">
      <c r="C947" s="31">
        <f t="shared" ca="1" si="39"/>
        <v>55.432831550942133</v>
      </c>
      <c r="E947">
        <v>68.157685965890863</v>
      </c>
    </row>
    <row r="948" spans="3:5" x14ac:dyDescent="0.25">
      <c r="C948" s="31">
        <f t="shared" ca="1" si="39"/>
        <v>65.437072403562169</v>
      </c>
      <c r="E948">
        <v>57.596408017255541</v>
      </c>
    </row>
    <row r="949" spans="3:5" x14ac:dyDescent="0.25">
      <c r="C949" s="31">
        <f t="shared" ca="1" si="39"/>
        <v>60.675613047035895</v>
      </c>
      <c r="E949">
        <v>37.461029774261391</v>
      </c>
    </row>
    <row r="950" spans="3:5" x14ac:dyDescent="0.25">
      <c r="C950" s="31">
        <f t="shared" ca="1" si="39"/>
        <v>79.443342892487124</v>
      </c>
      <c r="E950">
        <v>48.854569526075167</v>
      </c>
    </row>
    <row r="951" spans="3:5" x14ac:dyDescent="0.25">
      <c r="C951" s="31">
        <f t="shared" ca="1" si="39"/>
        <v>63.438256172398461</v>
      </c>
      <c r="E951">
        <v>59.627753574009297</v>
      </c>
    </row>
    <row r="952" spans="3:5" x14ac:dyDescent="0.25">
      <c r="C952" s="31">
        <f t="shared" ca="1" si="39"/>
        <v>63.421777207749493</v>
      </c>
      <c r="E952">
        <v>67.940097675618716</v>
      </c>
    </row>
    <row r="953" spans="3:5" x14ac:dyDescent="0.25">
      <c r="C953" s="31">
        <f t="shared" ca="1" si="39"/>
        <v>46.996755692243006</v>
      </c>
      <c r="E953">
        <v>61.339985936152203</v>
      </c>
    </row>
    <row r="954" spans="3:5" x14ac:dyDescent="0.25">
      <c r="C954" s="31">
        <f t="shared" ca="1" si="39"/>
        <v>64.407065406816628</v>
      </c>
      <c r="E954">
        <v>63.345598876745633</v>
      </c>
    </row>
    <row r="955" spans="3:5" x14ac:dyDescent="0.25">
      <c r="C955" s="31">
        <f t="shared" ca="1" si="39"/>
        <v>60.966040665085792</v>
      </c>
      <c r="E955">
        <v>61.048619661287034</v>
      </c>
    </row>
    <row r="956" spans="3:5" x14ac:dyDescent="0.25">
      <c r="C956" s="31">
        <f t="shared" ca="1" si="39"/>
        <v>78.91253341705432</v>
      </c>
      <c r="E956">
        <v>60.13467183175932</v>
      </c>
    </row>
    <row r="957" spans="3:5" x14ac:dyDescent="0.25">
      <c r="C957" s="31">
        <f t="shared" ca="1" si="39"/>
        <v>38.556728034842251</v>
      </c>
      <c r="E957">
        <v>80.81565438988433</v>
      </c>
    </row>
    <row r="958" spans="3:5" x14ac:dyDescent="0.25">
      <c r="C958" s="31">
        <f t="shared" ref="C958:C1021" ca="1" si="40">_xlfn.NORM.INV(RAND(),C$4,C$5)</f>
        <v>59.747315122028787</v>
      </c>
      <c r="E958">
        <v>78.987368840821915</v>
      </c>
    </row>
    <row r="959" spans="3:5" x14ac:dyDescent="0.25">
      <c r="C959" s="31">
        <f t="shared" ca="1" si="40"/>
        <v>64.13927394288983</v>
      </c>
      <c r="E959">
        <v>62.299121729582716</v>
      </c>
    </row>
    <row r="960" spans="3:5" x14ac:dyDescent="0.25">
      <c r="C960" s="31">
        <f t="shared" ca="1" si="40"/>
        <v>67.659207356462659</v>
      </c>
      <c r="E960">
        <v>69.738707776884837</v>
      </c>
    </row>
    <row r="961" spans="3:5" x14ac:dyDescent="0.25">
      <c r="C961" s="31">
        <f t="shared" ca="1" si="40"/>
        <v>67.94730150141892</v>
      </c>
      <c r="E961">
        <v>65.646928404475986</v>
      </c>
    </row>
    <row r="962" spans="3:5" x14ac:dyDescent="0.25">
      <c r="C962" s="31">
        <f t="shared" ca="1" si="40"/>
        <v>38.526254520821816</v>
      </c>
      <c r="E962">
        <v>89.718156519133885</v>
      </c>
    </row>
    <row r="963" spans="3:5" x14ac:dyDescent="0.25">
      <c r="C963" s="31">
        <f t="shared" ca="1" si="40"/>
        <v>57.602776357277513</v>
      </c>
      <c r="E963">
        <v>68.789527582264398</v>
      </c>
    </row>
    <row r="964" spans="3:5" x14ac:dyDescent="0.25">
      <c r="C964" s="31">
        <f t="shared" ca="1" si="40"/>
        <v>55.516910163369523</v>
      </c>
      <c r="E964">
        <v>62.343795330458462</v>
      </c>
    </row>
    <row r="965" spans="3:5" x14ac:dyDescent="0.25">
      <c r="C965" s="31">
        <f t="shared" ca="1" si="40"/>
        <v>50.532498735752164</v>
      </c>
      <c r="E965">
        <v>63.630398583464036</v>
      </c>
    </row>
    <row r="966" spans="3:5" x14ac:dyDescent="0.25">
      <c r="C966" s="31">
        <f t="shared" ca="1" si="40"/>
        <v>66.163045250037356</v>
      </c>
      <c r="E966">
        <v>56.976935124739072</v>
      </c>
    </row>
    <row r="967" spans="3:5" x14ac:dyDescent="0.25">
      <c r="C967" s="31">
        <f t="shared" ca="1" si="40"/>
        <v>51.265306377585688</v>
      </c>
      <c r="E967">
        <v>62.583545744624303</v>
      </c>
    </row>
    <row r="968" spans="3:5" x14ac:dyDescent="0.25">
      <c r="C968" s="31">
        <f t="shared" ca="1" si="40"/>
        <v>57.198561454237272</v>
      </c>
      <c r="E968">
        <v>37.435296390053026</v>
      </c>
    </row>
    <row r="969" spans="3:5" x14ac:dyDescent="0.25">
      <c r="C969" s="31">
        <f t="shared" ca="1" si="40"/>
        <v>61.025094519278419</v>
      </c>
      <c r="E969">
        <v>52.622137364267672</v>
      </c>
    </row>
    <row r="970" spans="3:5" x14ac:dyDescent="0.25">
      <c r="C970" s="31">
        <f t="shared" ca="1" si="40"/>
        <v>69.348187495647721</v>
      </c>
      <c r="E970">
        <v>65.596972448043857</v>
      </c>
    </row>
    <row r="971" spans="3:5" x14ac:dyDescent="0.25">
      <c r="C971" s="31">
        <f t="shared" ca="1" si="40"/>
        <v>58.50709044882327</v>
      </c>
      <c r="E971">
        <v>44.74501397504973</v>
      </c>
    </row>
    <row r="972" spans="3:5" x14ac:dyDescent="0.25">
      <c r="C972" s="31">
        <f t="shared" ca="1" si="40"/>
        <v>68.142561991786053</v>
      </c>
      <c r="E972">
        <v>73.532157248037464</v>
      </c>
    </row>
    <row r="973" spans="3:5" x14ac:dyDescent="0.25">
      <c r="C973" s="31">
        <f t="shared" ca="1" si="40"/>
        <v>65.24205017810597</v>
      </c>
      <c r="E973">
        <v>50.026608287365235</v>
      </c>
    </row>
    <row r="974" spans="3:5" x14ac:dyDescent="0.25">
      <c r="C974" s="31">
        <f t="shared" ca="1" si="40"/>
        <v>75.288703800513247</v>
      </c>
      <c r="E974">
        <v>57.922470778037763</v>
      </c>
    </row>
    <row r="975" spans="3:5" x14ac:dyDescent="0.25">
      <c r="C975" s="31">
        <f t="shared" ca="1" si="40"/>
        <v>64.387808425626332</v>
      </c>
      <c r="E975">
        <v>55.719379433304397</v>
      </c>
    </row>
    <row r="976" spans="3:5" x14ac:dyDescent="0.25">
      <c r="C976" s="31">
        <f t="shared" ca="1" si="40"/>
        <v>56.719606037527456</v>
      </c>
      <c r="E976">
        <v>75.158837294820216</v>
      </c>
    </row>
    <row r="977" spans="3:5" x14ac:dyDescent="0.25">
      <c r="C977" s="31">
        <f t="shared" ca="1" si="40"/>
        <v>49.356897402165572</v>
      </c>
      <c r="E977">
        <v>66.06352341506711</v>
      </c>
    </row>
    <row r="978" spans="3:5" x14ac:dyDescent="0.25">
      <c r="C978" s="31">
        <f t="shared" ca="1" si="40"/>
        <v>67.463109531168072</v>
      </c>
      <c r="E978">
        <v>58.111382464216121</v>
      </c>
    </row>
    <row r="979" spans="3:5" x14ac:dyDescent="0.25">
      <c r="C979" s="31">
        <f t="shared" ca="1" si="40"/>
        <v>53.102689840421775</v>
      </c>
      <c r="E979">
        <v>63.8248357412077</v>
      </c>
    </row>
    <row r="980" spans="3:5" x14ac:dyDescent="0.25">
      <c r="C980" s="31">
        <f t="shared" ca="1" si="40"/>
        <v>64.60386580918717</v>
      </c>
      <c r="E980">
        <v>64.931207131678633</v>
      </c>
    </row>
    <row r="981" spans="3:5" x14ac:dyDescent="0.25">
      <c r="C981" s="31">
        <f t="shared" ca="1" si="40"/>
        <v>55.957800374001188</v>
      </c>
      <c r="E981">
        <v>54.498309318450481</v>
      </c>
    </row>
    <row r="982" spans="3:5" x14ac:dyDescent="0.25">
      <c r="C982" s="31">
        <f t="shared" ca="1" si="40"/>
        <v>57.379102762712385</v>
      </c>
      <c r="E982">
        <v>55.713817724377421</v>
      </c>
    </row>
    <row r="983" spans="3:5" x14ac:dyDescent="0.25">
      <c r="C983" s="31">
        <f t="shared" ca="1" si="40"/>
        <v>52.037086486732036</v>
      </c>
      <c r="E983">
        <v>70.513589659447561</v>
      </c>
    </row>
    <row r="984" spans="3:5" x14ac:dyDescent="0.25">
      <c r="C984" s="31">
        <f t="shared" ca="1" si="40"/>
        <v>58.623070158808623</v>
      </c>
      <c r="E984">
        <v>72.307136222570762</v>
      </c>
    </row>
    <row r="985" spans="3:5" x14ac:dyDescent="0.25">
      <c r="C985" s="31">
        <f t="shared" ca="1" si="40"/>
        <v>58.510668540794526</v>
      </c>
      <c r="E985">
        <v>65.130097594332938</v>
      </c>
    </row>
    <row r="986" spans="3:5" x14ac:dyDescent="0.25">
      <c r="C986" s="31">
        <f t="shared" ca="1" si="40"/>
        <v>66.129513585197714</v>
      </c>
      <c r="E986">
        <v>59.891263386138327</v>
      </c>
    </row>
    <row r="987" spans="3:5" x14ac:dyDescent="0.25">
      <c r="C987" s="31">
        <f t="shared" ca="1" si="40"/>
        <v>49.151051155981506</v>
      </c>
      <c r="E987">
        <v>63.650901287343821</v>
      </c>
    </row>
    <row r="988" spans="3:5" x14ac:dyDescent="0.25">
      <c r="C988" s="31">
        <f t="shared" ca="1" si="40"/>
        <v>53.343388099090689</v>
      </c>
      <c r="E988">
        <v>61.758840276596118</v>
      </c>
    </row>
    <row r="989" spans="3:5" x14ac:dyDescent="0.25">
      <c r="C989" s="31">
        <f t="shared" ca="1" si="40"/>
        <v>52.980366336738115</v>
      </c>
      <c r="E989">
        <v>53.899189715327083</v>
      </c>
    </row>
    <row r="990" spans="3:5" x14ac:dyDescent="0.25">
      <c r="C990" s="31">
        <f t="shared" ca="1" si="40"/>
        <v>38.152123076480713</v>
      </c>
      <c r="E990">
        <v>65.59020302090282</v>
      </c>
    </row>
    <row r="991" spans="3:5" x14ac:dyDescent="0.25">
      <c r="C991" s="31">
        <f t="shared" ca="1" si="40"/>
        <v>77.20355975412005</v>
      </c>
      <c r="E991">
        <v>67.276307290196584</v>
      </c>
    </row>
    <row r="992" spans="3:5" x14ac:dyDescent="0.25">
      <c r="C992" s="31">
        <f t="shared" ca="1" si="40"/>
        <v>57.961603571703009</v>
      </c>
      <c r="E992">
        <v>52.479179730226647</v>
      </c>
    </row>
    <row r="993" spans="3:5" x14ac:dyDescent="0.25">
      <c r="C993" s="31">
        <f t="shared" ca="1" si="40"/>
        <v>50.537205981389832</v>
      </c>
      <c r="E993">
        <v>62.676467116648695</v>
      </c>
    </row>
    <row r="994" spans="3:5" x14ac:dyDescent="0.25">
      <c r="C994" s="31">
        <f t="shared" ca="1" si="40"/>
        <v>74.588796627935722</v>
      </c>
      <c r="E994">
        <v>66.368324901776518</v>
      </c>
    </row>
    <row r="995" spans="3:5" x14ac:dyDescent="0.25">
      <c r="C995" s="31">
        <f t="shared" ca="1" si="40"/>
        <v>81.346911156617338</v>
      </c>
      <c r="E995">
        <v>57.831457932221113</v>
      </c>
    </row>
    <row r="996" spans="3:5" x14ac:dyDescent="0.25">
      <c r="C996" s="31">
        <f t="shared" ca="1" si="40"/>
        <v>65.336297142604792</v>
      </c>
      <c r="E996">
        <v>51.189406113347374</v>
      </c>
    </row>
    <row r="997" spans="3:5" x14ac:dyDescent="0.25">
      <c r="C997" s="31">
        <f t="shared" ca="1" si="40"/>
        <v>58.704935088801527</v>
      </c>
      <c r="E997">
        <v>58.996321867848259</v>
      </c>
    </row>
    <row r="998" spans="3:5" x14ac:dyDescent="0.25">
      <c r="C998" s="31">
        <f t="shared" ca="1" si="40"/>
        <v>47.2246155531125</v>
      </c>
      <c r="E998">
        <v>55.667317028765986</v>
      </c>
    </row>
    <row r="999" spans="3:5" x14ac:dyDescent="0.25">
      <c r="C999" s="31">
        <f t="shared" ca="1" si="40"/>
        <v>61.365529158676637</v>
      </c>
      <c r="E999">
        <v>71.680222353863556</v>
      </c>
    </row>
    <row r="1000" spans="3:5" x14ac:dyDescent="0.25">
      <c r="C1000" s="31">
        <f t="shared" ca="1" si="40"/>
        <v>63.370890419995426</v>
      </c>
      <c r="E1000">
        <v>68.199006501273914</v>
      </c>
    </row>
    <row r="1001" spans="3:5" x14ac:dyDescent="0.25">
      <c r="C1001" s="31">
        <f t="shared" ca="1" si="40"/>
        <v>61.247088305544075</v>
      </c>
      <c r="E1001">
        <v>61.871263306734136</v>
      </c>
    </row>
    <row r="1002" spans="3:5" x14ac:dyDescent="0.25">
      <c r="C1002" s="31">
        <f t="shared" ca="1" si="40"/>
        <v>70.986424333675956</v>
      </c>
      <c r="E1002">
        <v>66.925618556215056</v>
      </c>
    </row>
    <row r="1003" spans="3:5" x14ac:dyDescent="0.25">
      <c r="C1003" s="31">
        <f t="shared" ca="1" si="40"/>
        <v>46.298000629047579</v>
      </c>
      <c r="E1003">
        <v>53.134961321841111</v>
      </c>
    </row>
    <row r="1004" spans="3:5" x14ac:dyDescent="0.25">
      <c r="C1004" s="31">
        <f t="shared" ca="1" si="40"/>
        <v>52.029433519942081</v>
      </c>
      <c r="E1004">
        <v>64.621070056434746</v>
      </c>
    </row>
    <row r="1005" spans="3:5" x14ac:dyDescent="0.25">
      <c r="C1005" s="31">
        <f t="shared" ca="1" si="40"/>
        <v>55.63002653573708</v>
      </c>
      <c r="E1005">
        <v>53.132964578669018</v>
      </c>
    </row>
    <row r="1006" spans="3:5" x14ac:dyDescent="0.25">
      <c r="C1006" s="31">
        <f t="shared" ca="1" si="40"/>
        <v>69.312793383910829</v>
      </c>
      <c r="E1006">
        <v>70.431198790744389</v>
      </c>
    </row>
    <row r="1007" spans="3:5" x14ac:dyDescent="0.25">
      <c r="C1007" s="31">
        <f t="shared" ca="1" si="40"/>
        <v>53.150408395950514</v>
      </c>
      <c r="E1007">
        <v>57.964942027805115</v>
      </c>
    </row>
    <row r="1008" spans="3:5" x14ac:dyDescent="0.25">
      <c r="C1008" s="31">
        <f t="shared" ca="1" si="40"/>
        <v>40.916738757078647</v>
      </c>
      <c r="E1008">
        <v>70.862067459827784</v>
      </c>
    </row>
    <row r="1009" spans="3:5" x14ac:dyDescent="0.25">
      <c r="C1009" s="31">
        <f t="shared" ca="1" si="40"/>
        <v>77.008143589608011</v>
      </c>
      <c r="E1009">
        <v>66.608712484903677</v>
      </c>
    </row>
    <row r="1010" spans="3:5" x14ac:dyDescent="0.25">
      <c r="C1010" s="31">
        <f t="shared" ca="1" si="40"/>
        <v>65.648790667730779</v>
      </c>
      <c r="E1010">
        <v>61.234370732989369</v>
      </c>
    </row>
    <row r="1011" spans="3:5" x14ac:dyDescent="0.25">
      <c r="C1011" s="31">
        <f t="shared" ca="1" si="40"/>
        <v>51.072262825594862</v>
      </c>
      <c r="E1011">
        <v>72.746806468540726</v>
      </c>
    </row>
    <row r="1012" spans="3:5" x14ac:dyDescent="0.25">
      <c r="C1012" s="31">
        <f t="shared" ca="1" si="40"/>
        <v>56.835997671167355</v>
      </c>
      <c r="E1012">
        <v>64.993497087804911</v>
      </c>
    </row>
    <row r="1013" spans="3:5" x14ac:dyDescent="0.25">
      <c r="C1013" s="31">
        <f t="shared" ca="1" si="40"/>
        <v>65.354977297463137</v>
      </c>
      <c r="E1013">
        <v>68.429306296650623</v>
      </c>
    </row>
    <row r="1014" spans="3:5" x14ac:dyDescent="0.25">
      <c r="C1014" s="31">
        <f t="shared" ca="1" si="40"/>
        <v>68.699280266375126</v>
      </c>
      <c r="E1014">
        <v>44.705312993024634</v>
      </c>
    </row>
    <row r="1015" spans="3:5" x14ac:dyDescent="0.25">
      <c r="C1015" s="31">
        <f t="shared" ca="1" si="40"/>
        <v>52.475768311487826</v>
      </c>
      <c r="E1015">
        <v>52.563559349720627</v>
      </c>
    </row>
    <row r="1016" spans="3:5" x14ac:dyDescent="0.25">
      <c r="C1016" s="31">
        <f t="shared" ca="1" si="40"/>
        <v>57.454831352829906</v>
      </c>
      <c r="E1016">
        <v>60.282632788901651</v>
      </c>
    </row>
    <row r="1017" spans="3:5" x14ac:dyDescent="0.25">
      <c r="C1017" s="31">
        <f t="shared" ca="1" si="40"/>
        <v>54.421384646614108</v>
      </c>
      <c r="E1017">
        <v>59.021151405136699</v>
      </c>
    </row>
    <row r="1018" spans="3:5" x14ac:dyDescent="0.25">
      <c r="C1018" s="31">
        <f t="shared" ca="1" si="40"/>
        <v>46.391496297547732</v>
      </c>
      <c r="E1018">
        <v>61.710925531058308</v>
      </c>
    </row>
    <row r="1019" spans="3:5" x14ac:dyDescent="0.25">
      <c r="C1019" s="31">
        <f t="shared" ca="1" si="40"/>
        <v>73.081007299811006</v>
      </c>
      <c r="E1019">
        <v>68.199463893446293</v>
      </c>
    </row>
    <row r="1020" spans="3:5" x14ac:dyDescent="0.25">
      <c r="C1020" s="31">
        <f t="shared" ca="1" si="40"/>
        <v>52.894588791652659</v>
      </c>
      <c r="E1020">
        <v>71.142719065950786</v>
      </c>
    </row>
    <row r="1021" spans="3:5" x14ac:dyDescent="0.25">
      <c r="C1021" s="31">
        <f t="shared" ca="1" si="40"/>
        <v>72.328112422350941</v>
      </c>
      <c r="E1021">
        <v>51.004643568559274</v>
      </c>
    </row>
    <row r="1022" spans="3:5" x14ac:dyDescent="0.25">
      <c r="C1022" s="31">
        <f t="shared" ref="C1022:C1085" ca="1" si="41">_xlfn.NORM.INV(RAND(),C$4,C$5)</f>
        <v>55.922946357756587</v>
      </c>
      <c r="E1022">
        <v>59.765916576295588</v>
      </c>
    </row>
    <row r="1023" spans="3:5" x14ac:dyDescent="0.25">
      <c r="C1023" s="31">
        <f t="shared" ca="1" si="41"/>
        <v>48.324038164800584</v>
      </c>
      <c r="E1023">
        <v>56.833987821537356</v>
      </c>
    </row>
    <row r="1024" spans="3:5" x14ac:dyDescent="0.25">
      <c r="C1024" s="31">
        <f t="shared" ca="1" si="41"/>
        <v>56.330463857119327</v>
      </c>
      <c r="E1024">
        <v>49.385584013841502</v>
      </c>
    </row>
    <row r="1025" spans="3:5" x14ac:dyDescent="0.25">
      <c r="C1025" s="31">
        <f t="shared" ca="1" si="41"/>
        <v>60.082970139997471</v>
      </c>
      <c r="E1025">
        <v>49.943841077782807</v>
      </c>
    </row>
    <row r="1026" spans="3:5" x14ac:dyDescent="0.25">
      <c r="C1026" s="31">
        <f t="shared" ca="1" si="41"/>
        <v>67.336945667691495</v>
      </c>
      <c r="E1026">
        <v>58.048667858024224</v>
      </c>
    </row>
    <row r="1027" spans="3:5" x14ac:dyDescent="0.25">
      <c r="C1027" s="31">
        <f t="shared" ca="1" si="41"/>
        <v>56.991483834004299</v>
      </c>
      <c r="E1027">
        <v>61.661772505305898</v>
      </c>
    </row>
    <row r="1028" spans="3:5" x14ac:dyDescent="0.25">
      <c r="C1028" s="31">
        <f t="shared" ca="1" si="41"/>
        <v>50.071586353074942</v>
      </c>
      <c r="E1028">
        <v>61.864168765399853</v>
      </c>
    </row>
    <row r="1029" spans="3:5" x14ac:dyDescent="0.25">
      <c r="C1029" s="31">
        <f t="shared" ca="1" si="41"/>
        <v>55.860761435392618</v>
      </c>
      <c r="E1029">
        <v>60.974802229499652</v>
      </c>
    </row>
    <row r="1030" spans="3:5" x14ac:dyDescent="0.25">
      <c r="C1030" s="31">
        <f t="shared" ca="1" si="41"/>
        <v>66.783108597029823</v>
      </c>
      <c r="E1030">
        <v>43.418057964771862</v>
      </c>
    </row>
    <row r="1031" spans="3:5" x14ac:dyDescent="0.25">
      <c r="C1031" s="31">
        <f t="shared" ca="1" si="41"/>
        <v>53.484987922677114</v>
      </c>
      <c r="E1031">
        <v>62.276958247060186</v>
      </c>
    </row>
    <row r="1032" spans="3:5" x14ac:dyDescent="0.25">
      <c r="C1032" s="31">
        <f t="shared" ca="1" si="41"/>
        <v>73.744434171698174</v>
      </c>
      <c r="E1032">
        <v>58.089525162100259</v>
      </c>
    </row>
    <row r="1033" spans="3:5" x14ac:dyDescent="0.25">
      <c r="C1033" s="31">
        <f t="shared" ca="1" si="41"/>
        <v>69.938747844448599</v>
      </c>
      <c r="E1033">
        <v>59.76016794742889</v>
      </c>
    </row>
    <row r="1034" spans="3:5" x14ac:dyDescent="0.25">
      <c r="C1034" s="31">
        <f t="shared" ca="1" si="41"/>
        <v>71.524837106253017</v>
      </c>
      <c r="E1034">
        <v>67.529839249901755</v>
      </c>
    </row>
    <row r="1035" spans="3:5" x14ac:dyDescent="0.25">
      <c r="C1035" s="31">
        <f t="shared" ca="1" si="41"/>
        <v>72.480220568316312</v>
      </c>
      <c r="E1035">
        <v>75.408367063513566</v>
      </c>
    </row>
    <row r="1036" spans="3:5" x14ac:dyDescent="0.25">
      <c r="C1036" s="31">
        <f t="shared" ca="1" si="41"/>
        <v>69.120070756623406</v>
      </c>
      <c r="E1036">
        <v>68.323833520817658</v>
      </c>
    </row>
    <row r="1037" spans="3:5" x14ac:dyDescent="0.25">
      <c r="C1037" s="31">
        <f t="shared" ca="1" si="41"/>
        <v>69.129012598390219</v>
      </c>
      <c r="E1037">
        <v>28.069576501091245</v>
      </c>
    </row>
    <row r="1038" spans="3:5" x14ac:dyDescent="0.25">
      <c r="C1038" s="31">
        <f t="shared" ca="1" si="41"/>
        <v>54.502931273634367</v>
      </c>
      <c r="E1038">
        <v>40.483052336686207</v>
      </c>
    </row>
    <row r="1039" spans="3:5" x14ac:dyDescent="0.25">
      <c r="C1039" s="31">
        <f t="shared" ca="1" si="41"/>
        <v>61.040727408725125</v>
      </c>
      <c r="E1039">
        <v>68.017433999663368</v>
      </c>
    </row>
    <row r="1040" spans="3:5" x14ac:dyDescent="0.25">
      <c r="C1040" s="31">
        <f t="shared" ca="1" si="41"/>
        <v>59.168438931589186</v>
      </c>
      <c r="E1040">
        <v>60.155524280294465</v>
      </c>
    </row>
    <row r="1041" spans="3:5" x14ac:dyDescent="0.25">
      <c r="C1041" s="31">
        <f t="shared" ca="1" si="41"/>
        <v>54.081912842966567</v>
      </c>
      <c r="E1041">
        <v>59.272395067036896</v>
      </c>
    </row>
    <row r="1042" spans="3:5" x14ac:dyDescent="0.25">
      <c r="C1042" s="31">
        <f t="shared" ca="1" si="41"/>
        <v>56.66700283413423</v>
      </c>
      <c r="E1042">
        <v>52.474271982701687</v>
      </c>
    </row>
    <row r="1043" spans="3:5" x14ac:dyDescent="0.25">
      <c r="C1043" s="31">
        <f t="shared" ca="1" si="41"/>
        <v>69.091169960505468</v>
      </c>
      <c r="E1043">
        <v>70.955088810592812</v>
      </c>
    </row>
    <row r="1044" spans="3:5" x14ac:dyDescent="0.25">
      <c r="C1044" s="31">
        <f t="shared" ca="1" si="41"/>
        <v>54.87477349403111</v>
      </c>
      <c r="E1044">
        <v>55.565054038441666</v>
      </c>
    </row>
    <row r="1045" spans="3:5" x14ac:dyDescent="0.25">
      <c r="C1045" s="31">
        <f t="shared" ca="1" si="41"/>
        <v>41.334624941430718</v>
      </c>
      <c r="E1045">
        <v>66.650751566825306</v>
      </c>
    </row>
    <row r="1046" spans="3:5" x14ac:dyDescent="0.25">
      <c r="C1046" s="31">
        <f t="shared" ca="1" si="41"/>
        <v>75.535893185550037</v>
      </c>
      <c r="E1046">
        <v>66.479333787975122</v>
      </c>
    </row>
    <row r="1047" spans="3:5" x14ac:dyDescent="0.25">
      <c r="C1047" s="31">
        <f t="shared" ca="1" si="41"/>
        <v>56.300494049468568</v>
      </c>
      <c r="E1047">
        <v>68.426876655128211</v>
      </c>
    </row>
    <row r="1048" spans="3:5" x14ac:dyDescent="0.25">
      <c r="C1048" s="31">
        <f t="shared" ca="1" si="41"/>
        <v>48.222810851122318</v>
      </c>
      <c r="E1048">
        <v>74.91705930300401</v>
      </c>
    </row>
    <row r="1049" spans="3:5" x14ac:dyDescent="0.25">
      <c r="C1049" s="31">
        <f t="shared" ca="1" si="41"/>
        <v>61.167532126871428</v>
      </c>
      <c r="E1049">
        <v>62.910833797740359</v>
      </c>
    </row>
    <row r="1050" spans="3:5" x14ac:dyDescent="0.25">
      <c r="C1050" s="31">
        <f t="shared" ca="1" si="41"/>
        <v>60.453837131192905</v>
      </c>
      <c r="E1050">
        <v>56.024958788572455</v>
      </c>
    </row>
    <row r="1051" spans="3:5" x14ac:dyDescent="0.25">
      <c r="C1051" s="31">
        <f t="shared" ca="1" si="41"/>
        <v>57.405177695284863</v>
      </c>
      <c r="E1051">
        <v>80.157327792818279</v>
      </c>
    </row>
    <row r="1052" spans="3:5" x14ac:dyDescent="0.25">
      <c r="C1052" s="31">
        <f t="shared" ca="1" si="41"/>
        <v>67.045233154398858</v>
      </c>
      <c r="E1052">
        <v>68.472175387549839</v>
      </c>
    </row>
    <row r="1053" spans="3:5" x14ac:dyDescent="0.25">
      <c r="C1053" s="31">
        <f t="shared" ca="1" si="41"/>
        <v>62.869487391554685</v>
      </c>
      <c r="E1053">
        <v>60.640546096958438</v>
      </c>
    </row>
    <row r="1054" spans="3:5" x14ac:dyDescent="0.25">
      <c r="C1054" s="31">
        <f t="shared" ca="1" si="41"/>
        <v>61.781612365718409</v>
      </c>
      <c r="E1054">
        <v>61.003054817364095</v>
      </c>
    </row>
    <row r="1055" spans="3:5" x14ac:dyDescent="0.25">
      <c r="C1055" s="31">
        <f t="shared" ca="1" si="41"/>
        <v>65.631689914779543</v>
      </c>
      <c r="E1055">
        <v>62.347001237565003</v>
      </c>
    </row>
    <row r="1056" spans="3:5" x14ac:dyDescent="0.25">
      <c r="C1056" s="31">
        <f t="shared" ca="1" si="41"/>
        <v>68.205654310143103</v>
      </c>
      <c r="E1056">
        <v>67.996582961389606</v>
      </c>
    </row>
    <row r="1057" spans="3:5" x14ac:dyDescent="0.25">
      <c r="C1057" s="31">
        <f t="shared" ca="1" si="41"/>
        <v>62.219634002607592</v>
      </c>
      <c r="E1057">
        <v>59.840346110400425</v>
      </c>
    </row>
    <row r="1058" spans="3:5" x14ac:dyDescent="0.25">
      <c r="C1058" s="31">
        <f t="shared" ca="1" si="41"/>
        <v>68.442143682271251</v>
      </c>
      <c r="E1058">
        <v>32.803144551011329</v>
      </c>
    </row>
    <row r="1059" spans="3:5" x14ac:dyDescent="0.25">
      <c r="C1059" s="31">
        <f t="shared" ca="1" si="41"/>
        <v>76.568996879451021</v>
      </c>
      <c r="E1059">
        <v>59.387178850676626</v>
      </c>
    </row>
    <row r="1060" spans="3:5" x14ac:dyDescent="0.25">
      <c r="C1060" s="31">
        <f t="shared" ca="1" si="41"/>
        <v>54.891814144906171</v>
      </c>
      <c r="E1060">
        <v>43.303401858436843</v>
      </c>
    </row>
    <row r="1061" spans="3:5" x14ac:dyDescent="0.25">
      <c r="C1061" s="31">
        <f t="shared" ca="1" si="41"/>
        <v>45.82699185689426</v>
      </c>
      <c r="E1061">
        <v>65.275629538461558</v>
      </c>
    </row>
    <row r="1062" spans="3:5" x14ac:dyDescent="0.25">
      <c r="C1062" s="31">
        <f t="shared" ca="1" si="41"/>
        <v>63.536419465660387</v>
      </c>
      <c r="E1062">
        <v>68.474264270776217</v>
      </c>
    </row>
    <row r="1063" spans="3:5" x14ac:dyDescent="0.25">
      <c r="C1063" s="31">
        <f t="shared" ca="1" si="41"/>
        <v>71.87163595586884</v>
      </c>
      <c r="E1063">
        <v>47.669132765958935</v>
      </c>
    </row>
    <row r="1064" spans="3:5" x14ac:dyDescent="0.25">
      <c r="C1064" s="31">
        <f t="shared" ca="1" si="41"/>
        <v>56.159951195876083</v>
      </c>
      <c r="E1064">
        <v>47.609711584431928</v>
      </c>
    </row>
    <row r="1065" spans="3:5" x14ac:dyDescent="0.25">
      <c r="C1065" s="31">
        <f t="shared" ca="1" si="41"/>
        <v>68.246319526527444</v>
      </c>
      <c r="E1065">
        <v>64.811002370620841</v>
      </c>
    </row>
    <row r="1066" spans="3:5" x14ac:dyDescent="0.25">
      <c r="C1066" s="31">
        <f t="shared" ca="1" si="41"/>
        <v>55.595025997451486</v>
      </c>
      <c r="E1066">
        <v>64.340419977844746</v>
      </c>
    </row>
    <row r="1067" spans="3:5" x14ac:dyDescent="0.25">
      <c r="C1067" s="31">
        <f t="shared" ca="1" si="41"/>
        <v>56.566162491204395</v>
      </c>
      <c r="E1067">
        <v>60.607035729519843</v>
      </c>
    </row>
    <row r="1068" spans="3:5" x14ac:dyDescent="0.25">
      <c r="C1068" s="31">
        <f t="shared" ca="1" si="41"/>
        <v>55.689830688157556</v>
      </c>
      <c r="E1068">
        <v>62.867300266404982</v>
      </c>
    </row>
    <row r="1069" spans="3:5" x14ac:dyDescent="0.25">
      <c r="C1069" s="31">
        <f t="shared" ca="1" si="41"/>
        <v>43.817899175116736</v>
      </c>
      <c r="E1069">
        <v>61.437235280214253</v>
      </c>
    </row>
    <row r="1070" spans="3:5" x14ac:dyDescent="0.25">
      <c r="C1070" s="31">
        <f t="shared" ca="1" si="41"/>
        <v>60.295461390568384</v>
      </c>
      <c r="E1070">
        <v>65.446466087076772</v>
      </c>
    </row>
    <row r="1071" spans="3:5" x14ac:dyDescent="0.25">
      <c r="C1071" s="31">
        <f t="shared" ca="1" si="41"/>
        <v>66.217984983829666</v>
      </c>
      <c r="E1071">
        <v>68.773457065882781</v>
      </c>
    </row>
    <row r="1072" spans="3:5" x14ac:dyDescent="0.25">
      <c r="C1072" s="31">
        <f t="shared" ca="1" si="41"/>
        <v>44.657650127962974</v>
      </c>
      <c r="E1072">
        <v>55.770606180748523</v>
      </c>
    </row>
    <row r="1073" spans="3:5" x14ac:dyDescent="0.25">
      <c r="C1073" s="31">
        <f t="shared" ca="1" si="41"/>
        <v>54.325923651112078</v>
      </c>
      <c r="E1073">
        <v>74.959766514353703</v>
      </c>
    </row>
    <row r="1074" spans="3:5" x14ac:dyDescent="0.25">
      <c r="C1074" s="31">
        <f t="shared" ca="1" si="41"/>
        <v>49.809579163288277</v>
      </c>
      <c r="E1074">
        <v>59.924559163109933</v>
      </c>
    </row>
    <row r="1075" spans="3:5" x14ac:dyDescent="0.25">
      <c r="C1075" s="31">
        <f t="shared" ca="1" si="41"/>
        <v>58.81749610594143</v>
      </c>
      <c r="E1075">
        <v>46.650523059116665</v>
      </c>
    </row>
    <row r="1076" spans="3:5" x14ac:dyDescent="0.25">
      <c r="C1076" s="31">
        <f t="shared" ca="1" si="41"/>
        <v>68.73068035103249</v>
      </c>
      <c r="E1076">
        <v>86.794683707970066</v>
      </c>
    </row>
    <row r="1077" spans="3:5" x14ac:dyDescent="0.25">
      <c r="C1077" s="31">
        <f t="shared" ca="1" si="41"/>
        <v>64.994073996939022</v>
      </c>
      <c r="E1077">
        <v>66.968091326210143</v>
      </c>
    </row>
    <row r="1078" spans="3:5" x14ac:dyDescent="0.25">
      <c r="C1078" s="31">
        <f t="shared" ca="1" si="41"/>
        <v>66.334121350119545</v>
      </c>
      <c r="E1078">
        <v>68.66913093604191</v>
      </c>
    </row>
    <row r="1079" spans="3:5" x14ac:dyDescent="0.25">
      <c r="C1079" s="31">
        <f t="shared" ca="1" si="41"/>
        <v>69.640859054960288</v>
      </c>
      <c r="E1079">
        <v>53.86372606331242</v>
      </c>
    </row>
    <row r="1080" spans="3:5" x14ac:dyDescent="0.25">
      <c r="C1080" s="31">
        <f t="shared" ca="1" si="41"/>
        <v>79.105735632927633</v>
      </c>
      <c r="E1080">
        <v>81.693454929496696</v>
      </c>
    </row>
    <row r="1081" spans="3:5" x14ac:dyDescent="0.25">
      <c r="C1081" s="31">
        <f t="shared" ca="1" si="41"/>
        <v>48.583282641900468</v>
      </c>
      <c r="E1081">
        <v>58.263159033588479</v>
      </c>
    </row>
    <row r="1082" spans="3:5" x14ac:dyDescent="0.25">
      <c r="C1082" s="31">
        <f t="shared" ca="1" si="41"/>
        <v>55.262975073930768</v>
      </c>
      <c r="E1082">
        <v>65.890844332358114</v>
      </c>
    </row>
    <row r="1083" spans="3:5" x14ac:dyDescent="0.25">
      <c r="C1083" s="31">
        <f t="shared" ca="1" si="41"/>
        <v>49.487971225160351</v>
      </c>
      <c r="E1083">
        <v>53.019939907275948</v>
      </c>
    </row>
    <row r="1084" spans="3:5" x14ac:dyDescent="0.25">
      <c r="C1084" s="31">
        <f t="shared" ca="1" si="41"/>
        <v>66.98145385916709</v>
      </c>
      <c r="E1084">
        <v>66.199369916589646</v>
      </c>
    </row>
    <row r="1085" spans="3:5" x14ac:dyDescent="0.25">
      <c r="C1085" s="31">
        <f t="shared" ca="1" si="41"/>
        <v>37.597219453347407</v>
      </c>
      <c r="E1085">
        <v>44.255454382173802</v>
      </c>
    </row>
    <row r="1086" spans="3:5" x14ac:dyDescent="0.25">
      <c r="C1086" s="31">
        <f t="shared" ref="C1086:C1149" ca="1" si="42">_xlfn.NORM.INV(RAND(),C$4,C$5)</f>
        <v>61.555109257233639</v>
      </c>
      <c r="E1086">
        <v>55.091342716589928</v>
      </c>
    </row>
    <row r="1087" spans="3:5" x14ac:dyDescent="0.25">
      <c r="C1087" s="31">
        <f t="shared" ca="1" si="42"/>
        <v>68.907999427445333</v>
      </c>
      <c r="E1087">
        <v>70.157652022377007</v>
      </c>
    </row>
    <row r="1088" spans="3:5" x14ac:dyDescent="0.25">
      <c r="C1088" s="31">
        <f t="shared" ca="1" si="42"/>
        <v>72.25482831514833</v>
      </c>
      <c r="E1088">
        <v>70.544477698140639</v>
      </c>
    </row>
    <row r="1089" spans="3:5" x14ac:dyDescent="0.25">
      <c r="C1089" s="31">
        <f t="shared" ca="1" si="42"/>
        <v>52.193236381047726</v>
      </c>
      <c r="E1089">
        <v>51.442182895789529</v>
      </c>
    </row>
    <row r="1090" spans="3:5" x14ac:dyDescent="0.25">
      <c r="C1090" s="31">
        <f t="shared" ca="1" si="42"/>
        <v>72.230710581012829</v>
      </c>
      <c r="E1090">
        <v>58.283950426523376</v>
      </c>
    </row>
    <row r="1091" spans="3:5" x14ac:dyDescent="0.25">
      <c r="C1091" s="31">
        <f t="shared" ca="1" si="42"/>
        <v>47.740853139946573</v>
      </c>
      <c r="E1091">
        <v>69.793007414413822</v>
      </c>
    </row>
    <row r="1092" spans="3:5" x14ac:dyDescent="0.25">
      <c r="C1092" s="31">
        <f t="shared" ca="1" si="42"/>
        <v>42.375559751746252</v>
      </c>
      <c r="E1092">
        <v>52.925963129601968</v>
      </c>
    </row>
    <row r="1093" spans="3:5" x14ac:dyDescent="0.25">
      <c r="C1093" s="31">
        <f t="shared" ca="1" si="42"/>
        <v>51.840623719619913</v>
      </c>
      <c r="E1093">
        <v>60.959802742159411</v>
      </c>
    </row>
    <row r="1094" spans="3:5" x14ac:dyDescent="0.25">
      <c r="C1094" s="31">
        <f t="shared" ca="1" si="42"/>
        <v>90.789734115788235</v>
      </c>
      <c r="E1094">
        <v>56.802171463565635</v>
      </c>
    </row>
    <row r="1095" spans="3:5" x14ac:dyDescent="0.25">
      <c r="C1095" s="31">
        <f t="shared" ca="1" si="42"/>
        <v>35.803686397434419</v>
      </c>
      <c r="E1095">
        <v>66.497665367012758</v>
      </c>
    </row>
    <row r="1096" spans="3:5" x14ac:dyDescent="0.25">
      <c r="C1096" s="31">
        <f t="shared" ca="1" si="42"/>
        <v>56.59939644240859</v>
      </c>
      <c r="E1096">
        <v>51.649191099085705</v>
      </c>
    </row>
    <row r="1097" spans="3:5" x14ac:dyDescent="0.25">
      <c r="C1097" s="31">
        <f t="shared" ca="1" si="42"/>
        <v>64.090603514612653</v>
      </c>
      <c r="E1097">
        <v>65.070444977676331</v>
      </c>
    </row>
    <row r="1098" spans="3:5" x14ac:dyDescent="0.25">
      <c r="C1098" s="31">
        <f t="shared" ca="1" si="42"/>
        <v>63.846133855149446</v>
      </c>
      <c r="E1098">
        <v>59.595735545623889</v>
      </c>
    </row>
    <row r="1099" spans="3:5" x14ac:dyDescent="0.25">
      <c r="C1099" s="31">
        <f t="shared" ca="1" si="42"/>
        <v>36.593164759073993</v>
      </c>
      <c r="E1099">
        <v>62.76936294753753</v>
      </c>
    </row>
    <row r="1100" spans="3:5" x14ac:dyDescent="0.25">
      <c r="C1100" s="31">
        <f t="shared" ca="1" si="42"/>
        <v>83.596910432151347</v>
      </c>
      <c r="E1100">
        <v>63.530950928082973</v>
      </c>
    </row>
    <row r="1101" spans="3:5" x14ac:dyDescent="0.25">
      <c r="C1101" s="31">
        <f t="shared" ca="1" si="42"/>
        <v>59.830919471918236</v>
      </c>
      <c r="E1101">
        <v>72.820625812875448</v>
      </c>
    </row>
    <row r="1102" spans="3:5" x14ac:dyDescent="0.25">
      <c r="C1102" s="31">
        <f t="shared" ca="1" si="42"/>
        <v>65.891109998303619</v>
      </c>
      <c r="E1102">
        <v>75.83674436359702</v>
      </c>
    </row>
    <row r="1103" spans="3:5" x14ac:dyDescent="0.25">
      <c r="C1103" s="31">
        <f t="shared" ca="1" si="42"/>
        <v>59.002394854731591</v>
      </c>
      <c r="E1103">
        <v>72.126219562726675</v>
      </c>
    </row>
    <row r="1104" spans="3:5" x14ac:dyDescent="0.25">
      <c r="C1104" s="31">
        <f t="shared" ca="1" si="42"/>
        <v>59.70381855000165</v>
      </c>
      <c r="E1104">
        <v>55.564875318542931</v>
      </c>
    </row>
    <row r="1105" spans="3:5" x14ac:dyDescent="0.25">
      <c r="C1105" s="31">
        <f t="shared" ca="1" si="42"/>
        <v>67.115542654415336</v>
      </c>
      <c r="E1105">
        <v>82.76427752010818</v>
      </c>
    </row>
    <row r="1106" spans="3:5" x14ac:dyDescent="0.25">
      <c r="C1106" s="31">
        <f t="shared" ca="1" si="42"/>
        <v>65.626505925428262</v>
      </c>
      <c r="E1106">
        <v>59.004844962872617</v>
      </c>
    </row>
    <row r="1107" spans="3:5" x14ac:dyDescent="0.25">
      <c r="C1107" s="31">
        <f t="shared" ca="1" si="42"/>
        <v>57.69954308646885</v>
      </c>
      <c r="E1107">
        <v>66.705511226235416</v>
      </c>
    </row>
    <row r="1108" spans="3:5" x14ac:dyDescent="0.25">
      <c r="C1108" s="31">
        <f t="shared" ca="1" si="42"/>
        <v>77.534695513849314</v>
      </c>
      <c r="E1108">
        <v>68.634475130986814</v>
      </c>
    </row>
    <row r="1109" spans="3:5" x14ac:dyDescent="0.25">
      <c r="C1109" s="31">
        <f t="shared" ca="1" si="42"/>
        <v>53.520985263273566</v>
      </c>
      <c r="E1109">
        <v>57.394840097749572</v>
      </c>
    </row>
    <row r="1110" spans="3:5" x14ac:dyDescent="0.25">
      <c r="C1110" s="31">
        <f t="shared" ca="1" si="42"/>
        <v>53.288800179667632</v>
      </c>
      <c r="E1110">
        <v>55.685267539786878</v>
      </c>
    </row>
    <row r="1111" spans="3:5" x14ac:dyDescent="0.25">
      <c r="C1111" s="31">
        <f t="shared" ca="1" si="42"/>
        <v>65.573939459262377</v>
      </c>
      <c r="E1111">
        <v>47.007250517279786</v>
      </c>
    </row>
    <row r="1112" spans="3:5" x14ac:dyDescent="0.25">
      <c r="C1112" s="31">
        <f t="shared" ca="1" si="42"/>
        <v>53.213868221240674</v>
      </c>
      <c r="E1112">
        <v>59.192189429397551</v>
      </c>
    </row>
    <row r="1113" spans="3:5" x14ac:dyDescent="0.25">
      <c r="C1113" s="31">
        <f t="shared" ca="1" si="42"/>
        <v>49.259924428440954</v>
      </c>
      <c r="E1113">
        <v>48.783214437489249</v>
      </c>
    </row>
    <row r="1114" spans="3:5" x14ac:dyDescent="0.25">
      <c r="C1114" s="31">
        <f t="shared" ca="1" si="42"/>
        <v>57.548914027436041</v>
      </c>
      <c r="E1114">
        <v>51.945588815605937</v>
      </c>
    </row>
    <row r="1115" spans="3:5" x14ac:dyDescent="0.25">
      <c r="C1115" s="31">
        <f t="shared" ca="1" si="42"/>
        <v>61.512661055499549</v>
      </c>
      <c r="E1115">
        <v>54.663016577035179</v>
      </c>
    </row>
    <row r="1116" spans="3:5" x14ac:dyDescent="0.25">
      <c r="C1116" s="31">
        <f t="shared" ca="1" si="42"/>
        <v>74.896056350227582</v>
      </c>
      <c r="E1116">
        <v>71.003766033281693</v>
      </c>
    </row>
    <row r="1117" spans="3:5" x14ac:dyDescent="0.25">
      <c r="C1117" s="31">
        <f t="shared" ca="1" si="42"/>
        <v>55.597316975805391</v>
      </c>
      <c r="E1117">
        <v>60.371541320557036</v>
      </c>
    </row>
    <row r="1118" spans="3:5" x14ac:dyDescent="0.25">
      <c r="C1118" s="31">
        <f t="shared" ca="1" si="42"/>
        <v>55.750315420150002</v>
      </c>
      <c r="E1118">
        <v>59.015193009679834</v>
      </c>
    </row>
    <row r="1119" spans="3:5" x14ac:dyDescent="0.25">
      <c r="C1119" s="31">
        <f t="shared" ca="1" si="42"/>
        <v>52.440173818961249</v>
      </c>
      <c r="E1119">
        <v>60.722097543661171</v>
      </c>
    </row>
    <row r="1120" spans="3:5" x14ac:dyDescent="0.25">
      <c r="C1120" s="31">
        <f t="shared" ca="1" si="42"/>
        <v>65.676205176097724</v>
      </c>
      <c r="E1120">
        <v>61.08284162841516</v>
      </c>
    </row>
    <row r="1121" spans="3:5" x14ac:dyDescent="0.25">
      <c r="C1121" s="31">
        <f t="shared" ca="1" si="42"/>
        <v>42.65844912842455</v>
      </c>
      <c r="E1121">
        <v>57.130662177934695</v>
      </c>
    </row>
    <row r="1122" spans="3:5" x14ac:dyDescent="0.25">
      <c r="C1122" s="31">
        <f t="shared" ca="1" si="42"/>
        <v>54.484966341235911</v>
      </c>
      <c r="E1122">
        <v>69.423199286265799</v>
      </c>
    </row>
    <row r="1123" spans="3:5" x14ac:dyDescent="0.25">
      <c r="C1123" s="31">
        <f t="shared" ca="1" si="42"/>
        <v>72.343559209076659</v>
      </c>
      <c r="E1123">
        <v>69.47784224841395</v>
      </c>
    </row>
    <row r="1124" spans="3:5" x14ac:dyDescent="0.25">
      <c r="C1124" s="31">
        <f t="shared" ca="1" si="42"/>
        <v>63.699807123733599</v>
      </c>
      <c r="E1124">
        <v>49.913464646114527</v>
      </c>
    </row>
    <row r="1125" spans="3:5" x14ac:dyDescent="0.25">
      <c r="C1125" s="31">
        <f t="shared" ca="1" si="42"/>
        <v>71.264673197628426</v>
      </c>
      <c r="E1125">
        <v>60.220536821031679</v>
      </c>
    </row>
    <row r="1126" spans="3:5" x14ac:dyDescent="0.25">
      <c r="C1126" s="31">
        <f t="shared" ca="1" si="42"/>
        <v>57.095613336098864</v>
      </c>
      <c r="E1126">
        <v>70.412833901906026</v>
      </c>
    </row>
    <row r="1127" spans="3:5" x14ac:dyDescent="0.25">
      <c r="C1127" s="31">
        <f t="shared" ca="1" si="42"/>
        <v>59.577192542376459</v>
      </c>
      <c r="E1127">
        <v>43.743859587972644</v>
      </c>
    </row>
    <row r="1128" spans="3:5" x14ac:dyDescent="0.25">
      <c r="C1128" s="31">
        <f t="shared" ca="1" si="42"/>
        <v>86.878204077048125</v>
      </c>
      <c r="E1128">
        <v>71.649473917871092</v>
      </c>
    </row>
    <row r="1129" spans="3:5" x14ac:dyDescent="0.25">
      <c r="C1129" s="31">
        <f t="shared" ca="1" si="42"/>
        <v>59.483024911097012</v>
      </c>
      <c r="E1129">
        <v>32.889038786007433</v>
      </c>
    </row>
    <row r="1130" spans="3:5" x14ac:dyDescent="0.25">
      <c r="C1130" s="31">
        <f t="shared" ca="1" si="42"/>
        <v>59.340820911494134</v>
      </c>
      <c r="E1130">
        <v>71.359095224860084</v>
      </c>
    </row>
    <row r="1131" spans="3:5" x14ac:dyDescent="0.25">
      <c r="C1131" s="31">
        <f t="shared" ca="1" si="42"/>
        <v>74.464951743801777</v>
      </c>
      <c r="E1131">
        <v>66.866617978929952</v>
      </c>
    </row>
    <row r="1132" spans="3:5" x14ac:dyDescent="0.25">
      <c r="C1132" s="31">
        <f t="shared" ca="1" si="42"/>
        <v>74.02519116357783</v>
      </c>
      <c r="E1132">
        <v>53.956777633579776</v>
      </c>
    </row>
    <row r="1133" spans="3:5" x14ac:dyDescent="0.25">
      <c r="C1133" s="31">
        <f t="shared" ca="1" si="42"/>
        <v>80.393439214623783</v>
      </c>
      <c r="E1133">
        <v>86.830598253682339</v>
      </c>
    </row>
    <row r="1134" spans="3:5" x14ac:dyDescent="0.25">
      <c r="C1134" s="31">
        <f t="shared" ca="1" si="42"/>
        <v>54.819888806696106</v>
      </c>
      <c r="E1134">
        <v>51.446804933449641</v>
      </c>
    </row>
    <row r="1135" spans="3:5" x14ac:dyDescent="0.25">
      <c r="C1135" s="31">
        <f t="shared" ca="1" si="42"/>
        <v>51.406487330163017</v>
      </c>
      <c r="E1135">
        <v>70.131763365305403</v>
      </c>
    </row>
    <row r="1136" spans="3:5" x14ac:dyDescent="0.25">
      <c r="C1136" s="31">
        <f t="shared" ca="1" si="42"/>
        <v>48.238673319682839</v>
      </c>
      <c r="E1136">
        <v>55.689072687669793</v>
      </c>
    </row>
    <row r="1137" spans="3:5" x14ac:dyDescent="0.25">
      <c r="C1137" s="31">
        <f t="shared" ca="1" si="42"/>
        <v>67.33065907803919</v>
      </c>
      <c r="E1137">
        <v>53.419509911039334</v>
      </c>
    </row>
    <row r="1138" spans="3:5" x14ac:dyDescent="0.25">
      <c r="C1138" s="31">
        <f t="shared" ca="1" si="42"/>
        <v>46.578345234304152</v>
      </c>
      <c r="E1138">
        <v>70.293285115708215</v>
      </c>
    </row>
    <row r="1139" spans="3:5" x14ac:dyDescent="0.25">
      <c r="C1139" s="31">
        <f t="shared" ca="1" si="42"/>
        <v>88.799635078613377</v>
      </c>
      <c r="E1139">
        <v>50.918464484118417</v>
      </c>
    </row>
    <row r="1140" spans="3:5" x14ac:dyDescent="0.25">
      <c r="C1140" s="31">
        <f t="shared" ca="1" si="42"/>
        <v>56.355567291892044</v>
      </c>
      <c r="E1140">
        <v>63.010685049505433</v>
      </c>
    </row>
    <row r="1141" spans="3:5" x14ac:dyDescent="0.25">
      <c r="C1141" s="31">
        <f t="shared" ca="1" si="42"/>
        <v>36.282256063704153</v>
      </c>
      <c r="E1141">
        <v>56.104114231351183</v>
      </c>
    </row>
    <row r="1142" spans="3:5" x14ac:dyDescent="0.25">
      <c r="C1142" s="31">
        <f t="shared" ca="1" si="42"/>
        <v>76.038361048805882</v>
      </c>
      <c r="E1142">
        <v>67.149890677830427</v>
      </c>
    </row>
    <row r="1143" spans="3:5" x14ac:dyDescent="0.25">
      <c r="C1143" s="31">
        <f t="shared" ca="1" si="42"/>
        <v>79.645957113477223</v>
      </c>
      <c r="E1143">
        <v>62.213293876150402</v>
      </c>
    </row>
    <row r="1144" spans="3:5" x14ac:dyDescent="0.25">
      <c r="C1144" s="31">
        <f t="shared" ca="1" si="42"/>
        <v>70.354848461965474</v>
      </c>
      <c r="E1144">
        <v>52.897718220079739</v>
      </c>
    </row>
    <row r="1145" spans="3:5" x14ac:dyDescent="0.25">
      <c r="C1145" s="31">
        <f t="shared" ca="1" si="42"/>
        <v>51.694887520687978</v>
      </c>
      <c r="E1145">
        <v>54.537588856280394</v>
      </c>
    </row>
    <row r="1146" spans="3:5" x14ac:dyDescent="0.25">
      <c r="C1146" s="31">
        <f t="shared" ca="1" si="42"/>
        <v>64.199266936001465</v>
      </c>
      <c r="E1146">
        <v>58.450812562154248</v>
      </c>
    </row>
    <row r="1147" spans="3:5" x14ac:dyDescent="0.25">
      <c r="C1147" s="31">
        <f t="shared" ca="1" si="42"/>
        <v>46.923684397592183</v>
      </c>
      <c r="E1147">
        <v>45.176690341114437</v>
      </c>
    </row>
    <row r="1148" spans="3:5" x14ac:dyDescent="0.25">
      <c r="C1148" s="31">
        <f t="shared" ca="1" si="42"/>
        <v>59.683343906757237</v>
      </c>
      <c r="E1148">
        <v>58.445615059674566</v>
      </c>
    </row>
    <row r="1149" spans="3:5" x14ac:dyDescent="0.25">
      <c r="C1149" s="31">
        <f t="shared" ca="1" si="42"/>
        <v>54.525389843082628</v>
      </c>
      <c r="E1149">
        <v>50.372751195278646</v>
      </c>
    </row>
    <row r="1150" spans="3:5" x14ac:dyDescent="0.25">
      <c r="C1150" s="31">
        <f t="shared" ref="C1150:C1213" ca="1" si="43">_xlfn.NORM.INV(RAND(),C$4,C$5)</f>
        <v>56.019109958501346</v>
      </c>
      <c r="E1150">
        <v>40.073458488947153</v>
      </c>
    </row>
    <row r="1151" spans="3:5" x14ac:dyDescent="0.25">
      <c r="C1151" s="31">
        <f t="shared" ca="1" si="43"/>
        <v>58.638346642615183</v>
      </c>
      <c r="E1151">
        <v>68.821621103950804</v>
      </c>
    </row>
    <row r="1152" spans="3:5" x14ac:dyDescent="0.25">
      <c r="C1152" s="31">
        <f t="shared" ca="1" si="43"/>
        <v>58.219871562363657</v>
      </c>
      <c r="E1152">
        <v>53.154944363278602</v>
      </c>
    </row>
    <row r="1153" spans="3:5" x14ac:dyDescent="0.25">
      <c r="C1153" s="31">
        <f t="shared" ca="1" si="43"/>
        <v>60.854632175495354</v>
      </c>
      <c r="E1153">
        <v>74.086301896499648</v>
      </c>
    </row>
    <row r="1154" spans="3:5" x14ac:dyDescent="0.25">
      <c r="C1154" s="31">
        <f t="shared" ca="1" si="43"/>
        <v>50.461401013273786</v>
      </c>
      <c r="E1154">
        <v>47.211544262430351</v>
      </c>
    </row>
    <row r="1155" spans="3:5" x14ac:dyDescent="0.25">
      <c r="C1155" s="31">
        <f t="shared" ca="1" si="43"/>
        <v>50.71472090068626</v>
      </c>
      <c r="E1155">
        <v>54.347640177171591</v>
      </c>
    </row>
    <row r="1156" spans="3:5" x14ac:dyDescent="0.25">
      <c r="C1156" s="31">
        <f t="shared" ca="1" si="43"/>
        <v>75.881161997051805</v>
      </c>
      <c r="E1156">
        <v>55.824263060831605</v>
      </c>
    </row>
    <row r="1157" spans="3:5" x14ac:dyDescent="0.25">
      <c r="C1157" s="31">
        <f t="shared" ca="1" si="43"/>
        <v>82.228189237597661</v>
      </c>
      <c r="E1157">
        <v>59.55746858627527</v>
      </c>
    </row>
    <row r="1158" spans="3:5" x14ac:dyDescent="0.25">
      <c r="C1158" s="31">
        <f t="shared" ca="1" si="43"/>
        <v>61.124070343789782</v>
      </c>
      <c r="E1158">
        <v>48.851081772620439</v>
      </c>
    </row>
    <row r="1159" spans="3:5" x14ac:dyDescent="0.25">
      <c r="C1159" s="31">
        <f t="shared" ca="1" si="43"/>
        <v>43.46566978076963</v>
      </c>
      <c r="E1159">
        <v>62.851906664590224</v>
      </c>
    </row>
    <row r="1160" spans="3:5" x14ac:dyDescent="0.25">
      <c r="C1160" s="31">
        <f t="shared" ca="1" si="43"/>
        <v>72.95499412579349</v>
      </c>
      <c r="E1160">
        <v>48.788724163635493</v>
      </c>
    </row>
    <row r="1161" spans="3:5" x14ac:dyDescent="0.25">
      <c r="C1161" s="31">
        <f t="shared" ca="1" si="43"/>
        <v>55.454966657920046</v>
      </c>
      <c r="E1161">
        <v>48.524448257895287</v>
      </c>
    </row>
    <row r="1162" spans="3:5" x14ac:dyDescent="0.25">
      <c r="C1162" s="31">
        <f t="shared" ca="1" si="43"/>
        <v>57.980972417244416</v>
      </c>
      <c r="E1162">
        <v>57.655988670915619</v>
      </c>
    </row>
    <row r="1163" spans="3:5" x14ac:dyDescent="0.25">
      <c r="C1163" s="31">
        <f t="shared" ca="1" si="43"/>
        <v>62.030403258351832</v>
      </c>
      <c r="E1163">
        <v>54.686888086861124</v>
      </c>
    </row>
    <row r="1164" spans="3:5" x14ac:dyDescent="0.25">
      <c r="C1164" s="31">
        <f t="shared" ca="1" si="43"/>
        <v>61.50476187694516</v>
      </c>
      <c r="E1164">
        <v>59.25140781336097</v>
      </c>
    </row>
    <row r="1165" spans="3:5" x14ac:dyDescent="0.25">
      <c r="C1165" s="31">
        <f t="shared" ca="1" si="43"/>
        <v>62.919483328386512</v>
      </c>
      <c r="E1165">
        <v>58.947445251704778</v>
      </c>
    </row>
    <row r="1166" spans="3:5" x14ac:dyDescent="0.25">
      <c r="C1166" s="31">
        <f t="shared" ca="1" si="43"/>
        <v>72.756702834734696</v>
      </c>
      <c r="E1166">
        <v>54.043495469253493</v>
      </c>
    </row>
    <row r="1167" spans="3:5" x14ac:dyDescent="0.25">
      <c r="C1167" s="31">
        <f t="shared" ca="1" si="43"/>
        <v>62.213556430745619</v>
      </c>
      <c r="E1167">
        <v>80.412917927749035</v>
      </c>
    </row>
    <row r="1168" spans="3:5" x14ac:dyDescent="0.25">
      <c r="C1168" s="31">
        <f t="shared" ca="1" si="43"/>
        <v>66.071526439680596</v>
      </c>
      <c r="E1168">
        <v>61.918013172661382</v>
      </c>
    </row>
    <row r="1169" spans="3:5" x14ac:dyDescent="0.25">
      <c r="C1169" s="31">
        <f t="shared" ca="1" si="43"/>
        <v>86.928853394377555</v>
      </c>
      <c r="E1169">
        <v>72.863701862847506</v>
      </c>
    </row>
    <row r="1170" spans="3:5" x14ac:dyDescent="0.25">
      <c r="C1170" s="31">
        <f t="shared" ca="1" si="43"/>
        <v>71.184912517588913</v>
      </c>
      <c r="E1170">
        <v>50.155422969688551</v>
      </c>
    </row>
    <row r="1171" spans="3:5" x14ac:dyDescent="0.25">
      <c r="C1171" s="31">
        <f t="shared" ca="1" si="43"/>
        <v>69.606913284508451</v>
      </c>
      <c r="E1171">
        <v>63.022307356096007</v>
      </c>
    </row>
    <row r="1172" spans="3:5" x14ac:dyDescent="0.25">
      <c r="C1172" s="31">
        <f t="shared" ca="1" si="43"/>
        <v>58.552835745800188</v>
      </c>
      <c r="E1172">
        <v>58.354406391764918</v>
      </c>
    </row>
    <row r="1173" spans="3:5" x14ac:dyDescent="0.25">
      <c r="C1173" s="31">
        <f t="shared" ca="1" si="43"/>
        <v>47.947846514161036</v>
      </c>
      <c r="E1173">
        <v>76.328763009734701</v>
      </c>
    </row>
    <row r="1174" spans="3:5" x14ac:dyDescent="0.25">
      <c r="C1174" s="31">
        <f t="shared" ca="1" si="43"/>
        <v>41.820273380052029</v>
      </c>
      <c r="E1174">
        <v>58.138553202363639</v>
      </c>
    </row>
    <row r="1175" spans="3:5" x14ac:dyDescent="0.25">
      <c r="C1175" s="31">
        <f t="shared" ca="1" si="43"/>
        <v>73.114219538258027</v>
      </c>
      <c r="E1175">
        <v>57.173226511757029</v>
      </c>
    </row>
    <row r="1176" spans="3:5" x14ac:dyDescent="0.25">
      <c r="C1176" s="31">
        <f t="shared" ca="1" si="43"/>
        <v>63.146751237627754</v>
      </c>
      <c r="E1176">
        <v>79.459189268063625</v>
      </c>
    </row>
    <row r="1177" spans="3:5" x14ac:dyDescent="0.25">
      <c r="C1177" s="31">
        <f t="shared" ca="1" si="43"/>
        <v>44.058360877520762</v>
      </c>
      <c r="E1177">
        <v>56.720770639198363</v>
      </c>
    </row>
    <row r="1178" spans="3:5" x14ac:dyDescent="0.25">
      <c r="C1178" s="31">
        <f t="shared" ca="1" si="43"/>
        <v>46.343755709087574</v>
      </c>
      <c r="E1178">
        <v>73.230115456446157</v>
      </c>
    </row>
    <row r="1179" spans="3:5" x14ac:dyDescent="0.25">
      <c r="C1179" s="31">
        <f t="shared" ca="1" si="43"/>
        <v>56.47503326070369</v>
      </c>
      <c r="E1179">
        <v>74.36446528113656</v>
      </c>
    </row>
    <row r="1180" spans="3:5" x14ac:dyDescent="0.25">
      <c r="C1180" s="31">
        <f t="shared" ca="1" si="43"/>
        <v>56.962021506045893</v>
      </c>
      <c r="E1180">
        <v>46.093211259030269</v>
      </c>
    </row>
    <row r="1181" spans="3:5" x14ac:dyDescent="0.25">
      <c r="C1181" s="31">
        <f t="shared" ca="1" si="43"/>
        <v>69.732376042594339</v>
      </c>
      <c r="E1181">
        <v>59.273903803318447</v>
      </c>
    </row>
    <row r="1182" spans="3:5" x14ac:dyDescent="0.25">
      <c r="C1182" s="31">
        <f t="shared" ca="1" si="43"/>
        <v>74.637483881504536</v>
      </c>
      <c r="E1182">
        <v>53.301676542842912</v>
      </c>
    </row>
    <row r="1183" spans="3:5" x14ac:dyDescent="0.25">
      <c r="C1183" s="31">
        <f t="shared" ca="1" si="43"/>
        <v>48.317406109488509</v>
      </c>
      <c r="E1183">
        <v>64.788788644016847</v>
      </c>
    </row>
    <row r="1184" spans="3:5" x14ac:dyDescent="0.25">
      <c r="C1184" s="31">
        <f t="shared" ca="1" si="43"/>
        <v>53.984431225302444</v>
      </c>
      <c r="E1184">
        <v>62.793807171600719</v>
      </c>
    </row>
    <row r="1185" spans="3:5" x14ac:dyDescent="0.25">
      <c r="C1185" s="31">
        <f t="shared" ca="1" si="43"/>
        <v>44.429080729590737</v>
      </c>
      <c r="E1185">
        <v>62.185152553643853</v>
      </c>
    </row>
    <row r="1186" spans="3:5" x14ac:dyDescent="0.25">
      <c r="C1186" s="31">
        <f t="shared" ca="1" si="43"/>
        <v>52.342063356622091</v>
      </c>
      <c r="E1186">
        <v>44.241307942985166</v>
      </c>
    </row>
    <row r="1187" spans="3:5" x14ac:dyDescent="0.25">
      <c r="C1187" s="31">
        <f t="shared" ca="1" si="43"/>
        <v>69.828377502748324</v>
      </c>
      <c r="E1187">
        <v>62.398545760195148</v>
      </c>
    </row>
    <row r="1188" spans="3:5" x14ac:dyDescent="0.25">
      <c r="C1188" s="31">
        <f t="shared" ca="1" si="43"/>
        <v>70.265507333577133</v>
      </c>
      <c r="E1188">
        <v>63.97479691357281</v>
      </c>
    </row>
    <row r="1189" spans="3:5" x14ac:dyDescent="0.25">
      <c r="C1189" s="31">
        <f t="shared" ca="1" si="43"/>
        <v>70.270081253641919</v>
      </c>
      <c r="E1189">
        <v>49.483857580080993</v>
      </c>
    </row>
    <row r="1190" spans="3:5" x14ac:dyDescent="0.25">
      <c r="C1190" s="31">
        <f t="shared" ca="1" si="43"/>
        <v>44.402051964401153</v>
      </c>
      <c r="E1190">
        <v>61.052520128071421</v>
      </c>
    </row>
    <row r="1191" spans="3:5" x14ac:dyDescent="0.25">
      <c r="C1191" s="31">
        <f t="shared" ca="1" si="43"/>
        <v>61.595235086633203</v>
      </c>
      <c r="E1191">
        <v>80.428295273231399</v>
      </c>
    </row>
    <row r="1192" spans="3:5" x14ac:dyDescent="0.25">
      <c r="C1192" s="31">
        <f t="shared" ca="1" si="43"/>
        <v>51.800928492388834</v>
      </c>
      <c r="E1192">
        <v>59.64173350905422</v>
      </c>
    </row>
    <row r="1193" spans="3:5" x14ac:dyDescent="0.25">
      <c r="C1193" s="31">
        <f t="shared" ca="1" si="43"/>
        <v>62.923493625104655</v>
      </c>
      <c r="E1193">
        <v>68.34678867400963</v>
      </c>
    </row>
    <row r="1194" spans="3:5" x14ac:dyDescent="0.25">
      <c r="C1194" s="31">
        <f t="shared" ca="1" si="43"/>
        <v>64.545857708566942</v>
      </c>
      <c r="E1194">
        <v>54.452053641275043</v>
      </c>
    </row>
    <row r="1195" spans="3:5" x14ac:dyDescent="0.25">
      <c r="C1195" s="31">
        <f t="shared" ca="1" si="43"/>
        <v>46.839751798137613</v>
      </c>
      <c r="E1195">
        <v>70.587783975263207</v>
      </c>
    </row>
    <row r="1196" spans="3:5" x14ac:dyDescent="0.25">
      <c r="C1196" s="31">
        <f t="shared" ca="1" si="43"/>
        <v>72.661454770406024</v>
      </c>
      <c r="E1196">
        <v>66.77174549388279</v>
      </c>
    </row>
    <row r="1197" spans="3:5" x14ac:dyDescent="0.25">
      <c r="C1197" s="31">
        <f t="shared" ca="1" si="43"/>
        <v>59.417870360160251</v>
      </c>
      <c r="E1197">
        <v>61.83745107504992</v>
      </c>
    </row>
    <row r="1198" spans="3:5" x14ac:dyDescent="0.25">
      <c r="C1198" s="31">
        <f t="shared" ca="1" si="43"/>
        <v>84.976117361335852</v>
      </c>
      <c r="E1198">
        <v>68.315801690619011</v>
      </c>
    </row>
    <row r="1199" spans="3:5" x14ac:dyDescent="0.25">
      <c r="C1199" s="31">
        <f t="shared" ca="1" si="43"/>
        <v>66.757401267033288</v>
      </c>
      <c r="E1199">
        <v>55.782010448209441</v>
      </c>
    </row>
    <row r="1200" spans="3:5" x14ac:dyDescent="0.25">
      <c r="C1200" s="31">
        <f t="shared" ca="1" si="43"/>
        <v>59.399138533897109</v>
      </c>
      <c r="E1200">
        <v>63.461697462653881</v>
      </c>
    </row>
    <row r="1201" spans="3:5" x14ac:dyDescent="0.25">
      <c r="C1201" s="31">
        <f t="shared" ca="1" si="43"/>
        <v>44.639076206976895</v>
      </c>
      <c r="E1201">
        <v>60.542045400673828</v>
      </c>
    </row>
    <row r="1202" spans="3:5" x14ac:dyDescent="0.25">
      <c r="C1202" s="31">
        <f t="shared" ca="1" si="43"/>
        <v>43.490022874912981</v>
      </c>
      <c r="E1202">
        <v>45.698837113474532</v>
      </c>
    </row>
    <row r="1203" spans="3:5" x14ac:dyDescent="0.25">
      <c r="C1203" s="31">
        <f t="shared" ca="1" si="43"/>
        <v>61.107297253117522</v>
      </c>
      <c r="E1203">
        <v>58.328727415185455</v>
      </c>
    </row>
    <row r="1204" spans="3:5" x14ac:dyDescent="0.25">
      <c r="C1204" s="31">
        <f t="shared" ca="1" si="43"/>
        <v>43.365749652586153</v>
      </c>
      <c r="E1204">
        <v>52.39682758389268</v>
      </c>
    </row>
    <row r="1205" spans="3:5" x14ac:dyDescent="0.25">
      <c r="C1205" s="31">
        <f t="shared" ca="1" si="43"/>
        <v>52.9421150950905</v>
      </c>
      <c r="E1205">
        <v>64.403238089817563</v>
      </c>
    </row>
    <row r="1206" spans="3:5" x14ac:dyDescent="0.25">
      <c r="C1206" s="31">
        <f t="shared" ca="1" si="43"/>
        <v>74.258645006139105</v>
      </c>
      <c r="E1206">
        <v>66.456295822034747</v>
      </c>
    </row>
    <row r="1207" spans="3:5" x14ac:dyDescent="0.25">
      <c r="C1207" s="31">
        <f t="shared" ca="1" si="43"/>
        <v>40.929342052834272</v>
      </c>
      <c r="E1207">
        <v>66.20734995190243</v>
      </c>
    </row>
    <row r="1208" spans="3:5" x14ac:dyDescent="0.25">
      <c r="C1208" s="31">
        <f t="shared" ca="1" si="43"/>
        <v>67.211347114210994</v>
      </c>
      <c r="E1208">
        <v>70.552172453990735</v>
      </c>
    </row>
    <row r="1209" spans="3:5" x14ac:dyDescent="0.25">
      <c r="C1209" s="31">
        <f t="shared" ca="1" si="43"/>
        <v>68.605689037955059</v>
      </c>
      <c r="E1209">
        <v>54.690470530514716</v>
      </c>
    </row>
    <row r="1210" spans="3:5" x14ac:dyDescent="0.25">
      <c r="C1210" s="31">
        <f t="shared" ca="1" si="43"/>
        <v>62.765546349115496</v>
      </c>
      <c r="E1210">
        <v>64.562209427608053</v>
      </c>
    </row>
    <row r="1211" spans="3:5" x14ac:dyDescent="0.25">
      <c r="C1211" s="31">
        <f t="shared" ca="1" si="43"/>
        <v>57.750722033907003</v>
      </c>
      <c r="E1211">
        <v>59.843427723535321</v>
      </c>
    </row>
    <row r="1212" spans="3:5" x14ac:dyDescent="0.25">
      <c r="C1212" s="31">
        <f t="shared" ca="1" si="43"/>
        <v>77.358921678571662</v>
      </c>
      <c r="E1212">
        <v>70.566584703469459</v>
      </c>
    </row>
    <row r="1213" spans="3:5" x14ac:dyDescent="0.25">
      <c r="C1213" s="31">
        <f t="shared" ca="1" si="43"/>
        <v>54.665144726861541</v>
      </c>
      <c r="E1213">
        <v>64.425661060574654</v>
      </c>
    </row>
    <row r="1214" spans="3:5" x14ac:dyDescent="0.25">
      <c r="C1214" s="31">
        <f t="shared" ref="C1214:C1277" ca="1" si="44">_xlfn.NORM.INV(RAND(),C$4,C$5)</f>
        <v>39.92892041988263</v>
      </c>
      <c r="E1214">
        <v>39.277687200771858</v>
      </c>
    </row>
    <row r="1215" spans="3:5" x14ac:dyDescent="0.25">
      <c r="C1215" s="31">
        <f t="shared" ca="1" si="44"/>
        <v>70.567652801052631</v>
      </c>
      <c r="E1215">
        <v>68.35482190739782</v>
      </c>
    </row>
    <row r="1216" spans="3:5" x14ac:dyDescent="0.25">
      <c r="C1216" s="31">
        <f t="shared" ca="1" si="44"/>
        <v>66.23728337502186</v>
      </c>
      <c r="E1216">
        <v>55.495738230905054</v>
      </c>
    </row>
    <row r="1217" spans="3:5" x14ac:dyDescent="0.25">
      <c r="C1217" s="31">
        <f t="shared" ca="1" si="44"/>
        <v>51.88270343683034</v>
      </c>
      <c r="E1217">
        <v>52.954764936375</v>
      </c>
    </row>
    <row r="1218" spans="3:5" x14ac:dyDescent="0.25">
      <c r="C1218" s="31">
        <f t="shared" ca="1" si="44"/>
        <v>62.058204408528134</v>
      </c>
      <c r="E1218">
        <v>65.151242410942714</v>
      </c>
    </row>
    <row r="1219" spans="3:5" x14ac:dyDescent="0.25">
      <c r="C1219" s="31">
        <f t="shared" ca="1" si="44"/>
        <v>62.862492366172823</v>
      </c>
      <c r="E1219">
        <v>51.610899719705039</v>
      </c>
    </row>
    <row r="1220" spans="3:5" x14ac:dyDescent="0.25">
      <c r="C1220" s="31">
        <f t="shared" ca="1" si="44"/>
        <v>64.623026245524073</v>
      </c>
      <c r="E1220">
        <v>67.104278503615447</v>
      </c>
    </row>
    <row r="1221" spans="3:5" x14ac:dyDescent="0.25">
      <c r="C1221" s="31">
        <f t="shared" ca="1" si="44"/>
        <v>56.81046669151818</v>
      </c>
      <c r="E1221">
        <v>64.764109757842419</v>
      </c>
    </row>
    <row r="1222" spans="3:5" x14ac:dyDescent="0.25">
      <c r="C1222" s="31">
        <f t="shared" ca="1" si="44"/>
        <v>67.18635600390364</v>
      </c>
      <c r="E1222">
        <v>67.747536235171239</v>
      </c>
    </row>
    <row r="1223" spans="3:5" x14ac:dyDescent="0.25">
      <c r="C1223" s="31">
        <f t="shared" ca="1" si="44"/>
        <v>54.187460005491296</v>
      </c>
      <c r="E1223">
        <v>25.045686320547411</v>
      </c>
    </row>
    <row r="1224" spans="3:5" x14ac:dyDescent="0.25">
      <c r="C1224" s="31">
        <f t="shared" ca="1" si="44"/>
        <v>59.950516382807606</v>
      </c>
      <c r="E1224">
        <v>57.631544165895193</v>
      </c>
    </row>
    <row r="1225" spans="3:5" x14ac:dyDescent="0.25">
      <c r="C1225" s="31">
        <f t="shared" ca="1" si="44"/>
        <v>63.047312611188048</v>
      </c>
      <c r="E1225">
        <v>73.897589494103244</v>
      </c>
    </row>
    <row r="1226" spans="3:5" x14ac:dyDescent="0.25">
      <c r="C1226" s="31">
        <f t="shared" ca="1" si="44"/>
        <v>82.097268835869272</v>
      </c>
      <c r="E1226">
        <v>64.314027783910987</v>
      </c>
    </row>
    <row r="1227" spans="3:5" x14ac:dyDescent="0.25">
      <c r="C1227" s="31">
        <f t="shared" ca="1" si="44"/>
        <v>57.420313696224675</v>
      </c>
      <c r="E1227">
        <v>48.576335815592259</v>
      </c>
    </row>
    <row r="1228" spans="3:5" x14ac:dyDescent="0.25">
      <c r="C1228" s="31">
        <f t="shared" ca="1" si="44"/>
        <v>71.766317880747906</v>
      </c>
      <c r="E1228">
        <v>64.978976089504116</v>
      </c>
    </row>
    <row r="1229" spans="3:5" x14ac:dyDescent="0.25">
      <c r="C1229" s="31">
        <f t="shared" ca="1" si="44"/>
        <v>58.701097249203052</v>
      </c>
      <c r="E1229">
        <v>55.598227302461552</v>
      </c>
    </row>
    <row r="1230" spans="3:5" x14ac:dyDescent="0.25">
      <c r="C1230" s="31">
        <f t="shared" ca="1" si="44"/>
        <v>59.405487885855202</v>
      </c>
      <c r="E1230">
        <v>55.300084190927862</v>
      </c>
    </row>
    <row r="1231" spans="3:5" x14ac:dyDescent="0.25">
      <c r="C1231" s="31">
        <f t="shared" ca="1" si="44"/>
        <v>69.217975302588258</v>
      </c>
      <c r="E1231">
        <v>78.343904851238477</v>
      </c>
    </row>
    <row r="1232" spans="3:5" x14ac:dyDescent="0.25">
      <c r="C1232" s="31">
        <f t="shared" ca="1" si="44"/>
        <v>68.492613192170154</v>
      </c>
      <c r="E1232">
        <v>46.644800973758976</v>
      </c>
    </row>
    <row r="1233" spans="3:5" x14ac:dyDescent="0.25">
      <c r="C1233" s="31">
        <f t="shared" ca="1" si="44"/>
        <v>48.888683991100713</v>
      </c>
      <c r="E1233">
        <v>67.468451016826975</v>
      </c>
    </row>
    <row r="1234" spans="3:5" x14ac:dyDescent="0.25">
      <c r="C1234" s="31">
        <f t="shared" ca="1" si="44"/>
        <v>57.120136166225173</v>
      </c>
      <c r="E1234">
        <v>85.370910080823052</v>
      </c>
    </row>
    <row r="1235" spans="3:5" x14ac:dyDescent="0.25">
      <c r="C1235" s="31">
        <f t="shared" ca="1" si="44"/>
        <v>37.542606767874744</v>
      </c>
      <c r="E1235">
        <v>77.537135641456373</v>
      </c>
    </row>
    <row r="1236" spans="3:5" x14ac:dyDescent="0.25">
      <c r="C1236" s="31">
        <f t="shared" ca="1" si="44"/>
        <v>55.393364305128422</v>
      </c>
      <c r="E1236">
        <v>54.033953140118037</v>
      </c>
    </row>
    <row r="1237" spans="3:5" x14ac:dyDescent="0.25">
      <c r="C1237" s="31">
        <f t="shared" ca="1" si="44"/>
        <v>48.705174000202888</v>
      </c>
      <c r="E1237">
        <v>64.528138043877163</v>
      </c>
    </row>
    <row r="1238" spans="3:5" x14ac:dyDescent="0.25">
      <c r="C1238" s="31">
        <f t="shared" ca="1" si="44"/>
        <v>43.260718004761827</v>
      </c>
      <c r="E1238">
        <v>68.552673643308822</v>
      </c>
    </row>
    <row r="1239" spans="3:5" x14ac:dyDescent="0.25">
      <c r="C1239" s="31">
        <f t="shared" ca="1" si="44"/>
        <v>62.516557091560053</v>
      </c>
      <c r="E1239">
        <v>75.143729160422325</v>
      </c>
    </row>
    <row r="1240" spans="3:5" x14ac:dyDescent="0.25">
      <c r="C1240" s="31">
        <f t="shared" ca="1" si="44"/>
        <v>60.647332928737988</v>
      </c>
      <c r="E1240">
        <v>67.137979847648538</v>
      </c>
    </row>
    <row r="1241" spans="3:5" x14ac:dyDescent="0.25">
      <c r="C1241" s="31">
        <f t="shared" ca="1" si="44"/>
        <v>68.654729579524627</v>
      </c>
      <c r="E1241">
        <v>83.520801109403621</v>
      </c>
    </row>
    <row r="1242" spans="3:5" x14ac:dyDescent="0.25">
      <c r="C1242" s="31">
        <f t="shared" ca="1" si="44"/>
        <v>50.26415094199897</v>
      </c>
      <c r="E1242">
        <v>50.46564197315093</v>
      </c>
    </row>
    <row r="1243" spans="3:5" x14ac:dyDescent="0.25">
      <c r="C1243" s="31">
        <f t="shared" ca="1" si="44"/>
        <v>83.200283014310557</v>
      </c>
      <c r="E1243">
        <v>70.9730487392805</v>
      </c>
    </row>
    <row r="1244" spans="3:5" x14ac:dyDescent="0.25">
      <c r="C1244" s="31">
        <f t="shared" ca="1" si="44"/>
        <v>72.593511473016434</v>
      </c>
      <c r="E1244">
        <v>60.529394877517326</v>
      </c>
    </row>
    <row r="1245" spans="3:5" x14ac:dyDescent="0.25">
      <c r="C1245" s="31">
        <f t="shared" ca="1" si="44"/>
        <v>80.786426885433741</v>
      </c>
      <c r="E1245">
        <v>74.12697906484135</v>
      </c>
    </row>
    <row r="1246" spans="3:5" x14ac:dyDescent="0.25">
      <c r="C1246" s="31">
        <f t="shared" ca="1" si="44"/>
        <v>54.755294100354895</v>
      </c>
      <c r="E1246">
        <v>57.220203836784258</v>
      </c>
    </row>
    <row r="1247" spans="3:5" x14ac:dyDescent="0.25">
      <c r="C1247" s="31">
        <f t="shared" ca="1" si="44"/>
        <v>60.595323029520678</v>
      </c>
      <c r="E1247">
        <v>61.331540001440032</v>
      </c>
    </row>
    <row r="1248" spans="3:5" x14ac:dyDescent="0.25">
      <c r="C1248" s="31">
        <f t="shared" ca="1" si="44"/>
        <v>64.193644534034519</v>
      </c>
      <c r="E1248">
        <v>55.697789303664727</v>
      </c>
    </row>
    <row r="1249" spans="3:5" x14ac:dyDescent="0.25">
      <c r="C1249" s="31">
        <f t="shared" ca="1" si="44"/>
        <v>58.908724431304329</v>
      </c>
      <c r="E1249">
        <v>42.861007193232524</v>
      </c>
    </row>
    <row r="1250" spans="3:5" x14ac:dyDescent="0.25">
      <c r="C1250" s="31">
        <f t="shared" ca="1" si="44"/>
        <v>68.875775791797579</v>
      </c>
      <c r="E1250">
        <v>46.117118278095319</v>
      </c>
    </row>
    <row r="1251" spans="3:5" x14ac:dyDescent="0.25">
      <c r="C1251" s="31">
        <f t="shared" ca="1" si="44"/>
        <v>58.630607725719024</v>
      </c>
      <c r="E1251">
        <v>67.602192949258054</v>
      </c>
    </row>
    <row r="1252" spans="3:5" x14ac:dyDescent="0.25">
      <c r="C1252" s="31">
        <f t="shared" ca="1" si="44"/>
        <v>55.132504425869179</v>
      </c>
      <c r="E1252">
        <v>28.472370494334655</v>
      </c>
    </row>
    <row r="1253" spans="3:5" x14ac:dyDescent="0.25">
      <c r="C1253" s="31">
        <f t="shared" ca="1" si="44"/>
        <v>44.837820508114206</v>
      </c>
      <c r="E1253">
        <v>60.9849322052671</v>
      </c>
    </row>
    <row r="1254" spans="3:5" x14ac:dyDescent="0.25">
      <c r="C1254" s="31">
        <f t="shared" ca="1" si="44"/>
        <v>51.792826201611433</v>
      </c>
      <c r="E1254">
        <v>54.483393924295193</v>
      </c>
    </row>
    <row r="1255" spans="3:5" x14ac:dyDescent="0.25">
      <c r="C1255" s="31">
        <f t="shared" ca="1" si="44"/>
        <v>48.448504182266774</v>
      </c>
      <c r="E1255">
        <v>45.005289905095516</v>
      </c>
    </row>
    <row r="1256" spans="3:5" x14ac:dyDescent="0.25">
      <c r="C1256" s="31">
        <f t="shared" ca="1" si="44"/>
        <v>43.049973338815647</v>
      </c>
      <c r="E1256">
        <v>50.139250176798626</v>
      </c>
    </row>
    <row r="1257" spans="3:5" x14ac:dyDescent="0.25">
      <c r="C1257" s="31">
        <f t="shared" ca="1" si="44"/>
        <v>72.083471795906306</v>
      </c>
      <c r="E1257">
        <v>59.828685063109369</v>
      </c>
    </row>
    <row r="1258" spans="3:5" x14ac:dyDescent="0.25">
      <c r="C1258" s="31">
        <f t="shared" ca="1" si="44"/>
        <v>55.586180180120259</v>
      </c>
      <c r="E1258">
        <v>53.622523530208568</v>
      </c>
    </row>
    <row r="1259" spans="3:5" x14ac:dyDescent="0.25">
      <c r="C1259" s="31">
        <f t="shared" ca="1" si="44"/>
        <v>39.692114656422135</v>
      </c>
      <c r="E1259">
        <v>56.954269761768487</v>
      </c>
    </row>
    <row r="1260" spans="3:5" x14ac:dyDescent="0.25">
      <c r="C1260" s="31">
        <f t="shared" ca="1" si="44"/>
        <v>50.315179531876836</v>
      </c>
      <c r="E1260">
        <v>47.124369757741462</v>
      </c>
    </row>
    <row r="1261" spans="3:5" x14ac:dyDescent="0.25">
      <c r="C1261" s="31">
        <f t="shared" ca="1" si="44"/>
        <v>60.060461102342167</v>
      </c>
      <c r="E1261">
        <v>64.677076446063424</v>
      </c>
    </row>
    <row r="1262" spans="3:5" x14ac:dyDescent="0.25">
      <c r="C1262" s="31">
        <f t="shared" ca="1" si="44"/>
        <v>65.628028314930532</v>
      </c>
      <c r="E1262">
        <v>40.97003291264398</v>
      </c>
    </row>
    <row r="1263" spans="3:5" x14ac:dyDescent="0.25">
      <c r="C1263" s="31">
        <f t="shared" ca="1" si="44"/>
        <v>70.716197001380962</v>
      </c>
      <c r="E1263">
        <v>76.953586856996679</v>
      </c>
    </row>
    <row r="1264" spans="3:5" x14ac:dyDescent="0.25">
      <c r="C1264" s="31">
        <f t="shared" ca="1" si="44"/>
        <v>71.182277062736318</v>
      </c>
      <c r="E1264">
        <v>69.507051499928963</v>
      </c>
    </row>
    <row r="1265" spans="3:5" x14ac:dyDescent="0.25">
      <c r="C1265" s="31">
        <f t="shared" ca="1" si="44"/>
        <v>56.16910294862501</v>
      </c>
      <c r="E1265">
        <v>48.900175622216608</v>
      </c>
    </row>
    <row r="1266" spans="3:5" x14ac:dyDescent="0.25">
      <c r="C1266" s="31">
        <f t="shared" ca="1" si="44"/>
        <v>66.380473915400941</v>
      </c>
      <c r="E1266">
        <v>58.096518463474546</v>
      </c>
    </row>
    <row r="1267" spans="3:5" x14ac:dyDescent="0.25">
      <c r="C1267" s="31">
        <f t="shared" ca="1" si="44"/>
        <v>33.407492264628516</v>
      </c>
      <c r="E1267">
        <v>55.566098072982157</v>
      </c>
    </row>
    <row r="1268" spans="3:5" x14ac:dyDescent="0.25">
      <c r="C1268" s="31">
        <f t="shared" ca="1" si="44"/>
        <v>58.16909833888554</v>
      </c>
      <c r="E1268">
        <v>39.464554721991405</v>
      </c>
    </row>
    <row r="1269" spans="3:5" x14ac:dyDescent="0.25">
      <c r="C1269" s="31">
        <f t="shared" ca="1" si="44"/>
        <v>53.726911688878403</v>
      </c>
      <c r="E1269">
        <v>61.998481799538034</v>
      </c>
    </row>
    <row r="1270" spans="3:5" x14ac:dyDescent="0.25">
      <c r="C1270" s="31">
        <f t="shared" ca="1" si="44"/>
        <v>57.12862452616902</v>
      </c>
      <c r="E1270">
        <v>64.70256205901336</v>
      </c>
    </row>
    <row r="1271" spans="3:5" x14ac:dyDescent="0.25">
      <c r="C1271" s="31">
        <f t="shared" ca="1" si="44"/>
        <v>55.51943255563922</v>
      </c>
      <c r="E1271">
        <v>75.935438050781869</v>
      </c>
    </row>
    <row r="1272" spans="3:5" x14ac:dyDescent="0.25">
      <c r="C1272" s="31">
        <f t="shared" ca="1" si="44"/>
        <v>59.095480218444891</v>
      </c>
      <c r="E1272">
        <v>85.397883443564282</v>
      </c>
    </row>
    <row r="1273" spans="3:5" x14ac:dyDescent="0.25">
      <c r="C1273" s="31">
        <f t="shared" ca="1" si="44"/>
        <v>43.68264110363792</v>
      </c>
      <c r="E1273">
        <v>58.895049513251941</v>
      </c>
    </row>
    <row r="1274" spans="3:5" x14ac:dyDescent="0.25">
      <c r="C1274" s="31">
        <f t="shared" ca="1" si="44"/>
        <v>69.830917968176664</v>
      </c>
      <c r="E1274">
        <v>49.105018365951864</v>
      </c>
    </row>
    <row r="1275" spans="3:5" x14ac:dyDescent="0.25">
      <c r="C1275" s="31">
        <f t="shared" ca="1" si="44"/>
        <v>63.059683819546898</v>
      </c>
      <c r="E1275">
        <v>48.141131089717263</v>
      </c>
    </row>
    <row r="1276" spans="3:5" x14ac:dyDescent="0.25">
      <c r="C1276" s="31">
        <f t="shared" ca="1" si="44"/>
        <v>62.993232979915952</v>
      </c>
      <c r="E1276">
        <v>41.738621478734004</v>
      </c>
    </row>
    <row r="1277" spans="3:5" x14ac:dyDescent="0.25">
      <c r="C1277" s="31">
        <f t="shared" ca="1" si="44"/>
        <v>71.694088872996005</v>
      </c>
      <c r="E1277">
        <v>79.034067031330693</v>
      </c>
    </row>
    <row r="1278" spans="3:5" x14ac:dyDescent="0.25">
      <c r="C1278" s="31">
        <f t="shared" ref="C1278:C1341" ca="1" si="45">_xlfn.NORM.INV(RAND(),C$4,C$5)</f>
        <v>66.365092284645982</v>
      </c>
      <c r="E1278">
        <v>83.286439173074527</v>
      </c>
    </row>
    <row r="1279" spans="3:5" x14ac:dyDescent="0.25">
      <c r="C1279" s="31">
        <f t="shared" ca="1" si="45"/>
        <v>56.566932029194696</v>
      </c>
      <c r="E1279">
        <v>61.997522341881073</v>
      </c>
    </row>
    <row r="1280" spans="3:5" x14ac:dyDescent="0.25">
      <c r="C1280" s="31">
        <f t="shared" ca="1" si="45"/>
        <v>61.468579462391133</v>
      </c>
      <c r="E1280">
        <v>68.910431564810978</v>
      </c>
    </row>
    <row r="1281" spans="3:5" x14ac:dyDescent="0.25">
      <c r="C1281" s="31">
        <f t="shared" ca="1" si="45"/>
        <v>59.039338016661389</v>
      </c>
      <c r="E1281">
        <v>56.625666383826825</v>
      </c>
    </row>
    <row r="1282" spans="3:5" x14ac:dyDescent="0.25">
      <c r="C1282" s="31">
        <f t="shared" ca="1" si="45"/>
        <v>50.836371693172666</v>
      </c>
      <c r="E1282">
        <v>65.276646532087028</v>
      </c>
    </row>
    <row r="1283" spans="3:5" x14ac:dyDescent="0.25">
      <c r="C1283" s="31">
        <f t="shared" ca="1" si="45"/>
        <v>38.088224048529504</v>
      </c>
      <c r="E1283">
        <v>56.953574723559122</v>
      </c>
    </row>
    <row r="1284" spans="3:5" x14ac:dyDescent="0.25">
      <c r="C1284" s="31">
        <f t="shared" ca="1" si="45"/>
        <v>54.138146550905091</v>
      </c>
      <c r="E1284">
        <v>56.982026647220387</v>
      </c>
    </row>
    <row r="1285" spans="3:5" x14ac:dyDescent="0.25">
      <c r="C1285" s="31">
        <f t="shared" ca="1" si="45"/>
        <v>37.125659676703414</v>
      </c>
      <c r="E1285">
        <v>66.191057741100138</v>
      </c>
    </row>
    <row r="1286" spans="3:5" x14ac:dyDescent="0.25">
      <c r="C1286" s="31">
        <f t="shared" ca="1" si="45"/>
        <v>56.814137523775926</v>
      </c>
      <c r="E1286">
        <v>62.993999644213126</v>
      </c>
    </row>
    <row r="1287" spans="3:5" x14ac:dyDescent="0.25">
      <c r="C1287" s="31">
        <f t="shared" ca="1" si="45"/>
        <v>54.194133605083422</v>
      </c>
      <c r="E1287">
        <v>63.945299378143282</v>
      </c>
    </row>
    <row r="1288" spans="3:5" x14ac:dyDescent="0.25">
      <c r="C1288" s="31">
        <f t="shared" ca="1" si="45"/>
        <v>52.695380392830103</v>
      </c>
      <c r="E1288">
        <v>48.574734186356778</v>
      </c>
    </row>
    <row r="1289" spans="3:5" x14ac:dyDescent="0.25">
      <c r="C1289" s="31">
        <f t="shared" ca="1" si="45"/>
        <v>49.664198240537765</v>
      </c>
      <c r="E1289">
        <v>75.080818547462925</v>
      </c>
    </row>
    <row r="1290" spans="3:5" x14ac:dyDescent="0.25">
      <c r="C1290" s="31">
        <f t="shared" ca="1" si="45"/>
        <v>54.692739481810627</v>
      </c>
      <c r="E1290">
        <v>51.220881691638226</v>
      </c>
    </row>
    <row r="1291" spans="3:5" x14ac:dyDescent="0.25">
      <c r="C1291" s="31">
        <f t="shared" ca="1" si="45"/>
        <v>70.629117447503859</v>
      </c>
      <c r="E1291">
        <v>35.914848396673094</v>
      </c>
    </row>
    <row r="1292" spans="3:5" x14ac:dyDescent="0.25">
      <c r="C1292" s="31">
        <f t="shared" ca="1" si="45"/>
        <v>54.657038622385762</v>
      </c>
      <c r="E1292">
        <v>52.972321783765452</v>
      </c>
    </row>
    <row r="1293" spans="3:5" x14ac:dyDescent="0.25">
      <c r="C1293" s="31">
        <f t="shared" ca="1" si="45"/>
        <v>62.792514310547695</v>
      </c>
      <c r="E1293">
        <v>65.913706409581621</v>
      </c>
    </row>
    <row r="1294" spans="3:5" x14ac:dyDescent="0.25">
      <c r="C1294" s="31">
        <f t="shared" ca="1" si="45"/>
        <v>60.025817942156024</v>
      </c>
      <c r="E1294">
        <v>57.341205723059836</v>
      </c>
    </row>
    <row r="1295" spans="3:5" x14ac:dyDescent="0.25">
      <c r="C1295" s="31">
        <f t="shared" ca="1" si="45"/>
        <v>45.012808375191767</v>
      </c>
      <c r="E1295">
        <v>74.454104092819108</v>
      </c>
    </row>
    <row r="1296" spans="3:5" x14ac:dyDescent="0.25">
      <c r="C1296" s="31">
        <f t="shared" ca="1" si="45"/>
        <v>62.350111133857581</v>
      </c>
      <c r="E1296">
        <v>77.378806855088015</v>
      </c>
    </row>
    <row r="1297" spans="3:5" x14ac:dyDescent="0.25">
      <c r="C1297" s="31">
        <f t="shared" ca="1" si="45"/>
        <v>49.068748961521663</v>
      </c>
      <c r="E1297">
        <v>63.073541872632575</v>
      </c>
    </row>
    <row r="1298" spans="3:5" x14ac:dyDescent="0.25">
      <c r="C1298" s="31">
        <f t="shared" ca="1" si="45"/>
        <v>68.292656591284256</v>
      </c>
      <c r="E1298">
        <v>63.643478847727941</v>
      </c>
    </row>
    <row r="1299" spans="3:5" x14ac:dyDescent="0.25">
      <c r="C1299" s="31">
        <f t="shared" ca="1" si="45"/>
        <v>69.677903793278958</v>
      </c>
      <c r="E1299">
        <v>45.296053158834695</v>
      </c>
    </row>
    <row r="1300" spans="3:5" x14ac:dyDescent="0.25">
      <c r="C1300" s="31">
        <f t="shared" ca="1" si="45"/>
        <v>57.010287036961053</v>
      </c>
      <c r="E1300">
        <v>54.62371577921509</v>
      </c>
    </row>
    <row r="1301" spans="3:5" x14ac:dyDescent="0.25">
      <c r="C1301" s="31">
        <f t="shared" ca="1" si="45"/>
        <v>43.398704421349237</v>
      </c>
      <c r="E1301">
        <v>73.29136601597942</v>
      </c>
    </row>
    <row r="1302" spans="3:5" x14ac:dyDescent="0.25">
      <c r="C1302" s="31">
        <f t="shared" ca="1" si="45"/>
        <v>85.613432640695265</v>
      </c>
      <c r="E1302">
        <v>51.363761941691479</v>
      </c>
    </row>
    <row r="1303" spans="3:5" x14ac:dyDescent="0.25">
      <c r="C1303" s="31">
        <f t="shared" ca="1" si="45"/>
        <v>48.977607519079228</v>
      </c>
      <c r="E1303">
        <v>63.163871085187829</v>
      </c>
    </row>
    <row r="1304" spans="3:5" x14ac:dyDescent="0.25">
      <c r="C1304" s="31">
        <f t="shared" ca="1" si="45"/>
        <v>63.712494882620575</v>
      </c>
      <c r="E1304">
        <v>54.283982574966075</v>
      </c>
    </row>
    <row r="1305" spans="3:5" x14ac:dyDescent="0.25">
      <c r="C1305" s="31">
        <f t="shared" ca="1" si="45"/>
        <v>58.438053671797384</v>
      </c>
      <c r="E1305">
        <v>67.726392185773733</v>
      </c>
    </row>
    <row r="1306" spans="3:5" x14ac:dyDescent="0.25">
      <c r="C1306" s="31">
        <f t="shared" ca="1" si="45"/>
        <v>74.04345144166453</v>
      </c>
      <c r="E1306">
        <v>82.248200563643906</v>
      </c>
    </row>
    <row r="1307" spans="3:5" x14ac:dyDescent="0.25">
      <c r="C1307" s="31">
        <f t="shared" ca="1" si="45"/>
        <v>54.595307037327892</v>
      </c>
      <c r="E1307">
        <v>51.667020654528073</v>
      </c>
    </row>
    <row r="1308" spans="3:5" x14ac:dyDescent="0.25">
      <c r="C1308" s="31">
        <f t="shared" ca="1" si="45"/>
        <v>64.798798548618208</v>
      </c>
      <c r="E1308">
        <v>44.8353680409584</v>
      </c>
    </row>
    <row r="1309" spans="3:5" x14ac:dyDescent="0.25">
      <c r="C1309" s="31">
        <f t="shared" ca="1" si="45"/>
        <v>64.627257656737825</v>
      </c>
      <c r="E1309">
        <v>70.551320215243805</v>
      </c>
    </row>
    <row r="1310" spans="3:5" x14ac:dyDescent="0.25">
      <c r="C1310" s="31">
        <f t="shared" ca="1" si="45"/>
        <v>50.468119182930238</v>
      </c>
      <c r="E1310">
        <v>68.598001302048146</v>
      </c>
    </row>
    <row r="1311" spans="3:5" x14ac:dyDescent="0.25">
      <c r="C1311" s="31">
        <f t="shared" ca="1" si="45"/>
        <v>63.082762616894428</v>
      </c>
      <c r="E1311">
        <v>67.214624902575679</v>
      </c>
    </row>
    <row r="1312" spans="3:5" x14ac:dyDescent="0.25">
      <c r="C1312" s="31">
        <f t="shared" ca="1" si="45"/>
        <v>56.982687588419608</v>
      </c>
      <c r="E1312">
        <v>63.576853763031494</v>
      </c>
    </row>
    <row r="1313" spans="3:5" x14ac:dyDescent="0.25">
      <c r="C1313" s="31">
        <f t="shared" ca="1" si="45"/>
        <v>61.381524600779862</v>
      </c>
      <c r="E1313">
        <v>69.95709950340752</v>
      </c>
    </row>
    <row r="1314" spans="3:5" x14ac:dyDescent="0.25">
      <c r="C1314" s="31">
        <f t="shared" ca="1" si="45"/>
        <v>65.442999155708947</v>
      </c>
      <c r="E1314">
        <v>54.337675398890084</v>
      </c>
    </row>
    <row r="1315" spans="3:5" x14ac:dyDescent="0.25">
      <c r="C1315" s="31">
        <f t="shared" ca="1" si="45"/>
        <v>79.698856403182134</v>
      </c>
      <c r="E1315">
        <v>56.078511436443762</v>
      </c>
    </row>
    <row r="1316" spans="3:5" x14ac:dyDescent="0.25">
      <c r="C1316" s="31">
        <f t="shared" ca="1" si="45"/>
        <v>53.793430528848262</v>
      </c>
      <c r="E1316">
        <v>64.991872138037508</v>
      </c>
    </row>
    <row r="1317" spans="3:5" x14ac:dyDescent="0.25">
      <c r="C1317" s="31">
        <f t="shared" ca="1" si="45"/>
        <v>46.887370296447884</v>
      </c>
      <c r="E1317">
        <v>69.519515015031374</v>
      </c>
    </row>
    <row r="1318" spans="3:5" x14ac:dyDescent="0.25">
      <c r="C1318" s="31">
        <f t="shared" ca="1" si="45"/>
        <v>44.943759129269097</v>
      </c>
      <c r="E1318">
        <v>55.781446910059543</v>
      </c>
    </row>
    <row r="1319" spans="3:5" x14ac:dyDescent="0.25">
      <c r="C1319" s="31">
        <f t="shared" ca="1" si="45"/>
        <v>83.7607181813854</v>
      </c>
      <c r="E1319">
        <v>68.296437948374219</v>
      </c>
    </row>
    <row r="1320" spans="3:5" x14ac:dyDescent="0.25">
      <c r="C1320" s="31">
        <f t="shared" ca="1" si="45"/>
        <v>68.576165633841015</v>
      </c>
      <c r="E1320">
        <v>63.687007385110917</v>
      </c>
    </row>
    <row r="1321" spans="3:5" x14ac:dyDescent="0.25">
      <c r="C1321" s="31">
        <f t="shared" ca="1" si="45"/>
        <v>49.354624723484676</v>
      </c>
      <c r="E1321">
        <v>58.196504884399516</v>
      </c>
    </row>
    <row r="1322" spans="3:5" x14ac:dyDescent="0.25">
      <c r="C1322" s="31">
        <f t="shared" ca="1" si="45"/>
        <v>58.940395918860432</v>
      </c>
      <c r="E1322">
        <v>57.901346907023111</v>
      </c>
    </row>
    <row r="1323" spans="3:5" x14ac:dyDescent="0.25">
      <c r="C1323" s="31">
        <f t="shared" ca="1" si="45"/>
        <v>64.350655278341648</v>
      </c>
      <c r="E1323">
        <v>48.719948274822514</v>
      </c>
    </row>
    <row r="1324" spans="3:5" x14ac:dyDescent="0.25">
      <c r="C1324" s="31">
        <f t="shared" ca="1" si="45"/>
        <v>51.083413667929442</v>
      </c>
      <c r="E1324">
        <v>65.363220179627604</v>
      </c>
    </row>
    <row r="1325" spans="3:5" x14ac:dyDescent="0.25">
      <c r="C1325" s="31">
        <f t="shared" ca="1" si="45"/>
        <v>67.203684154853377</v>
      </c>
      <c r="E1325">
        <v>41.889751799953501</v>
      </c>
    </row>
    <row r="1326" spans="3:5" x14ac:dyDescent="0.25">
      <c r="C1326" s="31">
        <f t="shared" ca="1" si="45"/>
        <v>83.714538702768721</v>
      </c>
      <c r="E1326">
        <v>63.116250681088964</v>
      </c>
    </row>
    <row r="1327" spans="3:5" x14ac:dyDescent="0.25">
      <c r="C1327" s="31">
        <f t="shared" ca="1" si="45"/>
        <v>64.019534105562784</v>
      </c>
      <c r="E1327">
        <v>60.111069006993134</v>
      </c>
    </row>
    <row r="1328" spans="3:5" x14ac:dyDescent="0.25">
      <c r="C1328" s="31">
        <f t="shared" ca="1" si="45"/>
        <v>55.041878532558691</v>
      </c>
      <c r="E1328">
        <v>78.799900415300158</v>
      </c>
    </row>
    <row r="1329" spans="3:5" x14ac:dyDescent="0.25">
      <c r="C1329" s="31">
        <f t="shared" ca="1" si="45"/>
        <v>51.854081915351671</v>
      </c>
      <c r="E1329">
        <v>84.707926693974372</v>
      </c>
    </row>
    <row r="1330" spans="3:5" x14ac:dyDescent="0.25">
      <c r="C1330" s="31">
        <f t="shared" ca="1" si="45"/>
        <v>61.436694263312916</v>
      </c>
      <c r="E1330">
        <v>58.203867752789826</v>
      </c>
    </row>
    <row r="1331" spans="3:5" x14ac:dyDescent="0.25">
      <c r="C1331" s="31">
        <f t="shared" ca="1" si="45"/>
        <v>72.881070532617201</v>
      </c>
      <c r="E1331">
        <v>47.479093013136421</v>
      </c>
    </row>
    <row r="1332" spans="3:5" x14ac:dyDescent="0.25">
      <c r="C1332" s="31">
        <f t="shared" ca="1" si="45"/>
        <v>79.792378061061697</v>
      </c>
      <c r="E1332">
        <v>62.69786372931496</v>
      </c>
    </row>
    <row r="1333" spans="3:5" x14ac:dyDescent="0.25">
      <c r="C1333" s="31">
        <f t="shared" ca="1" si="45"/>
        <v>46.101529924835816</v>
      </c>
      <c r="E1333">
        <v>62.647401686814689</v>
      </c>
    </row>
    <row r="1334" spans="3:5" x14ac:dyDescent="0.25">
      <c r="C1334" s="31">
        <f t="shared" ca="1" si="45"/>
        <v>63.510161415340932</v>
      </c>
      <c r="E1334">
        <v>67.19991244902711</v>
      </c>
    </row>
    <row r="1335" spans="3:5" x14ac:dyDescent="0.25">
      <c r="C1335" s="31">
        <f t="shared" ca="1" si="45"/>
        <v>45.32453932041085</v>
      </c>
      <c r="E1335">
        <v>60.948265151902092</v>
      </c>
    </row>
    <row r="1336" spans="3:5" x14ac:dyDescent="0.25">
      <c r="C1336" s="31">
        <f t="shared" ca="1" si="45"/>
        <v>62.686889991420323</v>
      </c>
      <c r="E1336">
        <v>61.230399379406819</v>
      </c>
    </row>
    <row r="1337" spans="3:5" x14ac:dyDescent="0.25">
      <c r="C1337" s="31">
        <f t="shared" ca="1" si="45"/>
        <v>71.845329969989706</v>
      </c>
      <c r="E1337">
        <v>57.756758839673921</v>
      </c>
    </row>
    <row r="1338" spans="3:5" x14ac:dyDescent="0.25">
      <c r="C1338" s="31">
        <f t="shared" ca="1" si="45"/>
        <v>54.349801027819559</v>
      </c>
      <c r="E1338">
        <v>53.804797833656025</v>
      </c>
    </row>
    <row r="1339" spans="3:5" x14ac:dyDescent="0.25">
      <c r="C1339" s="31">
        <f t="shared" ca="1" si="45"/>
        <v>69.014379815309809</v>
      </c>
      <c r="E1339">
        <v>73.097896451077261</v>
      </c>
    </row>
    <row r="1340" spans="3:5" x14ac:dyDescent="0.25">
      <c r="C1340" s="31">
        <f t="shared" ca="1" si="45"/>
        <v>65.944380012630745</v>
      </c>
      <c r="E1340">
        <v>69.413996347763629</v>
      </c>
    </row>
    <row r="1341" spans="3:5" x14ac:dyDescent="0.25">
      <c r="C1341" s="31">
        <f t="shared" ca="1" si="45"/>
        <v>74.534317855856372</v>
      </c>
      <c r="E1341">
        <v>51.493718370651948</v>
      </c>
    </row>
    <row r="1342" spans="3:5" x14ac:dyDescent="0.25">
      <c r="C1342" s="31">
        <f t="shared" ref="C1342:C1405" ca="1" si="46">_xlfn.NORM.INV(RAND(),C$4,C$5)</f>
        <v>53.932775984256651</v>
      </c>
      <c r="E1342">
        <v>69.466631762992677</v>
      </c>
    </row>
    <row r="1343" spans="3:5" x14ac:dyDescent="0.25">
      <c r="C1343" s="31">
        <f t="shared" ca="1" si="46"/>
        <v>58.097618651154377</v>
      </c>
      <c r="E1343">
        <v>69.761467168784321</v>
      </c>
    </row>
    <row r="1344" spans="3:5" x14ac:dyDescent="0.25">
      <c r="C1344" s="31">
        <f t="shared" ca="1" si="46"/>
        <v>71.442977281076622</v>
      </c>
      <c r="E1344">
        <v>77.060790824412848</v>
      </c>
    </row>
    <row r="1345" spans="3:5" x14ac:dyDescent="0.25">
      <c r="C1345" s="31">
        <f t="shared" ca="1" si="46"/>
        <v>49.574126880351557</v>
      </c>
      <c r="E1345">
        <v>63.315906701038777</v>
      </c>
    </row>
    <row r="1346" spans="3:5" x14ac:dyDescent="0.25">
      <c r="C1346" s="31">
        <f t="shared" ca="1" si="46"/>
        <v>79.170250516142104</v>
      </c>
      <c r="E1346">
        <v>55.499850360509654</v>
      </c>
    </row>
    <row r="1347" spans="3:5" x14ac:dyDescent="0.25">
      <c r="C1347" s="31">
        <f t="shared" ca="1" si="46"/>
        <v>59.970723822274621</v>
      </c>
      <c r="E1347">
        <v>58.06654773279076</v>
      </c>
    </row>
    <row r="1348" spans="3:5" x14ac:dyDescent="0.25">
      <c r="C1348" s="31">
        <f t="shared" ca="1" si="46"/>
        <v>66.618447107654532</v>
      </c>
      <c r="E1348">
        <v>58.250970969009565</v>
      </c>
    </row>
    <row r="1349" spans="3:5" x14ac:dyDescent="0.25">
      <c r="C1349" s="31">
        <f t="shared" ca="1" si="46"/>
        <v>41.681706456281134</v>
      </c>
      <c r="E1349">
        <v>74.637030598880358</v>
      </c>
    </row>
    <row r="1350" spans="3:5" x14ac:dyDescent="0.25">
      <c r="C1350" s="31">
        <f t="shared" ca="1" si="46"/>
        <v>85.483721255939315</v>
      </c>
      <c r="E1350">
        <v>49.673734546677707</v>
      </c>
    </row>
    <row r="1351" spans="3:5" x14ac:dyDescent="0.25">
      <c r="C1351" s="31">
        <f t="shared" ca="1" si="46"/>
        <v>56.263235434867752</v>
      </c>
      <c r="E1351">
        <v>68.299223186838177</v>
      </c>
    </row>
    <row r="1352" spans="3:5" x14ac:dyDescent="0.25">
      <c r="C1352" s="31">
        <f t="shared" ca="1" si="46"/>
        <v>47.612283726049931</v>
      </c>
      <c r="E1352">
        <v>62.911451965743524</v>
      </c>
    </row>
    <row r="1353" spans="3:5" x14ac:dyDescent="0.25">
      <c r="C1353" s="31">
        <f t="shared" ca="1" si="46"/>
        <v>78.156153292466385</v>
      </c>
      <c r="E1353">
        <v>64.873960843064239</v>
      </c>
    </row>
    <row r="1354" spans="3:5" x14ac:dyDescent="0.25">
      <c r="C1354" s="31">
        <f t="shared" ca="1" si="46"/>
        <v>57.426494853263563</v>
      </c>
      <c r="E1354">
        <v>65.550747374922736</v>
      </c>
    </row>
    <row r="1355" spans="3:5" x14ac:dyDescent="0.25">
      <c r="C1355" s="31">
        <f t="shared" ca="1" si="46"/>
        <v>61.171910851573656</v>
      </c>
      <c r="E1355">
        <v>51.210739335962401</v>
      </c>
    </row>
    <row r="1356" spans="3:5" x14ac:dyDescent="0.25">
      <c r="C1356" s="31">
        <f t="shared" ca="1" si="46"/>
        <v>62.835319711675226</v>
      </c>
      <c r="E1356">
        <v>62.028300549581942</v>
      </c>
    </row>
    <row r="1357" spans="3:5" x14ac:dyDescent="0.25">
      <c r="C1357" s="31">
        <f t="shared" ca="1" si="46"/>
        <v>64.172122183673139</v>
      </c>
      <c r="E1357">
        <v>72.250676930433016</v>
      </c>
    </row>
    <row r="1358" spans="3:5" x14ac:dyDescent="0.25">
      <c r="C1358" s="31">
        <f t="shared" ca="1" si="46"/>
        <v>58.054187491292197</v>
      </c>
      <c r="E1358">
        <v>49.113048176512933</v>
      </c>
    </row>
    <row r="1359" spans="3:5" x14ac:dyDescent="0.25">
      <c r="C1359" s="31">
        <f t="shared" ca="1" si="46"/>
        <v>48.926828941120107</v>
      </c>
      <c r="E1359">
        <v>69.867854410748933</v>
      </c>
    </row>
    <row r="1360" spans="3:5" x14ac:dyDescent="0.25">
      <c r="C1360" s="31">
        <f t="shared" ca="1" si="46"/>
        <v>59.498551322869567</v>
      </c>
      <c r="E1360">
        <v>80.341073334615118</v>
      </c>
    </row>
    <row r="1361" spans="3:5" x14ac:dyDescent="0.25">
      <c r="C1361" s="31">
        <f t="shared" ca="1" si="46"/>
        <v>61.005997860166559</v>
      </c>
      <c r="E1361">
        <v>70.901522018832026</v>
      </c>
    </row>
    <row r="1362" spans="3:5" x14ac:dyDescent="0.25">
      <c r="C1362" s="31">
        <f t="shared" ca="1" si="46"/>
        <v>56.495013191219705</v>
      </c>
      <c r="E1362">
        <v>58.941646122530429</v>
      </c>
    </row>
    <row r="1363" spans="3:5" x14ac:dyDescent="0.25">
      <c r="C1363" s="31">
        <f t="shared" ca="1" si="46"/>
        <v>54.537969387499984</v>
      </c>
      <c r="E1363">
        <v>48.23764029136337</v>
      </c>
    </row>
    <row r="1364" spans="3:5" x14ac:dyDescent="0.25">
      <c r="C1364" s="31">
        <f t="shared" ca="1" si="46"/>
        <v>66.468878002342137</v>
      </c>
      <c r="E1364">
        <v>54.222994103806109</v>
      </c>
    </row>
    <row r="1365" spans="3:5" x14ac:dyDescent="0.25">
      <c r="C1365" s="31">
        <f t="shared" ca="1" si="46"/>
        <v>64.155715910586011</v>
      </c>
      <c r="E1365">
        <v>79.035250102770192</v>
      </c>
    </row>
    <row r="1366" spans="3:5" x14ac:dyDescent="0.25">
      <c r="C1366" s="31">
        <f t="shared" ca="1" si="46"/>
        <v>46.568129957761592</v>
      </c>
      <c r="E1366">
        <v>46.110041717313948</v>
      </c>
    </row>
    <row r="1367" spans="3:5" x14ac:dyDescent="0.25">
      <c r="C1367" s="31">
        <f t="shared" ca="1" si="46"/>
        <v>49.42366456999283</v>
      </c>
      <c r="E1367">
        <v>67.453966795589011</v>
      </c>
    </row>
    <row r="1368" spans="3:5" x14ac:dyDescent="0.25">
      <c r="C1368" s="31">
        <f t="shared" ca="1" si="46"/>
        <v>59.870455606365894</v>
      </c>
      <c r="E1368">
        <v>71.780718617180824</v>
      </c>
    </row>
    <row r="1369" spans="3:5" x14ac:dyDescent="0.25">
      <c r="C1369" s="31">
        <f t="shared" ca="1" si="46"/>
        <v>56.468769889116231</v>
      </c>
      <c r="E1369">
        <v>50.278844978509973</v>
      </c>
    </row>
    <row r="1370" spans="3:5" x14ac:dyDescent="0.25">
      <c r="C1370" s="31">
        <f t="shared" ca="1" si="46"/>
        <v>60.785630218137179</v>
      </c>
      <c r="E1370">
        <v>72.476187254632976</v>
      </c>
    </row>
    <row r="1371" spans="3:5" x14ac:dyDescent="0.25">
      <c r="C1371" s="31">
        <f t="shared" ca="1" si="46"/>
        <v>51.483057511571118</v>
      </c>
      <c r="E1371">
        <v>63.062782606935656</v>
      </c>
    </row>
    <row r="1372" spans="3:5" x14ac:dyDescent="0.25">
      <c r="C1372" s="31">
        <f t="shared" ca="1" si="46"/>
        <v>53.669348434712909</v>
      </c>
      <c r="E1372">
        <v>74.905020002130897</v>
      </c>
    </row>
    <row r="1373" spans="3:5" x14ac:dyDescent="0.25">
      <c r="C1373" s="31">
        <f t="shared" ca="1" si="46"/>
        <v>54.160298431075248</v>
      </c>
      <c r="E1373">
        <v>54.932089656592488</v>
      </c>
    </row>
    <row r="1374" spans="3:5" x14ac:dyDescent="0.25">
      <c r="C1374" s="31">
        <f t="shared" ca="1" si="46"/>
        <v>68.895124350897461</v>
      </c>
      <c r="E1374">
        <v>62.749039939619642</v>
      </c>
    </row>
    <row r="1375" spans="3:5" x14ac:dyDescent="0.25">
      <c r="C1375" s="31">
        <f t="shared" ca="1" si="46"/>
        <v>53.249376854675525</v>
      </c>
      <c r="E1375">
        <v>64.64052602320163</v>
      </c>
    </row>
    <row r="1376" spans="3:5" x14ac:dyDescent="0.25">
      <c r="C1376" s="31">
        <f t="shared" ca="1" si="46"/>
        <v>53.181634989921712</v>
      </c>
      <c r="E1376">
        <v>59.834645795453426</v>
      </c>
    </row>
    <row r="1377" spans="3:5" x14ac:dyDescent="0.25">
      <c r="C1377" s="31">
        <f t="shared" ca="1" si="46"/>
        <v>71.2111323938895</v>
      </c>
      <c r="E1377">
        <v>31.771150939318289</v>
      </c>
    </row>
    <row r="1378" spans="3:5" x14ac:dyDescent="0.25">
      <c r="C1378" s="31">
        <f t="shared" ca="1" si="46"/>
        <v>52.674791796306906</v>
      </c>
      <c r="E1378">
        <v>70.821408300801053</v>
      </c>
    </row>
    <row r="1379" spans="3:5" x14ac:dyDescent="0.25">
      <c r="C1379" s="31">
        <f t="shared" ca="1" si="46"/>
        <v>60.051600616443842</v>
      </c>
      <c r="E1379">
        <v>64.230596159996225</v>
      </c>
    </row>
    <row r="1380" spans="3:5" x14ac:dyDescent="0.25">
      <c r="C1380" s="31">
        <f t="shared" ca="1" si="46"/>
        <v>47.140575781724863</v>
      </c>
      <c r="E1380">
        <v>46.496721387679571</v>
      </c>
    </row>
    <row r="1381" spans="3:5" x14ac:dyDescent="0.25">
      <c r="C1381" s="31">
        <f t="shared" ca="1" si="46"/>
        <v>79.443103624752325</v>
      </c>
      <c r="E1381">
        <v>57.682206706203033</v>
      </c>
    </row>
    <row r="1382" spans="3:5" x14ac:dyDescent="0.25">
      <c r="C1382" s="31">
        <f t="shared" ca="1" si="46"/>
        <v>62.284855725692665</v>
      </c>
      <c r="E1382">
        <v>57.62264429888409</v>
      </c>
    </row>
    <row r="1383" spans="3:5" x14ac:dyDescent="0.25">
      <c r="C1383" s="31">
        <f t="shared" ca="1" si="46"/>
        <v>58.830740700324277</v>
      </c>
      <c r="E1383">
        <v>58.159631719912973</v>
      </c>
    </row>
    <row r="1384" spans="3:5" x14ac:dyDescent="0.25">
      <c r="C1384" s="31">
        <f t="shared" ca="1" si="46"/>
        <v>64.067154575664119</v>
      </c>
      <c r="E1384">
        <v>75.104434097698913</v>
      </c>
    </row>
    <row r="1385" spans="3:5" x14ac:dyDescent="0.25">
      <c r="C1385" s="31">
        <f t="shared" ca="1" si="46"/>
        <v>43.652019644049275</v>
      </c>
      <c r="E1385">
        <v>66.380322109017456</v>
      </c>
    </row>
    <row r="1386" spans="3:5" x14ac:dyDescent="0.25">
      <c r="C1386" s="31">
        <f t="shared" ca="1" si="46"/>
        <v>64.127403760356117</v>
      </c>
      <c r="E1386">
        <v>58.691167425248082</v>
      </c>
    </row>
    <row r="1387" spans="3:5" x14ac:dyDescent="0.25">
      <c r="C1387" s="31">
        <f t="shared" ca="1" si="46"/>
        <v>62.168664413418355</v>
      </c>
      <c r="E1387">
        <v>56.519147370063344</v>
      </c>
    </row>
    <row r="1388" spans="3:5" x14ac:dyDescent="0.25">
      <c r="C1388" s="31">
        <f t="shared" ca="1" si="46"/>
        <v>58.373704609078779</v>
      </c>
      <c r="E1388">
        <v>61.340237647935666</v>
      </c>
    </row>
    <row r="1389" spans="3:5" x14ac:dyDescent="0.25">
      <c r="C1389" s="31">
        <f t="shared" ca="1" si="46"/>
        <v>73.473220193227803</v>
      </c>
      <c r="E1389">
        <v>68.652844797602683</v>
      </c>
    </row>
    <row r="1390" spans="3:5" x14ac:dyDescent="0.25">
      <c r="C1390" s="31">
        <f t="shared" ca="1" si="46"/>
        <v>74.755924805833558</v>
      </c>
      <c r="E1390">
        <v>76.971318328796158</v>
      </c>
    </row>
    <row r="1391" spans="3:5" x14ac:dyDescent="0.25">
      <c r="C1391" s="31">
        <f t="shared" ca="1" si="46"/>
        <v>58.321983068384078</v>
      </c>
      <c r="E1391">
        <v>60.879287875762465</v>
      </c>
    </row>
    <row r="1392" spans="3:5" x14ac:dyDescent="0.25">
      <c r="C1392" s="31">
        <f t="shared" ca="1" si="46"/>
        <v>78.156441990294866</v>
      </c>
      <c r="E1392">
        <v>68.87230968208894</v>
      </c>
    </row>
    <row r="1393" spans="3:5" x14ac:dyDescent="0.25">
      <c r="C1393" s="31">
        <f t="shared" ca="1" si="46"/>
        <v>65.951632469389537</v>
      </c>
      <c r="E1393">
        <v>46.292259215244741</v>
      </c>
    </row>
    <row r="1394" spans="3:5" x14ac:dyDescent="0.25">
      <c r="C1394" s="31">
        <f t="shared" ca="1" si="46"/>
        <v>56.283241548831285</v>
      </c>
      <c r="E1394">
        <v>65.700244367888331</v>
      </c>
    </row>
    <row r="1395" spans="3:5" x14ac:dyDescent="0.25">
      <c r="C1395" s="31">
        <f t="shared" ca="1" si="46"/>
        <v>48.787830463566891</v>
      </c>
      <c r="E1395">
        <v>47.291680121516215</v>
      </c>
    </row>
    <row r="1396" spans="3:5" x14ac:dyDescent="0.25">
      <c r="C1396" s="31">
        <f t="shared" ca="1" si="46"/>
        <v>47.981011461990214</v>
      </c>
      <c r="E1396">
        <v>66.796211320418749</v>
      </c>
    </row>
    <row r="1397" spans="3:5" x14ac:dyDescent="0.25">
      <c r="C1397" s="31">
        <f t="shared" ca="1" si="46"/>
        <v>75.389331100665146</v>
      </c>
      <c r="E1397">
        <v>56.6347525381086</v>
      </c>
    </row>
    <row r="1398" spans="3:5" x14ac:dyDescent="0.25">
      <c r="C1398" s="31">
        <f t="shared" ca="1" si="46"/>
        <v>67.537792599044479</v>
      </c>
      <c r="E1398">
        <v>79.416832047454392</v>
      </c>
    </row>
    <row r="1399" spans="3:5" x14ac:dyDescent="0.25">
      <c r="C1399" s="31">
        <f t="shared" ca="1" si="46"/>
        <v>58.425418871023993</v>
      </c>
      <c r="E1399">
        <v>60.09475376296669</v>
      </c>
    </row>
    <row r="1400" spans="3:5" x14ac:dyDescent="0.25">
      <c r="C1400" s="31">
        <f t="shared" ca="1" si="46"/>
        <v>65.283753757820563</v>
      </c>
      <c r="E1400">
        <v>47.74427594216079</v>
      </c>
    </row>
    <row r="1401" spans="3:5" x14ac:dyDescent="0.25">
      <c r="C1401" s="31">
        <f t="shared" ca="1" si="46"/>
        <v>66.246725631260375</v>
      </c>
      <c r="E1401">
        <v>66.754073632829488</v>
      </c>
    </row>
    <row r="1402" spans="3:5" x14ac:dyDescent="0.25">
      <c r="C1402" s="31">
        <f t="shared" ca="1" si="46"/>
        <v>77.462758016690103</v>
      </c>
      <c r="E1402">
        <v>61.442313362092726</v>
      </c>
    </row>
    <row r="1403" spans="3:5" x14ac:dyDescent="0.25">
      <c r="C1403" s="31">
        <f t="shared" ca="1" si="46"/>
        <v>66.780959004329162</v>
      </c>
      <c r="E1403">
        <v>66.6214641592845</v>
      </c>
    </row>
    <row r="1404" spans="3:5" x14ac:dyDescent="0.25">
      <c r="C1404" s="31">
        <f t="shared" ca="1" si="46"/>
        <v>61.910983812143904</v>
      </c>
      <c r="E1404">
        <v>65.476509720327243</v>
      </c>
    </row>
    <row r="1405" spans="3:5" x14ac:dyDescent="0.25">
      <c r="C1405" s="31">
        <f t="shared" ca="1" si="46"/>
        <v>57.842118022711126</v>
      </c>
      <c r="E1405">
        <v>51.057922707410768</v>
      </c>
    </row>
    <row r="1406" spans="3:5" x14ac:dyDescent="0.25">
      <c r="C1406" s="31">
        <f t="shared" ref="C1406:C1424" ca="1" si="47">_xlfn.NORM.INV(RAND(),C$4,C$5)</f>
        <v>73.575324896547485</v>
      </c>
      <c r="E1406">
        <v>60.344608570721192</v>
      </c>
    </row>
    <row r="1407" spans="3:5" x14ac:dyDescent="0.25">
      <c r="C1407" s="31">
        <f t="shared" ca="1" si="47"/>
        <v>66.366134609158678</v>
      </c>
      <c r="E1407">
        <v>62.84323063598157</v>
      </c>
    </row>
    <row r="1408" spans="3:5" x14ac:dyDescent="0.25">
      <c r="C1408" s="31">
        <f t="shared" ca="1" si="47"/>
        <v>60.802744390850307</v>
      </c>
      <c r="E1408">
        <v>68.520647424855184</v>
      </c>
    </row>
    <row r="1409" spans="3:5" x14ac:dyDescent="0.25">
      <c r="C1409" s="31">
        <f t="shared" ca="1" si="47"/>
        <v>44.591882310484387</v>
      </c>
      <c r="E1409">
        <v>44.691681660945932</v>
      </c>
    </row>
    <row r="1410" spans="3:5" x14ac:dyDescent="0.25">
      <c r="C1410" s="31">
        <f t="shared" ca="1" si="47"/>
        <v>45.19531775374854</v>
      </c>
      <c r="E1410">
        <v>58.247831478323818</v>
      </c>
    </row>
    <row r="1411" spans="3:5" x14ac:dyDescent="0.25">
      <c r="C1411" s="31">
        <f t="shared" ca="1" si="47"/>
        <v>65.237184179536513</v>
      </c>
      <c r="E1411">
        <v>67.154854514880455</v>
      </c>
    </row>
    <row r="1412" spans="3:5" x14ac:dyDescent="0.25">
      <c r="C1412" s="31">
        <f t="shared" ca="1" si="47"/>
        <v>54.126330518950326</v>
      </c>
      <c r="E1412">
        <v>34.563431396777744</v>
      </c>
    </row>
    <row r="1413" spans="3:5" x14ac:dyDescent="0.25">
      <c r="C1413" s="31">
        <f t="shared" ca="1" si="47"/>
        <v>57.986743085983704</v>
      </c>
      <c r="E1413">
        <v>81.356330998190685</v>
      </c>
    </row>
    <row r="1414" spans="3:5" x14ac:dyDescent="0.25">
      <c r="C1414" s="31">
        <f t="shared" ca="1" si="47"/>
        <v>52.153093815643679</v>
      </c>
      <c r="E1414">
        <v>67.930564887253652</v>
      </c>
    </row>
    <row r="1415" spans="3:5" x14ac:dyDescent="0.25">
      <c r="C1415" s="31">
        <f t="shared" ca="1" si="47"/>
        <v>64.602460985903505</v>
      </c>
      <c r="E1415">
        <v>57.840126151058008</v>
      </c>
    </row>
    <row r="1416" spans="3:5" x14ac:dyDescent="0.25">
      <c r="C1416" s="31">
        <f t="shared" ca="1" si="47"/>
        <v>55.693125234342439</v>
      </c>
      <c r="E1416">
        <v>56.579528894471181</v>
      </c>
    </row>
    <row r="1417" spans="3:5" x14ac:dyDescent="0.25">
      <c r="C1417" s="31">
        <f t="shared" ca="1" si="47"/>
        <v>66.440411817413434</v>
      </c>
      <c r="E1417">
        <v>60.558605056359276</v>
      </c>
    </row>
    <row r="1418" spans="3:5" x14ac:dyDescent="0.25">
      <c r="C1418" s="31">
        <f t="shared" ca="1" si="47"/>
        <v>68.985027794024617</v>
      </c>
      <c r="E1418">
        <v>65.654748387475635</v>
      </c>
    </row>
    <row r="1419" spans="3:5" x14ac:dyDescent="0.25">
      <c r="C1419" s="31">
        <f t="shared" ca="1" si="47"/>
        <v>64.299898521175948</v>
      </c>
      <c r="E1419">
        <v>56.103949004229342</v>
      </c>
    </row>
    <row r="1420" spans="3:5" x14ac:dyDescent="0.25">
      <c r="C1420" s="31">
        <f t="shared" ca="1" si="47"/>
        <v>57.25456666739516</v>
      </c>
      <c r="E1420">
        <v>51.713776928662185</v>
      </c>
    </row>
    <row r="1421" spans="3:5" x14ac:dyDescent="0.25">
      <c r="C1421" s="31">
        <f t="shared" ca="1" si="47"/>
        <v>42.180361389899105</v>
      </c>
      <c r="E1421">
        <v>54.015288875857962</v>
      </c>
    </row>
    <row r="1422" spans="3:5" x14ac:dyDescent="0.25">
      <c r="C1422" s="31">
        <f t="shared" ca="1" si="47"/>
        <v>71.906359092464058</v>
      </c>
      <c r="E1422">
        <v>67.899327580146888</v>
      </c>
    </row>
    <row r="1423" spans="3:5" x14ac:dyDescent="0.25">
      <c r="C1423" s="31">
        <f t="shared" ca="1" si="47"/>
        <v>74.474740255575753</v>
      </c>
      <c r="E1423">
        <v>76.169973498471535</v>
      </c>
    </row>
    <row r="1424" spans="3:5" x14ac:dyDescent="0.25">
      <c r="C1424" s="31">
        <f t="shared" ca="1" si="47"/>
        <v>66.020107568109594</v>
      </c>
      <c r="E1424">
        <v>56.808119504839276</v>
      </c>
    </row>
  </sheetData>
  <mergeCells count="5">
    <mergeCell ref="J4:K4"/>
    <mergeCell ref="L4:M4"/>
    <mergeCell ref="C12:D13"/>
    <mergeCell ref="E12:F13"/>
    <mergeCell ref="H4:I4"/>
  </mergeCells>
  <conditionalFormatting sqref="O7:AT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:AT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:AT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Scroll Bar 1">
              <controlPr defaultSize="0" autoPict="0">
                <anchor moveWithCells="1">
                  <from>
                    <xdr:col>9</xdr:col>
                    <xdr:colOff>123825</xdr:colOff>
                    <xdr:row>8</xdr:row>
                    <xdr:rowOff>133350</xdr:rowOff>
                  </from>
                  <to>
                    <xdr:col>9</xdr:col>
                    <xdr:colOff>542925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Scroll Bar 2">
              <controlPr defaultSize="0" autoPict="0">
                <anchor moveWithCells="1">
                  <from>
                    <xdr:col>10</xdr:col>
                    <xdr:colOff>95250</xdr:colOff>
                    <xdr:row>8</xdr:row>
                    <xdr:rowOff>133350</xdr:rowOff>
                  </from>
                  <to>
                    <xdr:col>10</xdr:col>
                    <xdr:colOff>514350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Scroll Bar 3">
              <controlPr defaultSize="0" autoPict="0">
                <anchor moveWithCells="1">
                  <from>
                    <xdr:col>11</xdr:col>
                    <xdr:colOff>133350</xdr:colOff>
                    <xdr:row>8</xdr:row>
                    <xdr:rowOff>133350</xdr:rowOff>
                  </from>
                  <to>
                    <xdr:col>11</xdr:col>
                    <xdr:colOff>552450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Scroll Bar 4">
              <controlPr defaultSize="0" autoPict="0">
                <anchor moveWithCells="1">
                  <from>
                    <xdr:col>12</xdr:col>
                    <xdr:colOff>123825</xdr:colOff>
                    <xdr:row>8</xdr:row>
                    <xdr:rowOff>133350</xdr:rowOff>
                  </from>
                  <to>
                    <xdr:col>12</xdr:col>
                    <xdr:colOff>542925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Scroll Bar 5">
              <controlPr defaultSize="0" autoPict="0">
                <anchor moveWithCells="1">
                  <from>
                    <xdr:col>7</xdr:col>
                    <xdr:colOff>647700</xdr:colOff>
                    <xdr:row>8</xdr:row>
                    <xdr:rowOff>123825</xdr:rowOff>
                  </from>
                  <to>
                    <xdr:col>8</xdr:col>
                    <xdr:colOff>209550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536"/>
  <sheetViews>
    <sheetView showGridLines="0" zoomScale="80" zoomScaleNormal="80" workbookViewId="0">
      <selection activeCell="Q20" sqref="Q20"/>
    </sheetView>
  </sheetViews>
  <sheetFormatPr defaultRowHeight="15" x14ac:dyDescent="0.25"/>
  <cols>
    <col min="1" max="2" width="10.7109375" customWidth="1"/>
    <col min="3" max="4" width="13.28515625" customWidth="1"/>
    <col min="5" max="6" width="15.7109375" customWidth="1"/>
    <col min="9" max="9" width="13.85546875" bestFit="1" customWidth="1"/>
    <col min="19" max="19" width="12" bestFit="1" customWidth="1"/>
  </cols>
  <sheetData>
    <row r="1" spans="1:13" thickBot="1" x14ac:dyDescent="0.35">
      <c r="B1" s="5"/>
      <c r="C1" s="73"/>
      <c r="D1" s="73"/>
      <c r="J1">
        <v>1</v>
      </c>
      <c r="K1">
        <v>1</v>
      </c>
      <c r="L1">
        <v>1</v>
      </c>
      <c r="M1">
        <v>1</v>
      </c>
    </row>
    <row r="2" spans="1:13" ht="39" customHeight="1" thickBot="1" x14ac:dyDescent="0.35">
      <c r="C2" s="167" t="s">
        <v>54</v>
      </c>
      <c r="D2" s="168"/>
      <c r="E2" s="167" t="s">
        <v>49</v>
      </c>
      <c r="F2" s="168"/>
    </row>
    <row r="3" spans="1:13" x14ac:dyDescent="0.25">
      <c r="A3" s="34" t="s">
        <v>46</v>
      </c>
      <c r="B3" s="35" t="s">
        <v>47</v>
      </c>
      <c r="C3" s="26" t="s">
        <v>68</v>
      </c>
      <c r="D3" s="74" t="s">
        <v>69</v>
      </c>
      <c r="E3" s="63" t="s">
        <v>66</v>
      </c>
      <c r="F3" s="63" t="s">
        <v>67</v>
      </c>
    </row>
    <row r="4" spans="1:13" ht="14.45" x14ac:dyDescent="0.3">
      <c r="A4" s="87">
        <v>0</v>
      </c>
      <c r="B4" s="88">
        <v>2</v>
      </c>
      <c r="C4" s="111">
        <f t="shared" ref="C4:C16" si="0">_xlfn.NORM.DIST(B4,C$45,C$46,FALSE)</f>
        <v>1.7587495425951039E-70</v>
      </c>
      <c r="D4" s="112">
        <f t="shared" ref="D4:D16" si="1">_xlfn.NORM.DIST(B4,D$45,D$46,FALSE)</f>
        <v>1.2238038602275438E-3</v>
      </c>
      <c r="E4" s="39">
        <f t="shared" ref="E4:E16" si="2">(C4*C$47)/((C4*C$47)+(D4*D$47))</f>
        <v>1.4516335069899957E-69</v>
      </c>
      <c r="F4" s="37">
        <f>1-E4</f>
        <v>1</v>
      </c>
    </row>
    <row r="5" spans="1:13" ht="14.45" x14ac:dyDescent="0.3">
      <c r="A5" s="87">
        <v>0</v>
      </c>
      <c r="B5" s="88">
        <v>3</v>
      </c>
      <c r="C5" s="111">
        <f t="shared" si="0"/>
        <v>2.2775774787369201E-170</v>
      </c>
      <c r="D5" s="112">
        <f t="shared" si="1"/>
        <v>1.2365241000331715E-7</v>
      </c>
      <c r="E5" s="39">
        <f t="shared" si="2"/>
        <v>1.8605244425027857E-165</v>
      </c>
      <c r="F5" s="37">
        <f t="shared" ref="F5:F16" si="3">1-E5</f>
        <v>1</v>
      </c>
    </row>
    <row r="6" spans="1:13" ht="14.45" x14ac:dyDescent="0.3">
      <c r="A6" s="87">
        <v>0</v>
      </c>
      <c r="B6" s="88">
        <v>4</v>
      </c>
      <c r="C6" s="111">
        <f t="shared" si="0"/>
        <v>0</v>
      </c>
      <c r="D6" s="112">
        <f t="shared" si="1"/>
        <v>2.2883129803602739E-13</v>
      </c>
      <c r="E6" s="39">
        <f t="shared" si="2"/>
        <v>0</v>
      </c>
      <c r="F6" s="37">
        <f t="shared" si="3"/>
        <v>1</v>
      </c>
    </row>
    <row r="7" spans="1:13" ht="14.45" x14ac:dyDescent="0.3">
      <c r="A7" s="87">
        <v>0</v>
      </c>
      <c r="B7" s="88">
        <v>7</v>
      </c>
      <c r="C7" s="111">
        <f t="shared" si="0"/>
        <v>0</v>
      </c>
      <c r="D7" s="112">
        <f t="shared" si="1"/>
        <v>5.4750283847106169E-41</v>
      </c>
      <c r="E7" s="39">
        <f t="shared" si="2"/>
        <v>0</v>
      </c>
      <c r="F7" s="37">
        <f t="shared" si="3"/>
        <v>1</v>
      </c>
    </row>
    <row r="8" spans="1:13" ht="14.45" x14ac:dyDescent="0.3">
      <c r="A8" s="87">
        <v>0</v>
      </c>
      <c r="B8" s="88">
        <v>15</v>
      </c>
      <c r="C8" s="111">
        <f t="shared" si="0"/>
        <v>0</v>
      </c>
      <c r="D8" s="112">
        <f t="shared" si="1"/>
        <v>4.4280593106745123E-191</v>
      </c>
      <c r="E8" s="39">
        <f t="shared" si="2"/>
        <v>0</v>
      </c>
      <c r="F8" s="37">
        <f t="shared" si="3"/>
        <v>1</v>
      </c>
    </row>
    <row r="9" spans="1:13" ht="14.45" x14ac:dyDescent="0.3">
      <c r="A9" s="87">
        <v>0</v>
      </c>
      <c r="B9" s="88">
        <v>16</v>
      </c>
      <c r="C9" s="111">
        <f t="shared" si="0"/>
        <v>0</v>
      </c>
      <c r="D9" s="112">
        <f t="shared" si="1"/>
        <v>1.1678609493011852E-217</v>
      </c>
      <c r="E9" s="39">
        <f t="shared" si="2"/>
        <v>0</v>
      </c>
      <c r="F9" s="37">
        <f t="shared" si="3"/>
        <v>1</v>
      </c>
    </row>
    <row r="10" spans="1:13" ht="14.45" x14ac:dyDescent="0.3">
      <c r="A10" s="87">
        <v>0</v>
      </c>
      <c r="B10" s="88">
        <v>17</v>
      </c>
      <c r="C10" s="111">
        <f t="shared" si="0"/>
        <v>0</v>
      </c>
      <c r="D10" s="112">
        <f t="shared" si="1"/>
        <v>5.6414522522053904E-246</v>
      </c>
      <c r="E10" s="39">
        <f t="shared" si="2"/>
        <v>0</v>
      </c>
      <c r="F10" s="37">
        <f t="shared" si="3"/>
        <v>1</v>
      </c>
    </row>
    <row r="11" spans="1:13" ht="14.45" x14ac:dyDescent="0.3">
      <c r="A11" s="87">
        <v>0</v>
      </c>
      <c r="B11" s="88">
        <v>17.5</v>
      </c>
      <c r="C11" s="111">
        <f t="shared" si="0"/>
        <v>0</v>
      </c>
      <c r="D11" s="112">
        <f t="shared" si="1"/>
        <v>8.7488119919334072E-261</v>
      </c>
      <c r="E11" s="39">
        <f t="shared" si="2"/>
        <v>0</v>
      </c>
      <c r="F11" s="37">
        <f t="shared" si="3"/>
        <v>1</v>
      </c>
    </row>
    <row r="12" spans="1:13" ht="14.45" x14ac:dyDescent="0.3">
      <c r="A12" s="87">
        <v>0</v>
      </c>
      <c r="B12" s="88">
        <v>18</v>
      </c>
      <c r="C12" s="111">
        <f t="shared" si="0"/>
        <v>0</v>
      </c>
      <c r="D12" s="112">
        <f t="shared" si="1"/>
        <v>4.9912896023144574E-276</v>
      </c>
      <c r="E12" s="39">
        <f t="shared" si="2"/>
        <v>0</v>
      </c>
      <c r="F12" s="37">
        <f t="shared" si="3"/>
        <v>1</v>
      </c>
    </row>
    <row r="13" spans="1:13" ht="14.45" x14ac:dyDescent="0.3">
      <c r="A13" s="87">
        <v>0</v>
      </c>
      <c r="B13" s="88">
        <v>19</v>
      </c>
      <c r="C13" s="111">
        <f t="shared" si="0"/>
        <v>0</v>
      </c>
      <c r="D13" s="112">
        <f t="shared" si="1"/>
        <v>8.0882896186964545E-308</v>
      </c>
      <c r="E13" s="39">
        <f t="shared" si="2"/>
        <v>0</v>
      </c>
      <c r="F13" s="37">
        <f t="shared" si="3"/>
        <v>1</v>
      </c>
    </row>
    <row r="14" spans="1:13" ht="14.45" x14ac:dyDescent="0.3">
      <c r="A14" s="87">
        <v>0</v>
      </c>
      <c r="B14" s="88">
        <v>20</v>
      </c>
      <c r="C14" s="111">
        <f t="shared" si="0"/>
        <v>0</v>
      </c>
      <c r="D14" s="112">
        <f t="shared" si="1"/>
        <v>0</v>
      </c>
      <c r="E14" s="39" t="e">
        <f t="shared" si="2"/>
        <v>#DIV/0!</v>
      </c>
      <c r="F14" s="37" t="e">
        <f t="shared" si="3"/>
        <v>#DIV/0!</v>
      </c>
    </row>
    <row r="15" spans="1:13" ht="14.45" x14ac:dyDescent="0.3">
      <c r="A15" s="87">
        <v>0</v>
      </c>
      <c r="B15" s="88">
        <v>21</v>
      </c>
      <c r="C15" s="111">
        <f t="shared" si="0"/>
        <v>0</v>
      </c>
      <c r="D15" s="112">
        <f t="shared" si="1"/>
        <v>0</v>
      </c>
      <c r="E15" s="39" t="e">
        <f t="shared" si="2"/>
        <v>#DIV/0!</v>
      </c>
      <c r="F15" s="37" t="e">
        <f t="shared" si="3"/>
        <v>#DIV/0!</v>
      </c>
    </row>
    <row r="16" spans="1:13" thickBot="1" x14ac:dyDescent="0.35">
      <c r="A16" s="89">
        <v>0</v>
      </c>
      <c r="B16" s="90">
        <v>22</v>
      </c>
      <c r="C16" s="113">
        <f t="shared" si="0"/>
        <v>0</v>
      </c>
      <c r="D16" s="114">
        <f t="shared" si="1"/>
        <v>0</v>
      </c>
      <c r="E16" s="41" t="e">
        <f t="shared" si="2"/>
        <v>#DIV/0!</v>
      </c>
      <c r="F16" s="38" t="e">
        <f t="shared" si="3"/>
        <v>#DIV/0!</v>
      </c>
    </row>
    <row r="18" spans="2:19" thickBot="1" x14ac:dyDescent="0.35"/>
    <row r="19" spans="2:19" ht="14.45" x14ac:dyDescent="0.3">
      <c r="B19" s="169" t="s">
        <v>42</v>
      </c>
      <c r="C19" s="170"/>
      <c r="D19" s="171" t="s">
        <v>70</v>
      </c>
      <c r="E19" s="172"/>
      <c r="F19" s="173" t="s">
        <v>71</v>
      </c>
      <c r="G19" s="172"/>
    </row>
    <row r="20" spans="2:19" x14ac:dyDescent="0.25">
      <c r="B20" s="91" t="s">
        <v>19</v>
      </c>
      <c r="C20" s="92" t="s">
        <v>20</v>
      </c>
      <c r="D20" s="93" t="s">
        <v>7</v>
      </c>
      <c r="E20" s="94" t="s">
        <v>8</v>
      </c>
      <c r="F20" s="95" t="s">
        <v>7</v>
      </c>
      <c r="G20" s="94" t="s">
        <v>8</v>
      </c>
    </row>
    <row r="21" spans="2:19" ht="14.45" x14ac:dyDescent="0.3">
      <c r="B21" s="96">
        <f>C39/100</f>
        <v>0.01</v>
      </c>
      <c r="C21" s="97">
        <f>1-B21</f>
        <v>0.99</v>
      </c>
      <c r="D21" s="98">
        <f>D39/5</f>
        <v>0.2</v>
      </c>
      <c r="E21" s="99">
        <f>E39/10</f>
        <v>0.1</v>
      </c>
      <c r="F21" s="100">
        <f>F39/5</f>
        <v>0.2</v>
      </c>
      <c r="G21" s="99">
        <f>G39/10</f>
        <v>0.5</v>
      </c>
    </row>
    <row r="22" spans="2:19" ht="14.45" x14ac:dyDescent="0.3">
      <c r="B22" s="101"/>
      <c r="C22" s="102"/>
      <c r="D22" s="103"/>
      <c r="E22" s="104"/>
      <c r="F22" s="105"/>
      <c r="G22" s="102"/>
      <c r="I22">
        <v>24</v>
      </c>
    </row>
    <row r="23" spans="2:19" ht="14.45" x14ac:dyDescent="0.3">
      <c r="B23" s="101"/>
      <c r="C23" s="104"/>
      <c r="D23" s="103"/>
      <c r="E23" s="104"/>
      <c r="F23" s="105"/>
      <c r="G23" s="102"/>
    </row>
    <row r="24" spans="2:19" ht="14.45" x14ac:dyDescent="0.3">
      <c r="B24" s="101"/>
      <c r="C24" s="104"/>
      <c r="D24" s="103"/>
      <c r="E24" s="104"/>
      <c r="F24" s="105"/>
      <c r="G24" s="102"/>
    </row>
    <row r="25" spans="2:19" ht="14.45" x14ac:dyDescent="0.3">
      <c r="B25" s="101"/>
      <c r="C25" s="104"/>
      <c r="D25" s="103"/>
      <c r="E25" s="104"/>
      <c r="F25" s="105"/>
      <c r="G25" s="102"/>
    </row>
    <row r="26" spans="2:19" ht="14.45" x14ac:dyDescent="0.3">
      <c r="B26" s="101"/>
      <c r="C26" s="104"/>
      <c r="D26" s="103"/>
      <c r="E26" s="104"/>
      <c r="F26" s="105"/>
      <c r="G26" s="102"/>
    </row>
    <row r="27" spans="2:19" ht="14.45" x14ac:dyDescent="0.3">
      <c r="B27" s="101"/>
      <c r="C27" s="104"/>
      <c r="D27" s="103"/>
      <c r="E27" s="104"/>
      <c r="F27" s="105"/>
      <c r="G27" s="102"/>
      <c r="S27" t="e">
        <f>D12/C12</f>
        <v>#DIV/0!</v>
      </c>
    </row>
    <row r="28" spans="2:19" ht="14.45" x14ac:dyDescent="0.3">
      <c r="B28" s="101"/>
      <c r="C28" s="104"/>
      <c r="D28" s="103"/>
      <c r="E28" s="104"/>
      <c r="F28" s="105"/>
      <c r="G28" s="102"/>
    </row>
    <row r="29" spans="2:19" ht="14.45" x14ac:dyDescent="0.3">
      <c r="B29" s="101"/>
      <c r="C29" s="104"/>
      <c r="D29" s="103"/>
      <c r="E29" s="104"/>
      <c r="F29" s="105"/>
      <c r="G29" s="102"/>
    </row>
    <row r="30" spans="2:19" ht="14.45" x14ac:dyDescent="0.3">
      <c r="B30" s="101"/>
      <c r="C30" s="104"/>
      <c r="D30" s="103"/>
      <c r="E30" s="104"/>
      <c r="F30" s="105"/>
      <c r="G30" s="102"/>
    </row>
    <row r="31" spans="2:19" ht="14.45" x14ac:dyDescent="0.3">
      <c r="B31" s="101"/>
      <c r="C31" s="104"/>
      <c r="D31" s="103"/>
      <c r="E31" s="104"/>
      <c r="F31" s="105"/>
      <c r="G31" s="102"/>
    </row>
    <row r="32" spans="2:19" ht="14.45" x14ac:dyDescent="0.3">
      <c r="B32" s="101"/>
      <c r="C32" s="104"/>
      <c r="D32" s="103"/>
      <c r="E32" s="104"/>
      <c r="F32" s="105"/>
      <c r="G32" s="102"/>
    </row>
    <row r="33" spans="2:9" ht="14.45" x14ac:dyDescent="0.3">
      <c r="B33" s="101"/>
      <c r="C33" s="104"/>
      <c r="D33" s="103"/>
      <c r="E33" s="104"/>
      <c r="F33" s="105"/>
      <c r="G33" s="102"/>
    </row>
    <row r="34" spans="2:9" ht="14.45" x14ac:dyDescent="0.3">
      <c r="B34" s="101"/>
      <c r="C34" s="104"/>
      <c r="D34" s="103"/>
      <c r="E34" s="104"/>
      <c r="F34" s="105"/>
      <c r="G34" s="102"/>
    </row>
    <row r="35" spans="2:9" ht="14.45" x14ac:dyDescent="0.3">
      <c r="B35" s="101"/>
      <c r="C35" s="104"/>
      <c r="D35" s="103"/>
      <c r="E35" s="104"/>
      <c r="F35" s="105"/>
      <c r="G35" s="102"/>
    </row>
    <row r="36" spans="2:9" x14ac:dyDescent="0.25">
      <c r="B36" s="101"/>
      <c r="C36" s="104"/>
      <c r="D36" s="103"/>
      <c r="E36" s="104"/>
      <c r="F36" s="105"/>
      <c r="G36" s="102"/>
    </row>
    <row r="37" spans="2:9" ht="15.75" thickBot="1" x14ac:dyDescent="0.3">
      <c r="B37" s="106"/>
      <c r="C37" s="107"/>
      <c r="D37" s="108"/>
      <c r="E37" s="107"/>
      <c r="F37" s="109"/>
      <c r="G37" s="110"/>
    </row>
    <row r="38" spans="2:9" x14ac:dyDescent="0.25">
      <c r="C38" s="17"/>
    </row>
    <row r="39" spans="2:9" x14ac:dyDescent="0.25">
      <c r="B39" s="83"/>
      <c r="C39" s="69">
        <v>1</v>
      </c>
      <c r="D39" s="84">
        <v>1</v>
      </c>
      <c r="E39" s="84">
        <v>1</v>
      </c>
      <c r="F39" s="84">
        <v>1</v>
      </c>
      <c r="G39" s="84">
        <v>5</v>
      </c>
    </row>
    <row r="40" spans="2:9" x14ac:dyDescent="0.25">
      <c r="B40" s="83"/>
      <c r="C40" s="69"/>
      <c r="D40" s="83"/>
      <c r="E40" s="83"/>
      <c r="F40" s="83"/>
      <c r="G40" s="83"/>
    </row>
    <row r="41" spans="2:9" x14ac:dyDescent="0.25">
      <c r="B41" s="83"/>
      <c r="C41" s="83"/>
      <c r="D41" s="83"/>
      <c r="E41" s="83"/>
      <c r="F41" s="83"/>
      <c r="G41" s="83"/>
    </row>
    <row r="42" spans="2:9" x14ac:dyDescent="0.25">
      <c r="B42" s="83"/>
      <c r="C42" s="83"/>
      <c r="D42" s="83"/>
      <c r="E42" s="83"/>
      <c r="F42" s="83"/>
      <c r="G42" s="83"/>
    </row>
    <row r="43" spans="2:9" ht="15.75" thickBot="1" x14ac:dyDescent="0.3">
      <c r="I43" s="115" t="e">
        <f>D12/C12</f>
        <v>#DIV/0!</v>
      </c>
    </row>
    <row r="44" spans="2:9" ht="15.75" thickBot="1" x14ac:dyDescent="0.3">
      <c r="C44" s="81" t="s">
        <v>19</v>
      </c>
      <c r="D44" s="82" t="s">
        <v>20</v>
      </c>
    </row>
    <row r="45" spans="2:9" ht="15.75" thickBot="1" x14ac:dyDescent="0.3">
      <c r="B45" s="75" t="s">
        <v>7</v>
      </c>
      <c r="C45" s="85">
        <f>D21</f>
        <v>0.2</v>
      </c>
      <c r="D45" s="86">
        <f>F21</f>
        <v>0.2</v>
      </c>
    </row>
    <row r="46" spans="2:9" ht="15.75" thickBot="1" x14ac:dyDescent="0.3">
      <c r="B46" s="75" t="s">
        <v>8</v>
      </c>
      <c r="C46" s="79">
        <f>E21</f>
        <v>0.1</v>
      </c>
      <c r="D46" s="80">
        <f>G21</f>
        <v>0.5</v>
      </c>
    </row>
    <row r="47" spans="2:9" ht="15.75" thickBot="1" x14ac:dyDescent="0.3">
      <c r="B47" s="76" t="s">
        <v>48</v>
      </c>
      <c r="C47" s="77">
        <f>B21</f>
        <v>0.01</v>
      </c>
      <c r="D47" s="78">
        <f>C21</f>
        <v>0.99</v>
      </c>
    </row>
    <row r="64" spans="3:4" x14ac:dyDescent="0.25">
      <c r="C64" s="72" t="s">
        <v>19</v>
      </c>
      <c r="D64" s="72" t="s">
        <v>20</v>
      </c>
    </row>
    <row r="65" spans="1:4" x14ac:dyDescent="0.25">
      <c r="A65" s="2">
        <v>0.05</v>
      </c>
      <c r="B65" s="71">
        <v>0</v>
      </c>
      <c r="C65" s="4">
        <f t="shared" ref="C65:C128" si="4">_xlfn.NORM.DIST(B65,$C$45,C$46,FALSE)*G1_Weight</f>
        <v>5.3990966513188052E-3</v>
      </c>
      <c r="D65" s="4">
        <f t="shared" ref="D65:D128" si="5">_xlfn.NORM.DIST(B65,D$45,D$46,FALSE)*G2_Weight</f>
        <v>0.72917487780058021</v>
      </c>
    </row>
    <row r="66" spans="1:4" x14ac:dyDescent="0.25">
      <c r="B66" s="71">
        <f t="shared" ref="B66:B129" si="6">B65+$A$65</f>
        <v>0.05</v>
      </c>
      <c r="C66" s="4">
        <f t="shared" si="4"/>
        <v>1.2951759566589168E-2</v>
      </c>
      <c r="D66" s="4">
        <f t="shared" si="5"/>
        <v>0.75514787461183763</v>
      </c>
    </row>
    <row r="67" spans="1:4" x14ac:dyDescent="0.25">
      <c r="B67" s="71">
        <f t="shared" si="6"/>
        <v>0.1</v>
      </c>
      <c r="C67" s="4">
        <f t="shared" si="4"/>
        <v>2.4197072451914336E-2</v>
      </c>
      <c r="D67" s="4">
        <f t="shared" si="5"/>
        <v>0.77426453407140261</v>
      </c>
    </row>
    <row r="68" spans="1:4" x14ac:dyDescent="0.25">
      <c r="B68" s="71">
        <f t="shared" si="6"/>
        <v>0.15000000000000002</v>
      </c>
      <c r="C68" s="4">
        <f t="shared" si="4"/>
        <v>3.5206532676429952E-2</v>
      </c>
      <c r="D68" s="4">
        <f t="shared" si="5"/>
        <v>0.78596604400448333</v>
      </c>
    </row>
    <row r="69" spans="1:4" x14ac:dyDescent="0.25">
      <c r="B69" s="71">
        <f t="shared" si="6"/>
        <v>0.2</v>
      </c>
      <c r="C69" s="4">
        <f t="shared" si="4"/>
        <v>3.9894228040143268E-2</v>
      </c>
      <c r="D69" s="4">
        <f t="shared" si="5"/>
        <v>0.78990571519483677</v>
      </c>
    </row>
    <row r="70" spans="1:4" x14ac:dyDescent="0.25">
      <c r="B70" s="71">
        <f t="shared" si="6"/>
        <v>0.25</v>
      </c>
      <c r="C70" s="4">
        <f t="shared" si="4"/>
        <v>3.5206532676429952E-2</v>
      </c>
      <c r="D70" s="4">
        <f t="shared" si="5"/>
        <v>0.78596604400448333</v>
      </c>
    </row>
    <row r="71" spans="1:4" x14ac:dyDescent="0.25">
      <c r="B71" s="71">
        <f t="shared" si="6"/>
        <v>0.3</v>
      </c>
      <c r="C71" s="4">
        <f t="shared" si="4"/>
        <v>2.4197072451914336E-2</v>
      </c>
      <c r="D71" s="4">
        <f t="shared" si="5"/>
        <v>0.77426453407140272</v>
      </c>
    </row>
    <row r="72" spans="1:4" x14ac:dyDescent="0.25">
      <c r="B72" s="71">
        <f t="shared" si="6"/>
        <v>0.35</v>
      </c>
      <c r="C72" s="4">
        <f t="shared" si="4"/>
        <v>1.2951759566589184E-2</v>
      </c>
      <c r="D72" s="4">
        <f t="shared" si="5"/>
        <v>0.75514787461183774</v>
      </c>
    </row>
    <row r="73" spans="1:4" x14ac:dyDescent="0.25">
      <c r="B73" s="71">
        <f t="shared" si="6"/>
        <v>0.39999999999999997</v>
      </c>
      <c r="C73" s="4">
        <f t="shared" si="4"/>
        <v>5.3990966513188096E-3</v>
      </c>
      <c r="D73" s="4">
        <f t="shared" si="5"/>
        <v>0.72917487780058032</v>
      </c>
    </row>
    <row r="74" spans="1:4" x14ac:dyDescent="0.25">
      <c r="B74" s="71">
        <f t="shared" si="6"/>
        <v>0.44999999999999996</v>
      </c>
      <c r="C74" s="4">
        <f t="shared" si="4"/>
        <v>1.7528300493568577E-3</v>
      </c>
      <c r="D74" s="4">
        <f t="shared" si="5"/>
        <v>0.69708934699331304</v>
      </c>
    </row>
    <row r="75" spans="1:4" x14ac:dyDescent="0.25">
      <c r="B75" s="71">
        <f t="shared" si="6"/>
        <v>0.49999999999999994</v>
      </c>
      <c r="C75" s="4">
        <f t="shared" si="4"/>
        <v>4.431848411938019E-4</v>
      </c>
      <c r="D75" s="4">
        <f t="shared" si="5"/>
        <v>0.65978471372576331</v>
      </c>
    </row>
    <row r="76" spans="1:4" x14ac:dyDescent="0.25">
      <c r="B76" s="71">
        <f t="shared" si="6"/>
        <v>0.54999999999999993</v>
      </c>
      <c r="C76" s="4">
        <f t="shared" si="4"/>
        <v>8.7268269504576308E-5</v>
      </c>
      <c r="D76" s="4">
        <f t="shared" si="5"/>
        <v>0.6182627880661874</v>
      </c>
    </row>
    <row r="77" spans="1:4" x14ac:dyDescent="0.25">
      <c r="B77" s="71">
        <f t="shared" si="6"/>
        <v>0.6</v>
      </c>
      <c r="C77" s="4">
        <f t="shared" si="4"/>
        <v>1.3383022576488561E-5</v>
      </c>
      <c r="D77" s="4">
        <f t="shared" si="5"/>
        <v>0.57358927446773589</v>
      </c>
    </row>
    <row r="78" spans="1:4" x14ac:dyDescent="0.25">
      <c r="B78" s="71">
        <f t="shared" si="6"/>
        <v>0.65</v>
      </c>
      <c r="C78" s="4">
        <f t="shared" si="4"/>
        <v>1.5983741106905473E-6</v>
      </c>
      <c r="D78" s="4">
        <f t="shared" si="5"/>
        <v>0.5268487947995345</v>
      </c>
    </row>
    <row r="79" spans="1:4" x14ac:dyDescent="0.25">
      <c r="B79" s="71">
        <f t="shared" si="6"/>
        <v>0.70000000000000007</v>
      </c>
      <c r="C79" s="4">
        <f t="shared" si="4"/>
        <v>1.4867195147342977E-7</v>
      </c>
      <c r="D79" s="4">
        <f t="shared" si="5"/>
        <v>0.47910203454790384</v>
      </c>
    </row>
    <row r="80" spans="1:4" x14ac:dyDescent="0.25">
      <c r="B80" s="71">
        <f t="shared" si="6"/>
        <v>0.75000000000000011</v>
      </c>
      <c r="C80" s="4">
        <f t="shared" si="4"/>
        <v>1.0769760042543273E-8</v>
      </c>
      <c r="D80" s="4">
        <f t="shared" si="5"/>
        <v>0.43134731052445002</v>
      </c>
    </row>
    <row r="81" spans="2:4" x14ac:dyDescent="0.25">
      <c r="B81" s="71">
        <f t="shared" si="6"/>
        <v>0.80000000000000016</v>
      </c>
      <c r="C81" s="4">
        <f t="shared" si="4"/>
        <v>6.0758828498232427E-10</v>
      </c>
      <c r="D81" s="4">
        <f t="shared" si="5"/>
        <v>0.38448838886676157</v>
      </c>
    </row>
    <row r="82" spans="2:4" x14ac:dyDescent="0.25">
      <c r="B82" s="71">
        <f t="shared" si="6"/>
        <v>0.8500000000000002</v>
      </c>
      <c r="C82" s="4">
        <f t="shared" si="4"/>
        <v>2.6695566147628328E-11</v>
      </c>
      <c r="D82" s="4">
        <f t="shared" si="5"/>
        <v>0.3393098122546585</v>
      </c>
    </row>
    <row r="83" spans="2:4" x14ac:dyDescent="0.25">
      <c r="B83" s="71">
        <f t="shared" si="6"/>
        <v>0.90000000000000024</v>
      </c>
      <c r="C83" s="4">
        <f t="shared" si="4"/>
        <v>9.1347204083644644E-13</v>
      </c>
      <c r="D83" s="4">
        <f t="shared" si="5"/>
        <v>0.29646038195877467</v>
      </c>
    </row>
    <row r="84" spans="2:4" x14ac:dyDescent="0.25">
      <c r="B84" s="71">
        <f t="shared" si="6"/>
        <v>0.95000000000000029</v>
      </c>
      <c r="C84" s="4">
        <f t="shared" si="4"/>
        <v>2.4343205330289757E-14</v>
      </c>
      <c r="D84" s="4">
        <f t="shared" si="5"/>
        <v>0.25644483941846546</v>
      </c>
    </row>
    <row r="85" spans="2:4" x14ac:dyDescent="0.25">
      <c r="B85" s="71">
        <f t="shared" si="6"/>
        <v>1.0000000000000002</v>
      </c>
      <c r="C85" s="4">
        <f t="shared" si="4"/>
        <v>5.0522710835368206E-16</v>
      </c>
      <c r="D85" s="4">
        <f t="shared" si="5"/>
        <v>0.21962325266532182</v>
      </c>
    </row>
    <row r="86" spans="2:4" x14ac:dyDescent="0.25">
      <c r="B86" s="71">
        <f t="shared" si="6"/>
        <v>1.0500000000000003</v>
      </c>
      <c r="C86" s="4">
        <f t="shared" si="4"/>
        <v>8.166235631669434E-18</v>
      </c>
      <c r="D86" s="4">
        <f t="shared" si="5"/>
        <v>0.18621717320623593</v>
      </c>
    </row>
    <row r="87" spans="2:4" x14ac:dyDescent="0.25">
      <c r="B87" s="71">
        <f t="shared" si="6"/>
        <v>1.1000000000000003</v>
      </c>
      <c r="C87" s="4">
        <f t="shared" si="4"/>
        <v>1.0279773571668625E-19</v>
      </c>
      <c r="D87" s="4">
        <f t="shared" si="5"/>
        <v>0.15632131343577024</v>
      </c>
    </row>
    <row r="88" spans="2:4" x14ac:dyDescent="0.25">
      <c r="B88" s="71">
        <f t="shared" si="6"/>
        <v>1.1500000000000004</v>
      </c>
      <c r="C88" s="4">
        <f t="shared" si="4"/>
        <v>1.0077935394299654E-21</v>
      </c>
      <c r="D88" s="4">
        <f t="shared" si="5"/>
        <v>0.12991931325385947</v>
      </c>
    </row>
    <row r="89" spans="2:4" x14ac:dyDescent="0.25">
      <c r="B89" s="71">
        <f t="shared" si="6"/>
        <v>1.2000000000000004</v>
      </c>
      <c r="C89" s="4">
        <f t="shared" si="4"/>
        <v>7.6945986267061475E-24</v>
      </c>
      <c r="D89" s="4">
        <f t="shared" si="5"/>
        <v>0.10690211369611216</v>
      </c>
    </row>
    <row r="90" spans="2:4" x14ac:dyDescent="0.25">
      <c r="B90" s="71">
        <f t="shared" si="6"/>
        <v>1.2500000000000004</v>
      </c>
      <c r="C90" s="4">
        <f t="shared" si="4"/>
        <v>4.5753755905206431E-26</v>
      </c>
      <c r="D90" s="4">
        <f t="shared" si="5"/>
        <v>8.7087520041245689E-2</v>
      </c>
    </row>
    <row r="91" spans="2:4" x14ac:dyDescent="0.25">
      <c r="B91" s="71">
        <f t="shared" si="6"/>
        <v>1.3000000000000005</v>
      </c>
      <c r="C91" s="4">
        <f t="shared" si="4"/>
        <v>2.1188192535092331E-28</v>
      </c>
      <c r="D91" s="4">
        <f t="shared" si="5"/>
        <v>7.0239693835538103E-2</v>
      </c>
    </row>
    <row r="92" spans="2:4" x14ac:dyDescent="0.25">
      <c r="B92" s="71">
        <f t="shared" si="6"/>
        <v>1.3500000000000005</v>
      </c>
      <c r="C92" s="4">
        <f t="shared" si="4"/>
        <v>7.6416554115867693E-31</v>
      </c>
      <c r="D92" s="4">
        <f t="shared" si="5"/>
        <v>5.6087534728370178E-2</v>
      </c>
    </row>
    <row r="93" spans="2:4" x14ac:dyDescent="0.25">
      <c r="B93" s="71">
        <f t="shared" si="6"/>
        <v>1.4000000000000006</v>
      </c>
      <c r="C93" s="4">
        <f t="shared" si="4"/>
        <v>2.1463837356629381E-33</v>
      </c>
      <c r="D93" s="4">
        <f t="shared" si="5"/>
        <v>4.43411699837888E-2</v>
      </c>
    </row>
    <row r="94" spans="2:4" x14ac:dyDescent="0.25">
      <c r="B94" s="71">
        <f t="shared" si="6"/>
        <v>1.4500000000000006</v>
      </c>
      <c r="C94" s="4">
        <f t="shared" si="4"/>
        <v>4.6951953579748127E-36</v>
      </c>
      <c r="D94" s="4">
        <f t="shared" si="5"/>
        <v>3.4706034977265578E-2</v>
      </c>
    </row>
    <row r="95" spans="2:4" x14ac:dyDescent="0.25">
      <c r="B95" s="71">
        <f t="shared" si="6"/>
        <v>1.5000000000000007</v>
      </c>
      <c r="C95" s="4">
        <f t="shared" si="4"/>
        <v>7.9988277570061288E-39</v>
      </c>
      <c r="D95" s="4">
        <f t="shared" si="5"/>
        <v>2.6894279082697422E-2</v>
      </c>
    </row>
    <row r="96" spans="2:4" x14ac:dyDescent="0.25">
      <c r="B96" s="71">
        <f t="shared" si="6"/>
        <v>1.5500000000000007</v>
      </c>
      <c r="C96" s="4">
        <f t="shared" si="4"/>
        <v>1.0612688139151105E-41</v>
      </c>
      <c r="D96" s="4">
        <f t="shared" si="5"/>
        <v>2.0633450932556655E-2</v>
      </c>
    </row>
    <row r="97" spans="2:4" x14ac:dyDescent="0.25">
      <c r="B97" s="71">
        <f t="shared" si="6"/>
        <v>1.6000000000000008</v>
      </c>
      <c r="C97" s="4">
        <f t="shared" si="4"/>
        <v>1.0966065593888623E-44</v>
      </c>
      <c r="D97" s="4">
        <f t="shared" si="5"/>
        <v>1.567259413430026E-2</v>
      </c>
    </row>
    <row r="98" spans="2:4" x14ac:dyDescent="0.25">
      <c r="B98" s="71">
        <f t="shared" si="6"/>
        <v>1.6500000000000008</v>
      </c>
      <c r="C98" s="4">
        <f t="shared" si="4"/>
        <v>8.824754974593946E-48</v>
      </c>
      <c r="D98" s="4">
        <f t="shared" si="5"/>
        <v>1.1786014191156139E-2</v>
      </c>
    </row>
    <row r="99" spans="2:4" x14ac:dyDescent="0.25">
      <c r="B99" s="71">
        <f t="shared" si="6"/>
        <v>1.7000000000000008</v>
      </c>
      <c r="C99" s="4">
        <f t="shared" si="4"/>
        <v>5.5307095498437097E-51</v>
      </c>
      <c r="D99" s="4">
        <f t="shared" si="5"/>
        <v>8.7750598556372086E-3</v>
      </c>
    </row>
    <row r="100" spans="2:4" x14ac:dyDescent="0.25">
      <c r="B100" s="71">
        <f t="shared" si="6"/>
        <v>1.7500000000000009</v>
      </c>
      <c r="C100" s="4">
        <f t="shared" si="4"/>
        <v>2.6995130245882037E-54</v>
      </c>
      <c r="D100" s="4">
        <f t="shared" si="5"/>
        <v>6.4683017312758048E-3</v>
      </c>
    </row>
    <row r="101" spans="2:4" x14ac:dyDescent="0.25">
      <c r="B101" s="71">
        <f t="shared" si="6"/>
        <v>1.8000000000000009</v>
      </c>
      <c r="C101" s="4">
        <f t="shared" si="4"/>
        <v>1.0261630727917868E-57</v>
      </c>
      <c r="D101" s="4">
        <f t="shared" si="5"/>
        <v>4.7204946389003584E-3</v>
      </c>
    </row>
    <row r="102" spans="2:4" x14ac:dyDescent="0.25">
      <c r="B102" s="71">
        <f t="shared" si="6"/>
        <v>1.850000000000001</v>
      </c>
      <c r="C102" s="4">
        <f t="shared" si="4"/>
        <v>3.0379016987894049E-61</v>
      </c>
      <c r="D102" s="4">
        <f t="shared" si="5"/>
        <v>3.4106864993262648E-3</v>
      </c>
    </row>
    <row r="103" spans="2:4" x14ac:dyDescent="0.25">
      <c r="B103" s="71">
        <f t="shared" si="6"/>
        <v>1.900000000000001</v>
      </c>
      <c r="C103" s="4">
        <f t="shared" si="4"/>
        <v>7.0041821343173865E-65</v>
      </c>
      <c r="D103" s="4">
        <f t="shared" si="5"/>
        <v>2.4397939535765597E-3</v>
      </c>
    </row>
    <row r="104" spans="2:4" x14ac:dyDescent="0.25">
      <c r="B104" s="71">
        <f t="shared" si="6"/>
        <v>1.9500000000000011</v>
      </c>
      <c r="C104" s="4">
        <f t="shared" si="4"/>
        <v>1.2576723828779434E-68</v>
      </c>
      <c r="D104" s="4">
        <f t="shared" si="5"/>
        <v>1.7279117361905913E-3</v>
      </c>
    </row>
    <row r="105" spans="2:4" x14ac:dyDescent="0.25">
      <c r="B105" s="71">
        <f t="shared" si="6"/>
        <v>2.0000000000000009</v>
      </c>
      <c r="C105" s="4">
        <f t="shared" si="4"/>
        <v>1.7587495425949039E-72</v>
      </c>
      <c r="D105" s="4">
        <f t="shared" si="5"/>
        <v>1.2115658216252608E-3</v>
      </c>
    </row>
    <row r="106" spans="2:4" x14ac:dyDescent="0.25">
      <c r="B106" s="71">
        <f t="shared" si="6"/>
        <v>2.0500000000000007</v>
      </c>
      <c r="C106" s="4">
        <f t="shared" si="4"/>
        <v>1.9154324916716635E-76</v>
      </c>
      <c r="D106" s="4">
        <f t="shared" si="5"/>
        <v>8.4106493569048341E-4</v>
      </c>
    </row>
    <row r="107" spans="2:4" x14ac:dyDescent="0.25">
      <c r="B107" s="71">
        <f t="shared" si="6"/>
        <v>2.1000000000000005</v>
      </c>
      <c r="C107" s="4">
        <f t="shared" si="4"/>
        <v>1.6246360367735157E-80</v>
      </c>
      <c r="D107" s="4">
        <f t="shared" si="5"/>
        <v>5.7805491306708878E-4</v>
      </c>
    </row>
    <row r="108" spans="2:4" x14ac:dyDescent="0.25">
      <c r="B108" s="71">
        <f t="shared" si="6"/>
        <v>2.1500000000000004</v>
      </c>
      <c r="C108" s="4">
        <f t="shared" si="4"/>
        <v>1.0731778340682044E-84</v>
      </c>
      <c r="D108" s="4">
        <f t="shared" si="5"/>
        <v>3.9333783335768858E-4</v>
      </c>
    </row>
    <row r="109" spans="2:4" x14ac:dyDescent="0.25">
      <c r="B109" s="71">
        <f t="shared" si="6"/>
        <v>2.2000000000000002</v>
      </c>
      <c r="C109" s="4">
        <f t="shared" si="4"/>
        <v>5.5209483621597638E-89</v>
      </c>
      <c r="D109" s="4">
        <f t="shared" si="5"/>
        <v>2.6498384701447304E-4</v>
      </c>
    </row>
    <row r="110" spans="2:4" x14ac:dyDescent="0.25">
      <c r="B110" s="71">
        <f t="shared" si="6"/>
        <v>2.25</v>
      </c>
      <c r="C110" s="4">
        <f t="shared" si="4"/>
        <v>2.2119843802107591E-93</v>
      </c>
      <c r="D110" s="4">
        <f t="shared" si="5"/>
        <v>1.7673808121072319E-4</v>
      </c>
    </row>
    <row r="111" spans="2:4" x14ac:dyDescent="0.25">
      <c r="B111" s="71">
        <f t="shared" si="6"/>
        <v>2.2999999999999998</v>
      </c>
      <c r="C111" s="4">
        <f t="shared" si="4"/>
        <v>6.9020294201278081E-98</v>
      </c>
      <c r="D111" s="4">
        <f t="shared" si="5"/>
        <v>1.1670727415794932E-4</v>
      </c>
    </row>
    <row r="112" spans="2:4" x14ac:dyDescent="0.25">
      <c r="B112" s="71">
        <f t="shared" si="6"/>
        <v>2.3499999999999996</v>
      </c>
      <c r="C112" s="4">
        <f t="shared" si="4"/>
        <v>1.6772505228546299E-102</v>
      </c>
      <c r="D112" s="4">
        <f t="shared" si="5"/>
        <v>7.629968954933279E-5</v>
      </c>
    </row>
    <row r="113" spans="2:4" x14ac:dyDescent="0.25">
      <c r="B113" s="71">
        <f t="shared" si="6"/>
        <v>2.3999999999999995</v>
      </c>
      <c r="C113" s="4">
        <f t="shared" si="4"/>
        <v>3.1742815528258038E-107</v>
      </c>
      <c r="D113" s="4">
        <f t="shared" si="5"/>
        <v>4.9386093154306349E-5</v>
      </c>
    </row>
    <row r="114" spans="2:4" x14ac:dyDescent="0.25">
      <c r="B114" s="71">
        <f t="shared" si="6"/>
        <v>2.4499999999999993</v>
      </c>
      <c r="C114" s="4">
        <f t="shared" si="4"/>
        <v>4.6786368172511111E-112</v>
      </c>
      <c r="D114" s="4">
        <f t="shared" si="5"/>
        <v>3.1647807391673067E-5</v>
      </c>
    </row>
    <row r="115" spans="2:4" x14ac:dyDescent="0.25">
      <c r="B115" s="71">
        <f t="shared" si="6"/>
        <v>2.4999999999999991</v>
      </c>
      <c r="C115" s="4">
        <f t="shared" si="4"/>
        <v>5.3705603650218124E-117</v>
      </c>
      <c r="D115" s="4">
        <f t="shared" si="5"/>
        <v>2.0078887089663963E-5</v>
      </c>
    </row>
    <row r="116" spans="2:4" x14ac:dyDescent="0.25">
      <c r="B116" s="71">
        <f t="shared" si="6"/>
        <v>2.5499999999999989</v>
      </c>
      <c r="C116" s="4">
        <f t="shared" si="4"/>
        <v>4.8011607859085186E-122</v>
      </c>
      <c r="D116" s="4">
        <f t="shared" si="5"/>
        <v>1.2612253854157017E-5</v>
      </c>
    </row>
    <row r="117" spans="2:4" x14ac:dyDescent="0.25">
      <c r="B117" s="71">
        <f t="shared" si="6"/>
        <v>2.5999999999999988</v>
      </c>
      <c r="C117" s="4">
        <f t="shared" si="4"/>
        <v>3.3427144417955979E-127</v>
      </c>
      <c r="D117" s="4">
        <f t="shared" si="5"/>
        <v>7.8433722002436068E-6</v>
      </c>
    </row>
    <row r="118" spans="2:4" x14ac:dyDescent="0.25">
      <c r="B118" s="71">
        <f t="shared" si="6"/>
        <v>2.6499999999999986</v>
      </c>
      <c r="C118" s="4">
        <f t="shared" si="4"/>
        <v>1.8125027935523492E-132</v>
      </c>
      <c r="D118" s="4">
        <f t="shared" si="5"/>
        <v>4.8291422768689225E-6</v>
      </c>
    </row>
    <row r="119" spans="2:4" x14ac:dyDescent="0.25">
      <c r="B119" s="71">
        <f t="shared" si="6"/>
        <v>2.6999999999999984</v>
      </c>
      <c r="C119" s="4">
        <f t="shared" si="4"/>
        <v>7.6539297364228729E-138</v>
      </c>
      <c r="D119" s="4">
        <f t="shared" si="5"/>
        <v>2.9437046391739618E-6</v>
      </c>
    </row>
    <row r="120" spans="2:4" x14ac:dyDescent="0.25">
      <c r="B120" s="71">
        <f t="shared" si="6"/>
        <v>2.7499999999999982</v>
      </c>
      <c r="C120" s="4">
        <f t="shared" si="4"/>
        <v>2.5171937051948359E-143</v>
      </c>
      <c r="D120" s="4">
        <f t="shared" si="5"/>
        <v>1.7765421621519354E-6</v>
      </c>
    </row>
    <row r="121" spans="2:4" x14ac:dyDescent="0.25">
      <c r="B121" s="71">
        <f t="shared" si="6"/>
        <v>2.799999999999998</v>
      </c>
      <c r="C121" s="4">
        <f t="shared" si="4"/>
        <v>6.4472599714015175E-149</v>
      </c>
      <c r="D121" s="4">
        <f t="shared" si="5"/>
        <v>1.061484998250152E-6</v>
      </c>
    </row>
    <row r="122" spans="2:4" x14ac:dyDescent="0.25">
      <c r="B122" s="71">
        <f t="shared" si="6"/>
        <v>2.8499999999999979</v>
      </c>
      <c r="C122" s="4">
        <f t="shared" si="4"/>
        <v>1.2860566740722464E-154</v>
      </c>
      <c r="D122" s="4">
        <f t="shared" si="5"/>
        <v>6.2792714490977877E-7</v>
      </c>
    </row>
    <row r="123" spans="2:4" x14ac:dyDescent="0.25">
      <c r="B123" s="71">
        <f t="shared" si="6"/>
        <v>2.8999999999999977</v>
      </c>
      <c r="C123" s="4">
        <f t="shared" si="4"/>
        <v>1.9978892591696423E-160</v>
      </c>
      <c r="D123" s="4">
        <f t="shared" si="5"/>
        <v>3.6775764522195782E-7</v>
      </c>
    </row>
    <row r="124" spans="2:4" x14ac:dyDescent="0.25">
      <c r="B124" s="71">
        <f t="shared" si="6"/>
        <v>2.9499999999999975</v>
      </c>
      <c r="C124" s="4">
        <f t="shared" si="4"/>
        <v>2.4171805786214738E-166</v>
      </c>
      <c r="D124" s="4">
        <f t="shared" si="5"/>
        <v>2.1324124884236291E-7</v>
      </c>
    </row>
    <row r="125" spans="2:4" x14ac:dyDescent="0.25">
      <c r="B125" s="71">
        <f t="shared" si="6"/>
        <v>2.9999999999999973</v>
      </c>
      <c r="C125" s="4">
        <f t="shared" si="4"/>
        <v>2.2775774787384735E-172</v>
      </c>
      <c r="D125" s="4">
        <f t="shared" si="5"/>
        <v>1.2241588590328767E-7</v>
      </c>
    </row>
    <row r="126" spans="2:4" x14ac:dyDescent="0.25">
      <c r="B126" s="71">
        <f t="shared" si="6"/>
        <v>3.0499999999999972</v>
      </c>
      <c r="C126" s="4">
        <f t="shared" si="4"/>
        <v>1.6713353651315999E-178</v>
      </c>
      <c r="D126" s="4">
        <f t="shared" si="5"/>
        <v>6.9576310877447068E-8</v>
      </c>
    </row>
    <row r="127" spans="2:4" x14ac:dyDescent="0.25">
      <c r="B127" s="71">
        <f t="shared" si="6"/>
        <v>3.099999999999997</v>
      </c>
      <c r="C127" s="4">
        <f t="shared" si="4"/>
        <v>9.5516945419575255E-185</v>
      </c>
      <c r="D127" s="4">
        <f t="shared" si="5"/>
        <v>3.9150928884365979E-8</v>
      </c>
    </row>
    <row r="128" spans="2:4" x14ac:dyDescent="0.25">
      <c r="B128" s="71">
        <f t="shared" si="6"/>
        <v>3.1499999999999968</v>
      </c>
      <c r="C128" s="4">
        <f t="shared" si="4"/>
        <v>4.2513183535319006E-191</v>
      </c>
      <c r="D128" s="4">
        <f t="shared" si="5"/>
        <v>2.1811211976871902E-8</v>
      </c>
    </row>
    <row r="129" spans="2:4" x14ac:dyDescent="0.25">
      <c r="B129" s="71">
        <f t="shared" si="6"/>
        <v>3.1999999999999966</v>
      </c>
      <c r="C129" s="4">
        <f t="shared" ref="C129:C192" si="7">_xlfn.NORM.DIST(B129,$C$45,C$46,FALSE)*G1_Weight</f>
        <v>1.4736461348801389E-197</v>
      </c>
      <c r="D129" s="4">
        <f t="shared" ref="D129:D192" si="8">_xlfn.NORM.DIST(B129,D$45,D$46,FALSE)*G2_Weight</f>
        <v>1.2030248042650619E-8</v>
      </c>
    </row>
    <row r="130" spans="2:4" x14ac:dyDescent="0.25">
      <c r="B130" s="71">
        <f t="shared" ref="B130:B193" si="9">B129+$A$65</f>
        <v>3.2499999999999964</v>
      </c>
      <c r="C130" s="4">
        <f t="shared" si="7"/>
        <v>3.9782234272868692E-204</v>
      </c>
      <c r="D130" s="4">
        <f t="shared" si="8"/>
        <v>6.5694108022239431E-9</v>
      </c>
    </row>
    <row r="131" spans="2:4" x14ac:dyDescent="0.25">
      <c r="B131" s="71">
        <f t="shared" si="9"/>
        <v>3.2999999999999963</v>
      </c>
      <c r="C131" s="4">
        <f t="shared" si="7"/>
        <v>8.3639516058664453E-211</v>
      </c>
      <c r="D131" s="4">
        <f t="shared" si="8"/>
        <v>3.551692137769054E-9</v>
      </c>
    </row>
    <row r="132" spans="2:4" x14ac:dyDescent="0.25">
      <c r="B132" s="71">
        <f t="shared" si="9"/>
        <v>3.3499999999999961</v>
      </c>
      <c r="C132" s="4">
        <f t="shared" si="7"/>
        <v>1.3694943080816356E-217</v>
      </c>
      <c r="D132" s="4">
        <f t="shared" si="8"/>
        <v>1.9010838073219366E-9</v>
      </c>
    </row>
    <row r="133" spans="2:4" x14ac:dyDescent="0.25">
      <c r="B133" s="71">
        <f t="shared" si="9"/>
        <v>3.3999999999999959</v>
      </c>
      <c r="C133" s="4">
        <f t="shared" si="7"/>
        <v>1.7463662567611591E-224</v>
      </c>
      <c r="D133" s="4">
        <f t="shared" si="8"/>
        <v>1.0074517757657749E-9</v>
      </c>
    </row>
    <row r="134" spans="2:4" x14ac:dyDescent="0.25">
      <c r="B134" s="71">
        <f t="shared" si="9"/>
        <v>3.4499999999999957</v>
      </c>
      <c r="C134" s="4">
        <f t="shared" si="7"/>
        <v>1.7343502636091959E-231</v>
      </c>
      <c r="D134" s="4">
        <f t="shared" si="8"/>
        <v>5.2857220972307481E-10</v>
      </c>
    </row>
    <row r="135" spans="2:4" x14ac:dyDescent="0.25">
      <c r="B135" s="71">
        <f t="shared" si="9"/>
        <v>3.4999999999999956</v>
      </c>
      <c r="C135" s="4">
        <f t="shared" si="7"/>
        <v>1.341419667351571E-238</v>
      </c>
      <c r="D135" s="4">
        <f t="shared" si="8"/>
        <v>2.7456263884474839E-10</v>
      </c>
    </row>
    <row r="136" spans="2:4" x14ac:dyDescent="0.25">
      <c r="B136" s="71">
        <f t="shared" si="9"/>
        <v>3.5499999999999954</v>
      </c>
      <c r="C136" s="4">
        <f t="shared" si="7"/>
        <v>8.0801404138862263E-246</v>
      </c>
      <c r="D136" s="4">
        <f t="shared" si="8"/>
        <v>1.4120029685513131E-10</v>
      </c>
    </row>
    <row r="137" spans="2:4" x14ac:dyDescent="0.25">
      <c r="B137" s="71">
        <f t="shared" si="9"/>
        <v>3.5999999999999952</v>
      </c>
      <c r="C137" s="4">
        <f t="shared" si="7"/>
        <v>3.7905264000993322E-253</v>
      </c>
      <c r="D137" s="4">
        <f t="shared" si="8"/>
        <v>7.1893037735482251E-11</v>
      </c>
    </row>
    <row r="138" spans="2:4" x14ac:dyDescent="0.25">
      <c r="B138" s="71">
        <f t="shared" si="9"/>
        <v>3.649999999999995</v>
      </c>
      <c r="C138" s="4">
        <f t="shared" si="7"/>
        <v>1.3848620783406122E-260</v>
      </c>
      <c r="D138" s="4">
        <f t="shared" si="8"/>
        <v>3.624057789691102E-11</v>
      </c>
    </row>
    <row r="139" spans="2:4" x14ac:dyDescent="0.25">
      <c r="B139" s="71">
        <f t="shared" si="9"/>
        <v>3.6999999999999948</v>
      </c>
      <c r="C139" s="4">
        <f t="shared" si="7"/>
        <v>3.9403962771440879E-268</v>
      </c>
      <c r="D139" s="4">
        <f t="shared" si="8"/>
        <v>1.8086746408563247E-11</v>
      </c>
    </row>
    <row r="140" spans="2:4" x14ac:dyDescent="0.25">
      <c r="B140" s="71">
        <f t="shared" si="9"/>
        <v>3.7499999999999947</v>
      </c>
      <c r="C140" s="4">
        <f t="shared" si="7"/>
        <v>8.7317171006383807E-276</v>
      </c>
      <c r="D140" s="4">
        <f t="shared" si="8"/>
        <v>8.9368164808676237E-12</v>
      </c>
    </row>
    <row r="141" spans="2:4" x14ac:dyDescent="0.25">
      <c r="B141" s="71">
        <f t="shared" si="9"/>
        <v>3.7999999999999945</v>
      </c>
      <c r="C141" s="4">
        <f t="shared" si="7"/>
        <v>1.5069047176234782E-283</v>
      </c>
      <c r="D141" s="4">
        <f t="shared" si="8"/>
        <v>4.3718201270119083E-12</v>
      </c>
    </row>
    <row r="142" spans="2:4" x14ac:dyDescent="0.25">
      <c r="B142" s="71">
        <f t="shared" si="9"/>
        <v>3.8499999999999943</v>
      </c>
      <c r="C142" s="4">
        <f t="shared" si="7"/>
        <v>2.0253417162165813E-291</v>
      </c>
      <c r="D142" s="4">
        <f t="shared" si="8"/>
        <v>2.1173798985654252E-12</v>
      </c>
    </row>
    <row r="143" spans="2:4" x14ac:dyDescent="0.25">
      <c r="B143" s="71">
        <f t="shared" si="9"/>
        <v>3.8999999999999941</v>
      </c>
      <c r="C143" s="4">
        <f t="shared" si="7"/>
        <v>2.1200065515296671E-299</v>
      </c>
      <c r="D143" s="4">
        <f t="shared" si="8"/>
        <v>1.0152952200858331E-12</v>
      </c>
    </row>
    <row r="144" spans="2:4" x14ac:dyDescent="0.25">
      <c r="B144" s="71">
        <f t="shared" si="9"/>
        <v>3.949999999999994</v>
      </c>
      <c r="C144" s="4">
        <f t="shared" si="7"/>
        <v>1.7282337322882313E-307</v>
      </c>
      <c r="D144" s="4">
        <f t="shared" si="8"/>
        <v>4.8199546553978846E-13</v>
      </c>
    </row>
    <row r="145" spans="2:4" x14ac:dyDescent="0.25">
      <c r="B145" s="71">
        <f t="shared" si="9"/>
        <v>3.9999999999999938</v>
      </c>
      <c r="C145" s="4">
        <f t="shared" si="7"/>
        <v>0</v>
      </c>
      <c r="D145" s="4">
        <f t="shared" si="8"/>
        <v>2.2654298505568886E-13</v>
      </c>
    </row>
    <row r="146" spans="2:4" x14ac:dyDescent="0.25">
      <c r="B146" s="71">
        <f t="shared" si="9"/>
        <v>4.0499999999999936</v>
      </c>
      <c r="C146" s="4">
        <f t="shared" si="7"/>
        <v>0</v>
      </c>
      <c r="D146" s="4">
        <f t="shared" si="8"/>
        <v>1.0541813777061914E-13</v>
      </c>
    </row>
    <row r="147" spans="2:4" x14ac:dyDescent="0.25">
      <c r="B147" s="71">
        <f t="shared" si="9"/>
        <v>4.0999999999999934</v>
      </c>
      <c r="C147" s="4">
        <f t="shared" si="7"/>
        <v>0</v>
      </c>
      <c r="D147" s="4">
        <f t="shared" si="8"/>
        <v>4.8566534656794363E-14</v>
      </c>
    </row>
    <row r="148" spans="2:4" x14ac:dyDescent="0.25">
      <c r="B148" s="71">
        <f t="shared" si="9"/>
        <v>4.1499999999999932</v>
      </c>
      <c r="C148" s="4">
        <f t="shared" si="7"/>
        <v>0</v>
      </c>
      <c r="D148" s="4">
        <f t="shared" si="8"/>
        <v>2.2152153304419037E-14</v>
      </c>
    </row>
    <row r="149" spans="2:4" x14ac:dyDescent="0.25">
      <c r="B149" s="71">
        <f t="shared" si="9"/>
        <v>4.1999999999999931</v>
      </c>
      <c r="C149" s="4">
        <f t="shared" si="7"/>
        <v>0</v>
      </c>
      <c r="D149" s="4">
        <f t="shared" si="8"/>
        <v>1.0003496745404185E-14</v>
      </c>
    </row>
    <row r="150" spans="2:4" x14ac:dyDescent="0.25">
      <c r="B150" s="71">
        <f t="shared" si="9"/>
        <v>4.2499999999999929</v>
      </c>
      <c r="C150" s="4">
        <f t="shared" si="7"/>
        <v>0</v>
      </c>
      <c r="D150" s="4">
        <f t="shared" si="8"/>
        <v>4.4724426182460609E-15</v>
      </c>
    </row>
    <row r="151" spans="2:4" x14ac:dyDescent="0.25">
      <c r="B151" s="71">
        <f t="shared" si="9"/>
        <v>4.2999999999999927</v>
      </c>
      <c r="C151" s="4">
        <f t="shared" si="7"/>
        <v>0</v>
      </c>
      <c r="D151" s="4">
        <f t="shared" si="8"/>
        <v>1.9796789922026807E-15</v>
      </c>
    </row>
    <row r="152" spans="2:4" x14ac:dyDescent="0.25">
      <c r="B152" s="71">
        <f t="shared" si="9"/>
        <v>4.3499999999999925</v>
      </c>
      <c r="C152" s="4">
        <f t="shared" si="7"/>
        <v>0</v>
      </c>
      <c r="D152" s="4">
        <f t="shared" si="8"/>
        <v>8.6756460823096384E-16</v>
      </c>
    </row>
    <row r="153" spans="2:4" x14ac:dyDescent="0.25">
      <c r="B153" s="71">
        <f t="shared" si="9"/>
        <v>4.3999999999999924</v>
      </c>
      <c r="C153" s="4">
        <f t="shared" si="7"/>
        <v>0</v>
      </c>
      <c r="D153" s="4">
        <f t="shared" si="8"/>
        <v>3.7641414450582768E-16</v>
      </c>
    </row>
    <row r="154" spans="2:4" x14ac:dyDescent="0.25">
      <c r="B154" s="71">
        <f t="shared" si="9"/>
        <v>4.4499999999999922</v>
      </c>
      <c r="C154" s="4">
        <f t="shared" si="7"/>
        <v>0</v>
      </c>
      <c r="D154" s="4">
        <f t="shared" si="8"/>
        <v>1.6169146550707893E-16</v>
      </c>
    </row>
    <row r="155" spans="2:4" x14ac:dyDescent="0.25">
      <c r="B155" s="71">
        <f t="shared" si="9"/>
        <v>4.499999999999992</v>
      </c>
      <c r="C155" s="4">
        <f t="shared" si="7"/>
        <v>0</v>
      </c>
      <c r="D155" s="4">
        <f t="shared" si="8"/>
        <v>6.8764662421620191E-17</v>
      </c>
    </row>
    <row r="156" spans="2:4" x14ac:dyDescent="0.25">
      <c r="B156" s="71">
        <f t="shared" si="9"/>
        <v>4.5499999999999918</v>
      </c>
      <c r="C156" s="4">
        <f t="shared" si="7"/>
        <v>0</v>
      </c>
      <c r="D156" s="4">
        <f t="shared" si="8"/>
        <v>2.8953467878516939E-17</v>
      </c>
    </row>
    <row r="157" spans="2:4" x14ac:dyDescent="0.25">
      <c r="B157" s="71">
        <f t="shared" si="9"/>
        <v>4.5999999999999917</v>
      </c>
      <c r="C157" s="4">
        <f t="shared" si="7"/>
        <v>0</v>
      </c>
      <c r="D157" s="4">
        <f t="shared" si="8"/>
        <v>1.2069601096535476E-17</v>
      </c>
    </row>
    <row r="158" spans="2:4" x14ac:dyDescent="0.25">
      <c r="B158" s="71">
        <f t="shared" si="9"/>
        <v>4.6499999999999915</v>
      </c>
      <c r="C158" s="4">
        <f t="shared" si="7"/>
        <v>0</v>
      </c>
      <c r="D158" s="4">
        <f t="shared" si="8"/>
        <v>4.98129543836456E-18</v>
      </c>
    </row>
    <row r="159" spans="2:4" x14ac:dyDescent="0.25">
      <c r="B159" s="71">
        <f t="shared" si="9"/>
        <v>4.6999999999999913</v>
      </c>
      <c r="C159" s="4">
        <f t="shared" si="7"/>
        <v>0</v>
      </c>
      <c r="D159" s="4">
        <f t="shared" si="8"/>
        <v>2.0353951671907632E-18</v>
      </c>
    </row>
    <row r="160" spans="2:4" x14ac:dyDescent="0.25">
      <c r="B160" s="71">
        <f t="shared" si="9"/>
        <v>4.7499999999999911</v>
      </c>
      <c r="C160" s="4">
        <f t="shared" si="7"/>
        <v>0</v>
      </c>
      <c r="D160" s="4">
        <f t="shared" si="8"/>
        <v>8.2340259786493038E-19</v>
      </c>
    </row>
    <row r="161" spans="2:4" x14ac:dyDescent="0.25">
      <c r="B161" s="71">
        <f t="shared" si="9"/>
        <v>4.7999999999999909</v>
      </c>
      <c r="C161" s="4">
        <f t="shared" si="7"/>
        <v>0</v>
      </c>
      <c r="D161" s="4">
        <f t="shared" si="8"/>
        <v>3.2978643041127982E-19</v>
      </c>
    </row>
    <row r="162" spans="2:4" x14ac:dyDescent="0.25">
      <c r="B162" s="71">
        <f t="shared" si="9"/>
        <v>4.8499999999999908</v>
      </c>
      <c r="C162" s="4">
        <f t="shared" si="7"/>
        <v>0</v>
      </c>
      <c r="D162" s="4">
        <f t="shared" si="8"/>
        <v>1.3077068124266155E-19</v>
      </c>
    </row>
    <row r="163" spans="2:4" x14ac:dyDescent="0.25">
      <c r="B163" s="71">
        <f t="shared" si="9"/>
        <v>4.8999999999999906</v>
      </c>
      <c r="C163" s="4">
        <f t="shared" si="7"/>
        <v>0</v>
      </c>
      <c r="D163" s="4">
        <f t="shared" si="8"/>
        <v>5.1338721081796818E-20</v>
      </c>
    </row>
    <row r="164" spans="2:4" x14ac:dyDescent="0.25">
      <c r="B164" s="71">
        <f t="shared" si="9"/>
        <v>4.9499999999999904</v>
      </c>
      <c r="C164" s="4">
        <f t="shared" si="7"/>
        <v>0</v>
      </c>
      <c r="D164" s="4">
        <f t="shared" si="8"/>
        <v>1.9954312080717707E-20</v>
      </c>
    </row>
    <row r="165" spans="2:4" x14ac:dyDescent="0.25">
      <c r="B165" s="71">
        <f t="shared" si="9"/>
        <v>4.9999999999999902</v>
      </c>
      <c r="C165" s="4">
        <f t="shared" si="7"/>
        <v>0</v>
      </c>
      <c r="D165" s="4">
        <f t="shared" si="8"/>
        <v>7.6786616248604564E-21</v>
      </c>
    </row>
    <row r="166" spans="2:4" x14ac:dyDescent="0.25">
      <c r="B166" s="71">
        <f t="shared" si="9"/>
        <v>5.0499999999999901</v>
      </c>
      <c r="C166" s="4">
        <f t="shared" si="7"/>
        <v>0</v>
      </c>
      <c r="D166" s="4">
        <f t="shared" si="8"/>
        <v>2.9254410755550058E-21</v>
      </c>
    </row>
    <row r="167" spans="2:4" x14ac:dyDescent="0.25">
      <c r="B167" s="71">
        <f t="shared" si="9"/>
        <v>5.0999999999999899</v>
      </c>
      <c r="C167" s="4">
        <f t="shared" si="7"/>
        <v>0</v>
      </c>
      <c r="D167" s="4">
        <f t="shared" si="8"/>
        <v>1.1034540044989321E-21</v>
      </c>
    </row>
    <row r="168" spans="2:4" x14ac:dyDescent="0.25">
      <c r="B168" s="71">
        <f t="shared" si="9"/>
        <v>5.1499999999999897</v>
      </c>
      <c r="C168" s="4">
        <f t="shared" si="7"/>
        <v>0</v>
      </c>
      <c r="D168" s="4">
        <f t="shared" si="8"/>
        <v>4.1207301040024715E-22</v>
      </c>
    </row>
    <row r="169" spans="2:4" x14ac:dyDescent="0.25">
      <c r="B169" s="71">
        <f t="shared" si="9"/>
        <v>5.1999999999999895</v>
      </c>
      <c r="C169" s="4">
        <f t="shared" si="7"/>
        <v>0</v>
      </c>
      <c r="D169" s="4">
        <f t="shared" si="8"/>
        <v>1.523530528088196E-22</v>
      </c>
    </row>
    <row r="170" spans="2:4" x14ac:dyDescent="0.25">
      <c r="B170" s="71">
        <f t="shared" si="9"/>
        <v>5.2499999999999893</v>
      </c>
      <c r="C170" s="4">
        <f t="shared" si="7"/>
        <v>0</v>
      </c>
      <c r="D170" s="4">
        <f t="shared" si="8"/>
        <v>5.5768017576681477E-23</v>
      </c>
    </row>
    <row r="171" spans="2:4" x14ac:dyDescent="0.25">
      <c r="B171" s="71">
        <f t="shared" si="9"/>
        <v>5.2999999999999892</v>
      </c>
      <c r="C171" s="4">
        <f t="shared" si="7"/>
        <v>0</v>
      </c>
      <c r="D171" s="4">
        <f t="shared" si="8"/>
        <v>2.021046507673053E-23</v>
      </c>
    </row>
    <row r="172" spans="2:4" x14ac:dyDescent="0.25">
      <c r="B172" s="71">
        <f t="shared" si="9"/>
        <v>5.349999999999989</v>
      </c>
      <c r="C172" s="4">
        <f t="shared" si="7"/>
        <v>0</v>
      </c>
      <c r="D172" s="4">
        <f t="shared" si="8"/>
        <v>7.2514434337414E-24</v>
      </c>
    </row>
    <row r="173" spans="2:4" x14ac:dyDescent="0.25">
      <c r="B173" s="71">
        <f t="shared" si="9"/>
        <v>5.3999999999999888</v>
      </c>
      <c r="C173" s="4">
        <f t="shared" si="7"/>
        <v>0</v>
      </c>
      <c r="D173" s="4">
        <f t="shared" si="8"/>
        <v>2.57590400744997E-24</v>
      </c>
    </row>
    <row r="174" spans="2:4" x14ac:dyDescent="0.25">
      <c r="B174" s="71">
        <f t="shared" si="9"/>
        <v>5.4499999999999886</v>
      </c>
      <c r="C174" s="4">
        <f t="shared" si="7"/>
        <v>0</v>
      </c>
      <c r="D174" s="4">
        <f t="shared" si="8"/>
        <v>9.0592436692333836E-25</v>
      </c>
    </row>
    <row r="175" spans="2:4" x14ac:dyDescent="0.25">
      <c r="B175" s="71">
        <f t="shared" si="9"/>
        <v>5.4999999999999885</v>
      </c>
      <c r="C175" s="4">
        <f t="shared" si="7"/>
        <v>0</v>
      </c>
      <c r="D175" s="4">
        <f t="shared" si="8"/>
        <v>3.1543600427486983E-25</v>
      </c>
    </row>
    <row r="176" spans="2:4" x14ac:dyDescent="0.25">
      <c r="B176" s="71">
        <f t="shared" si="9"/>
        <v>5.5499999999999883</v>
      </c>
      <c r="C176" s="4">
        <f t="shared" si="7"/>
        <v>0</v>
      </c>
      <c r="D176" s="4">
        <f t="shared" si="8"/>
        <v>1.0873957707001981E-25</v>
      </c>
    </row>
    <row r="177" spans="2:4" x14ac:dyDescent="0.25">
      <c r="B177" s="71">
        <f t="shared" si="9"/>
        <v>5.5999999999999881</v>
      </c>
      <c r="C177" s="4">
        <f t="shared" si="7"/>
        <v>0</v>
      </c>
      <c r="D177" s="4">
        <f t="shared" si="8"/>
        <v>3.7112573566377593E-26</v>
      </c>
    </row>
    <row r="178" spans="2:4" x14ac:dyDescent="0.25">
      <c r="B178" s="71">
        <f t="shared" si="9"/>
        <v>5.6499999999999879</v>
      </c>
      <c r="C178" s="4">
        <f t="shared" si="7"/>
        <v>0</v>
      </c>
      <c r="D178" s="4">
        <f t="shared" si="8"/>
        <v>1.2540404887227985E-26</v>
      </c>
    </row>
    <row r="179" spans="2:4" x14ac:dyDescent="0.25">
      <c r="B179" s="71">
        <f t="shared" si="9"/>
        <v>5.6999999999999877</v>
      </c>
      <c r="C179" s="4">
        <f t="shared" si="7"/>
        <v>0</v>
      </c>
      <c r="D179" s="4">
        <f t="shared" si="8"/>
        <v>4.1952621219496535E-27</v>
      </c>
    </row>
    <row r="180" spans="2:4" x14ac:dyDescent="0.25">
      <c r="B180" s="71">
        <f t="shared" si="9"/>
        <v>5.7499999999999876</v>
      </c>
      <c r="C180" s="4">
        <f t="shared" si="7"/>
        <v>0</v>
      </c>
      <c r="D180" s="4">
        <f t="shared" si="8"/>
        <v>1.3895164686473241E-27</v>
      </c>
    </row>
    <row r="181" spans="2:4" x14ac:dyDescent="0.25">
      <c r="B181" s="71">
        <f t="shared" si="9"/>
        <v>5.7999999999999874</v>
      </c>
      <c r="C181" s="4">
        <f t="shared" si="7"/>
        <v>0</v>
      </c>
      <c r="D181" s="4">
        <f t="shared" si="8"/>
        <v>4.5564368035206098E-28</v>
      </c>
    </row>
    <row r="182" spans="2:4" x14ac:dyDescent="0.25">
      <c r="B182" s="71">
        <f t="shared" si="9"/>
        <v>5.8499999999999872</v>
      </c>
      <c r="C182" s="4">
        <f t="shared" si="7"/>
        <v>0</v>
      </c>
      <c r="D182" s="4">
        <f t="shared" si="8"/>
        <v>1.4792584506253687E-28</v>
      </c>
    </row>
    <row r="183" spans="2:4" x14ac:dyDescent="0.25">
      <c r="B183" s="71">
        <f t="shared" si="9"/>
        <v>5.899999999999987</v>
      </c>
      <c r="C183" s="4">
        <f t="shared" si="7"/>
        <v>0</v>
      </c>
      <c r="D183" s="4">
        <f t="shared" si="8"/>
        <v>4.7546638920183194E-29</v>
      </c>
    </row>
    <row r="184" spans="2:4" x14ac:dyDescent="0.25">
      <c r="B184" s="71">
        <f t="shared" si="9"/>
        <v>5.9499999999999869</v>
      </c>
      <c r="C184" s="4">
        <f t="shared" si="7"/>
        <v>0</v>
      </c>
      <c r="D184" s="4">
        <f t="shared" si="8"/>
        <v>1.5130477714947394E-29</v>
      </c>
    </row>
    <row r="185" spans="2:4" x14ac:dyDescent="0.25">
      <c r="B185" s="71">
        <f t="shared" si="9"/>
        <v>5.9999999999999867</v>
      </c>
      <c r="C185" s="4">
        <f t="shared" si="7"/>
        <v>0</v>
      </c>
      <c r="D185" s="4">
        <f t="shared" si="8"/>
        <v>4.7669710410433067E-30</v>
      </c>
    </row>
    <row r="186" spans="2:4" x14ac:dyDescent="0.25">
      <c r="B186" s="71">
        <f t="shared" si="9"/>
        <v>6.0499999999999865</v>
      </c>
      <c r="C186" s="4">
        <f t="shared" si="7"/>
        <v>0</v>
      </c>
      <c r="D186" s="4">
        <f t="shared" si="8"/>
        <v>1.4869262969547771E-30</v>
      </c>
    </row>
    <row r="187" spans="2:4" x14ac:dyDescent="0.25">
      <c r="B187" s="71">
        <f t="shared" si="9"/>
        <v>6.0999999999999863</v>
      </c>
      <c r="C187" s="4">
        <f t="shared" si="7"/>
        <v>0</v>
      </c>
      <c r="D187" s="4">
        <f t="shared" si="8"/>
        <v>4.5919106189686128E-31</v>
      </c>
    </row>
    <row r="188" spans="2:4" x14ac:dyDescent="0.25">
      <c r="B188" s="71">
        <f t="shared" si="9"/>
        <v>6.1499999999999861</v>
      </c>
      <c r="C188" s="4">
        <f t="shared" si="7"/>
        <v>0</v>
      </c>
      <c r="D188" s="4">
        <f t="shared" si="8"/>
        <v>1.4039591283492348E-31</v>
      </c>
    </row>
    <row r="189" spans="2:4" x14ac:dyDescent="0.25">
      <c r="B189" s="71">
        <f t="shared" si="9"/>
        <v>6.199999999999986</v>
      </c>
      <c r="C189" s="4">
        <f t="shared" si="7"/>
        <v>0</v>
      </c>
      <c r="D189" s="4">
        <f t="shared" si="8"/>
        <v>4.249839796614309E-32</v>
      </c>
    </row>
    <row r="190" spans="2:4" x14ac:dyDescent="0.25">
      <c r="B190" s="71">
        <f t="shared" si="9"/>
        <v>6.2499999999999858</v>
      </c>
      <c r="C190" s="4">
        <f t="shared" si="7"/>
        <v>0</v>
      </c>
      <c r="D190" s="4">
        <f t="shared" si="8"/>
        <v>1.2736429862583128E-32</v>
      </c>
    </row>
    <row r="191" spans="2:4" x14ac:dyDescent="0.25">
      <c r="B191" s="71">
        <f t="shared" si="9"/>
        <v>6.2999999999999856</v>
      </c>
      <c r="C191" s="4">
        <f t="shared" si="7"/>
        <v>0</v>
      </c>
      <c r="D191" s="4">
        <f t="shared" si="8"/>
        <v>3.7790262865821855E-33</v>
      </c>
    </row>
    <row r="192" spans="2:4" x14ac:dyDescent="0.25">
      <c r="B192" s="71">
        <f t="shared" si="9"/>
        <v>6.3499999999999854</v>
      </c>
      <c r="C192" s="4">
        <f t="shared" si="7"/>
        <v>0</v>
      </c>
      <c r="D192" s="4">
        <f t="shared" si="8"/>
        <v>1.110118071408569E-33</v>
      </c>
    </row>
    <row r="193" spans="2:4" x14ac:dyDescent="0.25">
      <c r="B193" s="71">
        <f t="shared" si="9"/>
        <v>6.3999999999999853</v>
      </c>
      <c r="C193" s="4">
        <f t="shared" ref="C193:C256" si="10">_xlfn.NORM.DIST(B193,$C$45,C$46,FALSE)*G1_Weight</f>
        <v>0</v>
      </c>
      <c r="D193" s="4">
        <f t="shared" ref="D193:D256" si="11">_xlfn.NORM.DIST(B193,D$45,D$46,FALSE)*G2_Weight</f>
        <v>3.2286092549837365E-34</v>
      </c>
    </row>
    <row r="194" spans="2:4" x14ac:dyDescent="0.25">
      <c r="B194" s="71">
        <f t="shared" ref="B194:B257" si="12">B193+$A$65</f>
        <v>6.4499999999999851</v>
      </c>
      <c r="C194" s="4">
        <f t="shared" si="10"/>
        <v>0</v>
      </c>
      <c r="D194" s="4">
        <f t="shared" si="11"/>
        <v>9.2964868087943562E-35</v>
      </c>
    </row>
    <row r="195" spans="2:4" x14ac:dyDescent="0.25">
      <c r="B195" s="71">
        <f t="shared" si="12"/>
        <v>6.4999999999999849</v>
      </c>
      <c r="C195" s="4">
        <f t="shared" si="10"/>
        <v>0</v>
      </c>
      <c r="D195" s="4">
        <f t="shared" si="11"/>
        <v>2.6502038625245069E-35</v>
      </c>
    </row>
    <row r="196" spans="2:4" x14ac:dyDescent="0.25">
      <c r="B196" s="71">
        <f t="shared" si="12"/>
        <v>6.5499999999999847</v>
      </c>
      <c r="C196" s="4">
        <f t="shared" si="10"/>
        <v>0</v>
      </c>
      <c r="D196" s="4">
        <f t="shared" si="11"/>
        <v>7.4799167278781263E-36</v>
      </c>
    </row>
    <row r="197" spans="2:4" x14ac:dyDescent="0.25">
      <c r="B197" s="71">
        <f t="shared" si="12"/>
        <v>6.5999999999999845</v>
      </c>
      <c r="C197" s="4">
        <f t="shared" si="10"/>
        <v>0</v>
      </c>
      <c r="D197" s="4">
        <f t="shared" si="11"/>
        <v>2.0901203734865035E-36</v>
      </c>
    </row>
    <row r="198" spans="2:4" x14ac:dyDescent="0.25">
      <c r="B198" s="71">
        <f t="shared" si="12"/>
        <v>6.6499999999999844</v>
      </c>
      <c r="C198" s="4">
        <f t="shared" si="10"/>
        <v>0</v>
      </c>
      <c r="D198" s="4">
        <f t="shared" si="11"/>
        <v>5.7823302118612962E-37</v>
      </c>
    </row>
    <row r="199" spans="2:4" x14ac:dyDescent="0.25">
      <c r="B199" s="71">
        <f t="shared" si="12"/>
        <v>6.6999999999999842</v>
      </c>
      <c r="C199" s="4">
        <f t="shared" si="10"/>
        <v>0</v>
      </c>
      <c r="D199" s="4">
        <f t="shared" si="11"/>
        <v>1.5837678958880013E-37</v>
      </c>
    </row>
    <row r="200" spans="2:4" x14ac:dyDescent="0.25">
      <c r="B200" s="71">
        <f t="shared" si="12"/>
        <v>6.749999999999984</v>
      </c>
      <c r="C200" s="4">
        <f t="shared" si="10"/>
        <v>0</v>
      </c>
      <c r="D200" s="4">
        <f t="shared" si="11"/>
        <v>4.2947435525178817E-38</v>
      </c>
    </row>
    <row r="201" spans="2:4" x14ac:dyDescent="0.25">
      <c r="B201" s="71">
        <f t="shared" si="12"/>
        <v>6.7999999999999838</v>
      </c>
      <c r="C201" s="4">
        <f t="shared" si="10"/>
        <v>0</v>
      </c>
      <c r="D201" s="4">
        <f t="shared" si="11"/>
        <v>1.1530283687483323E-38</v>
      </c>
    </row>
    <row r="202" spans="2:4" x14ac:dyDescent="0.25">
      <c r="B202" s="71">
        <f t="shared" si="12"/>
        <v>6.8499999999999837</v>
      </c>
      <c r="C202" s="4">
        <f t="shared" si="10"/>
        <v>0</v>
      </c>
      <c r="D202" s="4">
        <f t="shared" si="11"/>
        <v>3.0647835232678387E-39</v>
      </c>
    </row>
    <row r="203" spans="2:4" x14ac:dyDescent="0.25">
      <c r="B203" s="71">
        <f t="shared" si="12"/>
        <v>6.8999999999999835</v>
      </c>
      <c r="C203" s="4">
        <f t="shared" si="10"/>
        <v>0</v>
      </c>
      <c r="D203" s="4">
        <f t="shared" si="11"/>
        <v>8.0652284015088005E-40</v>
      </c>
    </row>
    <row r="204" spans="2:4" x14ac:dyDescent="0.25">
      <c r="B204" s="71">
        <f t="shared" si="12"/>
        <v>6.9499999999999833</v>
      </c>
      <c r="C204" s="4">
        <f t="shared" si="10"/>
        <v>0</v>
      </c>
      <c r="D204" s="4">
        <f t="shared" si="11"/>
        <v>2.1013122515530834E-40</v>
      </c>
    </row>
    <row r="205" spans="2:4" x14ac:dyDescent="0.25">
      <c r="B205" s="71">
        <f t="shared" si="12"/>
        <v>6.9999999999999831</v>
      </c>
      <c r="C205" s="4">
        <f t="shared" si="10"/>
        <v>0</v>
      </c>
      <c r="D205" s="4">
        <f t="shared" si="11"/>
        <v>5.4202781008659755E-41</v>
      </c>
    </row>
    <row r="206" spans="2:4" x14ac:dyDescent="0.25">
      <c r="B206" s="71">
        <f t="shared" si="12"/>
        <v>7.0499999999999829</v>
      </c>
      <c r="C206" s="4">
        <f t="shared" si="10"/>
        <v>0</v>
      </c>
      <c r="D206" s="4">
        <f t="shared" si="11"/>
        <v>1.384234285442534E-41</v>
      </c>
    </row>
    <row r="207" spans="2:4" x14ac:dyDescent="0.25">
      <c r="B207" s="71">
        <f t="shared" si="12"/>
        <v>7.0999999999999828</v>
      </c>
      <c r="C207" s="4">
        <f t="shared" si="10"/>
        <v>0</v>
      </c>
      <c r="D207" s="4">
        <f t="shared" si="11"/>
        <v>3.4998923723036729E-42</v>
      </c>
    </row>
    <row r="208" spans="2:4" x14ac:dyDescent="0.25">
      <c r="B208" s="71">
        <f t="shared" si="12"/>
        <v>7.1499999999999826</v>
      </c>
      <c r="C208" s="4">
        <f t="shared" si="10"/>
        <v>0</v>
      </c>
      <c r="D208" s="4">
        <f t="shared" si="11"/>
        <v>8.7610635749703689E-43</v>
      </c>
    </row>
    <row r="209" spans="2:4" x14ac:dyDescent="0.25">
      <c r="B209" s="71">
        <f t="shared" si="12"/>
        <v>7.1999999999999824</v>
      </c>
      <c r="C209" s="4">
        <f t="shared" si="10"/>
        <v>0</v>
      </c>
      <c r="D209" s="4">
        <f t="shared" si="11"/>
        <v>2.171280987591243E-43</v>
      </c>
    </row>
    <row r="210" spans="2:4" x14ac:dyDescent="0.25">
      <c r="B210" s="71">
        <f t="shared" si="12"/>
        <v>7.2499999999999822</v>
      </c>
      <c r="C210" s="4">
        <f t="shared" si="10"/>
        <v>0</v>
      </c>
      <c r="D210" s="4">
        <f t="shared" si="11"/>
        <v>5.3276082465747323E-44</v>
      </c>
    </row>
    <row r="211" spans="2:4" x14ac:dyDescent="0.25">
      <c r="B211" s="71">
        <f t="shared" si="12"/>
        <v>7.2999999999999821</v>
      </c>
      <c r="C211" s="4">
        <f t="shared" si="10"/>
        <v>0</v>
      </c>
      <c r="D211" s="4">
        <f t="shared" si="11"/>
        <v>1.2942125015137564E-44</v>
      </c>
    </row>
    <row r="212" spans="2:4" x14ac:dyDescent="0.25">
      <c r="B212" s="71">
        <f t="shared" si="12"/>
        <v>7.3499999999999819</v>
      </c>
      <c r="C212" s="4">
        <f t="shared" si="10"/>
        <v>0</v>
      </c>
      <c r="D212" s="4">
        <f t="shared" si="11"/>
        <v>3.1126905980409861E-45</v>
      </c>
    </row>
    <row r="213" spans="2:4" x14ac:dyDescent="0.25">
      <c r="B213" s="71">
        <f t="shared" si="12"/>
        <v>7.3999999999999817</v>
      </c>
      <c r="C213" s="4">
        <f t="shared" si="10"/>
        <v>0</v>
      </c>
      <c r="D213" s="4">
        <f t="shared" si="11"/>
        <v>7.4117945481763202E-46</v>
      </c>
    </row>
    <row r="214" spans="2:4" x14ac:dyDescent="0.25">
      <c r="B214" s="71">
        <f t="shared" si="12"/>
        <v>7.4499999999999815</v>
      </c>
      <c r="C214" s="4">
        <f t="shared" si="10"/>
        <v>0</v>
      </c>
      <c r="D214" s="4">
        <f t="shared" si="11"/>
        <v>1.7473014849707187E-46</v>
      </c>
    </row>
    <row r="215" spans="2:4" x14ac:dyDescent="0.25">
      <c r="B215" s="71">
        <f t="shared" si="12"/>
        <v>7.4999999999999813</v>
      </c>
      <c r="C215" s="4">
        <f t="shared" si="10"/>
        <v>0</v>
      </c>
      <c r="D215" s="4">
        <f t="shared" si="11"/>
        <v>4.0782080243719438E-47</v>
      </c>
    </row>
    <row r="216" spans="2:4" x14ac:dyDescent="0.25">
      <c r="B216" s="71">
        <f t="shared" si="12"/>
        <v>7.5499999999999812</v>
      </c>
      <c r="C216" s="4">
        <f t="shared" si="10"/>
        <v>0</v>
      </c>
      <c r="D216" s="4">
        <f t="shared" si="11"/>
        <v>9.4238411909859629E-48</v>
      </c>
    </row>
    <row r="217" spans="2:4" x14ac:dyDescent="0.25">
      <c r="B217" s="71">
        <f t="shared" si="12"/>
        <v>7.599999999999981</v>
      </c>
      <c r="C217" s="4">
        <f t="shared" si="10"/>
        <v>0</v>
      </c>
      <c r="D217" s="4">
        <f t="shared" si="11"/>
        <v>2.1559743915501448E-48</v>
      </c>
    </row>
    <row r="218" spans="2:4" x14ac:dyDescent="0.25">
      <c r="B218" s="71">
        <f t="shared" si="12"/>
        <v>7.6499999999999808</v>
      </c>
      <c r="C218" s="4">
        <f t="shared" si="10"/>
        <v>0</v>
      </c>
      <c r="D218" s="4">
        <f t="shared" si="11"/>
        <v>4.8833324612463359E-49</v>
      </c>
    </row>
    <row r="219" spans="2:4" x14ac:dyDescent="0.25">
      <c r="B219" s="71">
        <f t="shared" si="12"/>
        <v>7.6999999999999806</v>
      </c>
      <c r="C219" s="4">
        <f t="shared" si="10"/>
        <v>0</v>
      </c>
      <c r="D219" s="4">
        <f t="shared" si="11"/>
        <v>1.0950804908698324E-49</v>
      </c>
    </row>
    <row r="220" spans="2:4" x14ac:dyDescent="0.25">
      <c r="B220" s="71">
        <f t="shared" si="12"/>
        <v>7.7499999999999805</v>
      </c>
      <c r="C220" s="4">
        <f t="shared" si="10"/>
        <v>0</v>
      </c>
      <c r="D220" s="4">
        <f t="shared" si="11"/>
        <v>2.4312680711108754E-50</v>
      </c>
    </row>
    <row r="221" spans="2:4" x14ac:dyDescent="0.25">
      <c r="B221" s="71">
        <f t="shared" si="12"/>
        <v>7.7999999999999803</v>
      </c>
      <c r="C221" s="4">
        <f t="shared" si="10"/>
        <v>0</v>
      </c>
      <c r="D221" s="4">
        <f t="shared" si="11"/>
        <v>5.3441262158920007E-51</v>
      </c>
    </row>
    <row r="222" spans="2:4" x14ac:dyDescent="0.25">
      <c r="B222" s="71">
        <f t="shared" si="12"/>
        <v>7.8499999999999801</v>
      </c>
      <c r="C222" s="4">
        <f t="shared" si="10"/>
        <v>0</v>
      </c>
      <c r="D222" s="4">
        <f t="shared" si="11"/>
        <v>1.1629943951236247E-51</v>
      </c>
    </row>
    <row r="223" spans="2:4" x14ac:dyDescent="0.25">
      <c r="B223" s="71">
        <f t="shared" si="12"/>
        <v>7.8999999999999799</v>
      </c>
      <c r="C223" s="4">
        <f t="shared" si="10"/>
        <v>0</v>
      </c>
      <c r="D223" s="4">
        <f t="shared" si="11"/>
        <v>2.5057376122790108E-52</v>
      </c>
    </row>
    <row r="224" spans="2:4" x14ac:dyDescent="0.25">
      <c r="B224" s="71">
        <f t="shared" si="12"/>
        <v>7.9499999999999797</v>
      </c>
      <c r="C224" s="4">
        <f t="shared" si="10"/>
        <v>0</v>
      </c>
      <c r="D224" s="4">
        <f t="shared" si="11"/>
        <v>5.3450357886888202E-53</v>
      </c>
    </row>
    <row r="225" spans="2:4" x14ac:dyDescent="0.25">
      <c r="B225" s="71">
        <f t="shared" si="12"/>
        <v>7.9999999999999796</v>
      </c>
      <c r="C225" s="4">
        <f t="shared" si="10"/>
        <v>0</v>
      </c>
      <c r="D225" s="4">
        <f t="shared" si="11"/>
        <v>1.1288148084070967E-53</v>
      </c>
    </row>
    <row r="226" spans="2:4" x14ac:dyDescent="0.25">
      <c r="B226" s="71">
        <f t="shared" si="12"/>
        <v>8.0499999999999794</v>
      </c>
      <c r="C226" s="4">
        <f t="shared" si="10"/>
        <v>0</v>
      </c>
      <c r="D226" s="4">
        <f t="shared" si="11"/>
        <v>2.3602164553042043E-54</v>
      </c>
    </row>
    <row r="227" spans="2:4" x14ac:dyDescent="0.25">
      <c r="B227" s="71">
        <f t="shared" si="12"/>
        <v>8.0999999999999801</v>
      </c>
      <c r="C227" s="4">
        <f t="shared" si="10"/>
        <v>0</v>
      </c>
      <c r="D227" s="4">
        <f t="shared" si="11"/>
        <v>4.8858263221030005E-55</v>
      </c>
    </row>
    <row r="228" spans="2:4" x14ac:dyDescent="0.25">
      <c r="B228" s="71">
        <f t="shared" si="12"/>
        <v>8.1499999999999808</v>
      </c>
      <c r="C228" s="4">
        <f t="shared" si="10"/>
        <v>0</v>
      </c>
      <c r="D228" s="4">
        <f t="shared" si="11"/>
        <v>1.0013393222669462E-55</v>
      </c>
    </row>
    <row r="229" spans="2:4" x14ac:dyDescent="0.25">
      <c r="B229" s="71">
        <f t="shared" si="12"/>
        <v>8.1999999999999815</v>
      </c>
      <c r="C229" s="4">
        <f t="shared" si="10"/>
        <v>0</v>
      </c>
      <c r="D229" s="4">
        <f t="shared" si="11"/>
        <v>2.0318028841291817E-56</v>
      </c>
    </row>
    <row r="230" spans="2:4" x14ac:dyDescent="0.25">
      <c r="B230" s="71">
        <f t="shared" si="12"/>
        <v>8.2499999999999822</v>
      </c>
      <c r="C230" s="4">
        <f t="shared" si="10"/>
        <v>0</v>
      </c>
      <c r="D230" s="4">
        <f t="shared" si="11"/>
        <v>4.081679770580181E-57</v>
      </c>
    </row>
    <row r="231" spans="2:4" x14ac:dyDescent="0.25">
      <c r="B231" s="71">
        <f t="shared" si="12"/>
        <v>8.2999999999999829</v>
      </c>
      <c r="C231" s="4">
        <f t="shared" si="10"/>
        <v>0</v>
      </c>
      <c r="D231" s="4">
        <f t="shared" si="11"/>
        <v>8.1180802609541569E-58</v>
      </c>
    </row>
    <row r="232" spans="2:4" x14ac:dyDescent="0.25">
      <c r="B232" s="71">
        <f t="shared" si="12"/>
        <v>8.3499999999999837</v>
      </c>
      <c r="C232" s="4">
        <f t="shared" si="10"/>
        <v>0</v>
      </c>
      <c r="D232" s="4">
        <f t="shared" si="11"/>
        <v>1.5985447836265388E-58</v>
      </c>
    </row>
    <row r="233" spans="2:4" x14ac:dyDescent="0.25">
      <c r="B233" s="71">
        <f t="shared" si="12"/>
        <v>8.3999999999999844</v>
      </c>
      <c r="C233" s="4">
        <f t="shared" si="10"/>
        <v>0</v>
      </c>
      <c r="D233" s="4">
        <f t="shared" si="11"/>
        <v>3.1164009619592625E-59</v>
      </c>
    </row>
    <row r="234" spans="2:4" x14ac:dyDescent="0.25">
      <c r="B234" s="71">
        <f t="shared" si="12"/>
        <v>8.4499999999999851</v>
      </c>
      <c r="C234" s="4">
        <f t="shared" si="10"/>
        <v>0</v>
      </c>
      <c r="D234" s="4">
        <f t="shared" si="11"/>
        <v>6.0150453636067833E-60</v>
      </c>
    </row>
    <row r="235" spans="2:4" x14ac:dyDescent="0.25">
      <c r="B235" s="71">
        <f t="shared" si="12"/>
        <v>8.4999999999999858</v>
      </c>
      <c r="C235" s="4">
        <f t="shared" si="10"/>
        <v>0</v>
      </c>
      <c r="D235" s="4">
        <f t="shared" si="11"/>
        <v>1.149427383693243E-60</v>
      </c>
    </row>
    <row r="236" spans="2:4" x14ac:dyDescent="0.25">
      <c r="B236" s="71">
        <f t="shared" si="12"/>
        <v>8.5499999999999865</v>
      </c>
      <c r="C236" s="4">
        <f t="shared" si="10"/>
        <v>0</v>
      </c>
      <c r="D236" s="4">
        <f t="shared" si="11"/>
        <v>2.1746092302342829E-61</v>
      </c>
    </row>
    <row r="237" spans="2:4" x14ac:dyDescent="0.25">
      <c r="B237" s="71">
        <f t="shared" si="12"/>
        <v>8.5999999999999872</v>
      </c>
      <c r="C237" s="4">
        <f t="shared" si="10"/>
        <v>0</v>
      </c>
      <c r="D237" s="4">
        <f t="shared" si="11"/>
        <v>4.0732209599982724E-62</v>
      </c>
    </row>
    <row r="238" spans="2:4" x14ac:dyDescent="0.25">
      <c r="B238" s="71">
        <f t="shared" si="12"/>
        <v>8.6499999999999879</v>
      </c>
      <c r="C238" s="4">
        <f t="shared" si="10"/>
        <v>0</v>
      </c>
      <c r="D238" s="4">
        <f t="shared" si="11"/>
        <v>7.5535614715803234E-63</v>
      </c>
    </row>
    <row r="239" spans="2:4" x14ac:dyDescent="0.25">
      <c r="B239" s="71">
        <f t="shared" si="12"/>
        <v>8.6999999999999886</v>
      </c>
      <c r="C239" s="4">
        <f t="shared" si="10"/>
        <v>0</v>
      </c>
      <c r="D239" s="4">
        <f t="shared" si="11"/>
        <v>1.3868280625955915E-63</v>
      </c>
    </row>
    <row r="240" spans="2:4" x14ac:dyDescent="0.25">
      <c r="B240" s="71">
        <f t="shared" si="12"/>
        <v>8.7499999999999893</v>
      </c>
      <c r="C240" s="4">
        <f t="shared" si="10"/>
        <v>0</v>
      </c>
      <c r="D240" s="4">
        <f t="shared" si="11"/>
        <v>2.5208704615295229E-64</v>
      </c>
    </row>
    <row r="241" spans="2:4" x14ac:dyDescent="0.25">
      <c r="B241" s="71">
        <f t="shared" si="12"/>
        <v>8.7999999999999901</v>
      </c>
      <c r="C241" s="4">
        <f t="shared" si="10"/>
        <v>0</v>
      </c>
      <c r="D241" s="4">
        <f t="shared" si="11"/>
        <v>4.5366522769263177E-65</v>
      </c>
    </row>
    <row r="242" spans="2:4" x14ac:dyDescent="0.25">
      <c r="B242" s="71">
        <f t="shared" si="12"/>
        <v>8.8499999999999908</v>
      </c>
      <c r="C242" s="4">
        <f t="shared" si="10"/>
        <v>0</v>
      </c>
      <c r="D242" s="4">
        <f t="shared" si="11"/>
        <v>8.0830918101241187E-66</v>
      </c>
    </row>
    <row r="243" spans="2:4" x14ac:dyDescent="0.25">
      <c r="B243" s="71">
        <f t="shared" si="12"/>
        <v>8.8999999999999915</v>
      </c>
      <c r="C243" s="4">
        <f t="shared" si="10"/>
        <v>0</v>
      </c>
      <c r="D243" s="4">
        <f t="shared" si="11"/>
        <v>1.4258590142387093E-66</v>
      </c>
    </row>
    <row r="244" spans="2:4" x14ac:dyDescent="0.25">
      <c r="B244" s="71">
        <f t="shared" si="12"/>
        <v>8.9499999999999922</v>
      </c>
      <c r="C244" s="4">
        <f t="shared" si="10"/>
        <v>0</v>
      </c>
      <c r="D244" s="4">
        <f t="shared" si="11"/>
        <v>2.4901913180994605E-67</v>
      </c>
    </row>
    <row r="245" spans="2:4" x14ac:dyDescent="0.25">
      <c r="B245" s="71">
        <f t="shared" si="12"/>
        <v>8.9999999999999929</v>
      </c>
      <c r="C245" s="4">
        <f t="shared" si="10"/>
        <v>0</v>
      </c>
      <c r="D245" s="4">
        <f t="shared" si="11"/>
        <v>4.305721135913417E-68</v>
      </c>
    </row>
    <row r="246" spans="2:4" x14ac:dyDescent="0.25">
      <c r="B246" s="71">
        <f t="shared" si="12"/>
        <v>9.0499999999999936</v>
      </c>
      <c r="C246" s="4">
        <f t="shared" si="10"/>
        <v>0</v>
      </c>
      <c r="D246" s="4">
        <f t="shared" si="11"/>
        <v>7.370825647572756E-69</v>
      </c>
    </row>
    <row r="247" spans="2:4" x14ac:dyDescent="0.25">
      <c r="B247" s="71">
        <f t="shared" si="12"/>
        <v>9.0999999999999943</v>
      </c>
      <c r="C247" s="4">
        <f t="shared" si="10"/>
        <v>0</v>
      </c>
      <c r="D247" s="4">
        <f t="shared" si="11"/>
        <v>1.2492329564097891E-69</v>
      </c>
    </row>
    <row r="248" spans="2:4" x14ac:dyDescent="0.25">
      <c r="B248" s="71">
        <f t="shared" si="12"/>
        <v>9.149999999999995</v>
      </c>
      <c r="C248" s="4">
        <f t="shared" si="10"/>
        <v>0</v>
      </c>
      <c r="D248" s="4">
        <f t="shared" si="11"/>
        <v>2.0961761859013068E-70</v>
      </c>
    </row>
    <row r="249" spans="2:4" x14ac:dyDescent="0.25">
      <c r="B249" s="71">
        <f t="shared" si="12"/>
        <v>9.1999999999999957</v>
      </c>
      <c r="C249" s="4">
        <f t="shared" si="10"/>
        <v>0</v>
      </c>
      <c r="D249" s="4">
        <f t="shared" si="11"/>
        <v>3.4823240943387015E-71</v>
      </c>
    </row>
    <row r="250" spans="2:4" x14ac:dyDescent="0.25">
      <c r="B250" s="71">
        <f t="shared" si="12"/>
        <v>9.2499999999999964</v>
      </c>
      <c r="C250" s="4">
        <f t="shared" si="10"/>
        <v>0</v>
      </c>
      <c r="D250" s="4">
        <f t="shared" si="11"/>
        <v>5.7275336304188705E-72</v>
      </c>
    </row>
    <row r="251" spans="2:4" x14ac:dyDescent="0.25">
      <c r="B251" s="71">
        <f t="shared" si="12"/>
        <v>9.2999999999999972</v>
      </c>
      <c r="C251" s="4">
        <f t="shared" si="10"/>
        <v>0</v>
      </c>
      <c r="D251" s="4">
        <f t="shared" si="11"/>
        <v>9.3265959661189598E-73</v>
      </c>
    </row>
    <row r="252" spans="2:4" x14ac:dyDescent="0.25">
      <c r="B252" s="71">
        <f t="shared" si="12"/>
        <v>9.3499999999999979</v>
      </c>
      <c r="C252" s="4">
        <f t="shared" si="10"/>
        <v>0</v>
      </c>
      <c r="D252" s="4">
        <f t="shared" si="11"/>
        <v>1.5036118294079525E-73</v>
      </c>
    </row>
    <row r="253" spans="2:4" x14ac:dyDescent="0.25">
      <c r="B253" s="71">
        <f t="shared" si="12"/>
        <v>9.3999999999999986</v>
      </c>
      <c r="C253" s="4">
        <f t="shared" si="10"/>
        <v>0</v>
      </c>
      <c r="D253" s="4">
        <f t="shared" si="11"/>
        <v>2.3999674939176066E-74</v>
      </c>
    </row>
    <row r="254" spans="2:4" x14ac:dyDescent="0.25">
      <c r="B254" s="71">
        <f t="shared" si="12"/>
        <v>9.4499999999999993</v>
      </c>
      <c r="C254" s="4">
        <f t="shared" si="10"/>
        <v>0</v>
      </c>
      <c r="D254" s="4">
        <f t="shared" si="11"/>
        <v>3.7925563335104322E-75</v>
      </c>
    </row>
    <row r="255" spans="2:4" x14ac:dyDescent="0.25">
      <c r="B255" s="71">
        <f t="shared" si="12"/>
        <v>9.5</v>
      </c>
      <c r="C255" s="4">
        <f t="shared" si="10"/>
        <v>0</v>
      </c>
      <c r="D255" s="4">
        <f t="shared" si="11"/>
        <v>5.9335659863823336E-76</v>
      </c>
    </row>
    <row r="256" spans="2:4" x14ac:dyDescent="0.25">
      <c r="B256" s="71">
        <f t="shared" si="12"/>
        <v>9.5500000000000007</v>
      </c>
      <c r="C256" s="4">
        <f t="shared" si="10"/>
        <v>0</v>
      </c>
      <c r="D256" s="4">
        <f t="shared" si="11"/>
        <v>9.1908688239258887E-77</v>
      </c>
    </row>
    <row r="257" spans="2:4" x14ac:dyDescent="0.25">
      <c r="B257" s="71">
        <f t="shared" si="12"/>
        <v>9.6000000000000014</v>
      </c>
      <c r="C257" s="4">
        <f t="shared" ref="C257:C320" si="13">_xlfn.NORM.DIST(B257,$C$45,C$46,FALSE)*G1_Weight</f>
        <v>0</v>
      </c>
      <c r="D257" s="4">
        <f t="shared" ref="D257:D320" si="14">_xlfn.NORM.DIST(B257,D$45,D$46,FALSE)*G2_Weight</f>
        <v>1.4094653837692014E-77</v>
      </c>
    </row>
    <row r="258" spans="2:4" x14ac:dyDescent="0.25">
      <c r="B258" s="71">
        <f t="shared" ref="B258:B321" si="15">B257+$A$65</f>
        <v>9.6500000000000021</v>
      </c>
      <c r="C258" s="4">
        <f t="shared" si="13"/>
        <v>0</v>
      </c>
      <c r="D258" s="4">
        <f t="shared" si="14"/>
        <v>2.1399780351601513E-78</v>
      </c>
    </row>
    <row r="259" spans="2:4" x14ac:dyDescent="0.25">
      <c r="B259" s="71">
        <f t="shared" si="15"/>
        <v>9.7000000000000028</v>
      </c>
      <c r="C259" s="4">
        <f t="shared" si="13"/>
        <v>0</v>
      </c>
      <c r="D259" s="4">
        <f t="shared" si="14"/>
        <v>3.2167793528112871E-79</v>
      </c>
    </row>
    <row r="260" spans="2:4" x14ac:dyDescent="0.25">
      <c r="B260" s="71">
        <f t="shared" si="15"/>
        <v>9.7500000000000036</v>
      </c>
      <c r="C260" s="4">
        <f t="shared" si="13"/>
        <v>0</v>
      </c>
      <c r="D260" s="4">
        <f t="shared" si="14"/>
        <v>4.7872960401769995E-80</v>
      </c>
    </row>
    <row r="261" spans="2:4" x14ac:dyDescent="0.25">
      <c r="B261" s="71">
        <f t="shared" si="15"/>
        <v>9.8000000000000043</v>
      </c>
      <c r="C261" s="4">
        <f t="shared" si="13"/>
        <v>0</v>
      </c>
      <c r="D261" s="4">
        <f t="shared" si="14"/>
        <v>7.053689716921411E-81</v>
      </c>
    </row>
    <row r="262" spans="2:4" x14ac:dyDescent="0.25">
      <c r="B262" s="71">
        <f t="shared" si="15"/>
        <v>9.850000000000005</v>
      </c>
      <c r="C262" s="4">
        <f t="shared" si="13"/>
        <v>0</v>
      </c>
      <c r="D262" s="4">
        <f t="shared" si="14"/>
        <v>1.0289623260848582E-81</v>
      </c>
    </row>
    <row r="263" spans="2:4" x14ac:dyDescent="0.25">
      <c r="B263" s="71">
        <f t="shared" si="15"/>
        <v>9.9000000000000057</v>
      </c>
      <c r="C263" s="4">
        <f t="shared" si="13"/>
        <v>0</v>
      </c>
      <c r="D263" s="4">
        <f t="shared" si="14"/>
        <v>1.4860713159177629E-82</v>
      </c>
    </row>
    <row r="264" spans="2:4" x14ac:dyDescent="0.25">
      <c r="B264" s="71">
        <f t="shared" si="15"/>
        <v>9.9500000000000064</v>
      </c>
      <c r="C264" s="4">
        <f t="shared" si="13"/>
        <v>0</v>
      </c>
      <c r="D264" s="4">
        <f t="shared" si="14"/>
        <v>2.1248921114545612E-83</v>
      </c>
    </row>
    <row r="265" spans="2:4" x14ac:dyDescent="0.25">
      <c r="B265" s="71">
        <f t="shared" si="15"/>
        <v>10.000000000000007</v>
      </c>
      <c r="C265" s="4">
        <f t="shared" si="13"/>
        <v>0</v>
      </c>
      <c r="D265" s="4">
        <f t="shared" si="14"/>
        <v>3.0080923978955468E-84</v>
      </c>
    </row>
    <row r="266" spans="2:4" x14ac:dyDescent="0.25">
      <c r="B266" s="71">
        <f t="shared" si="15"/>
        <v>10.050000000000008</v>
      </c>
      <c r="C266" s="4">
        <f t="shared" si="13"/>
        <v>0</v>
      </c>
      <c r="D266" s="4">
        <f t="shared" si="14"/>
        <v>4.2160185704933111E-85</v>
      </c>
    </row>
    <row r="267" spans="2:4" x14ac:dyDescent="0.25">
      <c r="B267" s="71">
        <f t="shared" si="15"/>
        <v>10.100000000000009</v>
      </c>
      <c r="C267" s="4">
        <f t="shared" si="13"/>
        <v>0</v>
      </c>
      <c r="D267" s="4">
        <f t="shared" si="14"/>
        <v>5.8502026928229026E-86</v>
      </c>
    </row>
    <row r="268" spans="2:4" x14ac:dyDescent="0.25">
      <c r="B268" s="71">
        <f t="shared" si="15"/>
        <v>10.150000000000009</v>
      </c>
      <c r="C268" s="4">
        <f t="shared" si="13"/>
        <v>0</v>
      </c>
      <c r="D268" s="4">
        <f t="shared" si="14"/>
        <v>8.0370443864865882E-87</v>
      </c>
    </row>
    <row r="269" spans="2:4" x14ac:dyDescent="0.25">
      <c r="B269" s="71">
        <f t="shared" si="15"/>
        <v>10.20000000000001</v>
      </c>
      <c r="C269" s="4">
        <f t="shared" si="13"/>
        <v>0</v>
      </c>
      <c r="D269" s="4">
        <f t="shared" si="14"/>
        <v>1.093147775707167E-87</v>
      </c>
    </row>
    <row r="270" spans="2:4" x14ac:dyDescent="0.25">
      <c r="B270" s="71">
        <f t="shared" si="15"/>
        <v>10.250000000000011</v>
      </c>
      <c r="C270" s="4">
        <f t="shared" si="13"/>
        <v>0</v>
      </c>
      <c r="D270" s="4">
        <f t="shared" si="14"/>
        <v>1.4720360271560812E-88</v>
      </c>
    </row>
    <row r="271" spans="2:4" x14ac:dyDescent="0.25">
      <c r="B271" s="71">
        <f t="shared" si="15"/>
        <v>10.300000000000011</v>
      </c>
      <c r="C271" s="4">
        <f t="shared" si="13"/>
        <v>0</v>
      </c>
      <c r="D271" s="4">
        <f t="shared" si="14"/>
        <v>1.962524369096499E-89</v>
      </c>
    </row>
    <row r="272" spans="2:4" x14ac:dyDescent="0.25">
      <c r="B272" s="71">
        <f t="shared" si="15"/>
        <v>10.350000000000012</v>
      </c>
      <c r="C272" s="4">
        <f t="shared" si="13"/>
        <v>0</v>
      </c>
      <c r="D272" s="4">
        <f t="shared" si="14"/>
        <v>2.5904113382680986E-90</v>
      </c>
    </row>
    <row r="273" spans="2:4" x14ac:dyDescent="0.25">
      <c r="B273" s="71">
        <f t="shared" si="15"/>
        <v>10.400000000000013</v>
      </c>
      <c r="C273" s="4">
        <f t="shared" si="13"/>
        <v>0</v>
      </c>
      <c r="D273" s="4">
        <f t="shared" si="14"/>
        <v>3.3851620356876387E-91</v>
      </c>
    </row>
    <row r="274" spans="2:4" x14ac:dyDescent="0.25">
      <c r="B274" s="71">
        <f t="shared" si="15"/>
        <v>10.450000000000014</v>
      </c>
      <c r="C274" s="4">
        <f t="shared" si="13"/>
        <v>0</v>
      </c>
      <c r="D274" s="4">
        <f t="shared" si="14"/>
        <v>4.3797290728144398E-92</v>
      </c>
    </row>
    <row r="275" spans="2:4" x14ac:dyDescent="0.25">
      <c r="B275" s="71">
        <f t="shared" si="15"/>
        <v>10.500000000000014</v>
      </c>
      <c r="C275" s="4">
        <f t="shared" si="13"/>
        <v>0</v>
      </c>
      <c r="D275" s="4">
        <f t="shared" si="14"/>
        <v>5.610119159981369E-93</v>
      </c>
    </row>
    <row r="276" spans="2:4" x14ac:dyDescent="0.25">
      <c r="B276" s="71">
        <f t="shared" si="15"/>
        <v>10.550000000000015</v>
      </c>
      <c r="C276" s="4">
        <f t="shared" si="13"/>
        <v>0</v>
      </c>
      <c r="D276" s="4">
        <f t="shared" si="14"/>
        <v>7.1146572175155506E-94</v>
      </c>
    </row>
    <row r="277" spans="2:4" x14ac:dyDescent="0.25">
      <c r="B277" s="71">
        <f t="shared" si="15"/>
        <v>10.600000000000016</v>
      </c>
      <c r="C277" s="4">
        <f t="shared" si="13"/>
        <v>0</v>
      </c>
      <c r="D277" s="4">
        <f t="shared" si="14"/>
        <v>8.9329094306992824E-95</v>
      </c>
    </row>
    <row r="278" spans="2:4" x14ac:dyDescent="0.25">
      <c r="B278" s="71">
        <f t="shared" si="15"/>
        <v>10.650000000000016</v>
      </c>
      <c r="C278" s="4">
        <f t="shared" si="13"/>
        <v>0</v>
      </c>
      <c r="D278" s="4">
        <f t="shared" si="14"/>
        <v>1.110424246031919E-95</v>
      </c>
    </row>
    <row r="279" spans="2:4" x14ac:dyDescent="0.25">
      <c r="B279" s="71">
        <f t="shared" si="15"/>
        <v>10.700000000000017</v>
      </c>
      <c r="C279" s="4">
        <f t="shared" si="13"/>
        <v>0</v>
      </c>
      <c r="D279" s="4">
        <f t="shared" si="14"/>
        <v>1.3666018251841796E-96</v>
      </c>
    </row>
    <row r="280" spans="2:4" x14ac:dyDescent="0.25">
      <c r="B280" s="71">
        <f t="shared" si="15"/>
        <v>10.750000000000018</v>
      </c>
      <c r="C280" s="4">
        <f t="shared" si="13"/>
        <v>0</v>
      </c>
      <c r="D280" s="4">
        <f t="shared" si="14"/>
        <v>1.6651452084691452E-97</v>
      </c>
    </row>
    <row r="281" spans="2:4" x14ac:dyDescent="0.25">
      <c r="B281" s="71">
        <f t="shared" si="15"/>
        <v>10.800000000000018</v>
      </c>
      <c r="C281" s="4">
        <f t="shared" si="13"/>
        <v>0</v>
      </c>
      <c r="D281" s="4">
        <f t="shared" si="14"/>
        <v>2.0087194408130497E-98</v>
      </c>
    </row>
    <row r="282" spans="2:4" x14ac:dyDescent="0.25">
      <c r="B282" s="71">
        <f t="shared" si="15"/>
        <v>10.850000000000019</v>
      </c>
      <c r="C282" s="4">
        <f t="shared" si="13"/>
        <v>0</v>
      </c>
      <c r="D282" s="4">
        <f t="shared" si="14"/>
        <v>2.3990732523136093E-99</v>
      </c>
    </row>
    <row r="283" spans="2:4" x14ac:dyDescent="0.25">
      <c r="B283" s="71">
        <f t="shared" si="15"/>
        <v>10.90000000000002</v>
      </c>
      <c r="C283" s="4">
        <f t="shared" si="13"/>
        <v>0</v>
      </c>
      <c r="D283" s="4">
        <f t="shared" si="14"/>
        <v>2.8367743400335973E-100</v>
      </c>
    </row>
    <row r="284" spans="2:4" x14ac:dyDescent="0.25">
      <c r="B284" s="71">
        <f t="shared" si="15"/>
        <v>10.950000000000021</v>
      </c>
      <c r="C284" s="4">
        <f t="shared" si="13"/>
        <v>0</v>
      </c>
      <c r="D284" s="4">
        <f t="shared" si="14"/>
        <v>3.3209560352486747E-101</v>
      </c>
    </row>
    <row r="285" spans="2:4" x14ac:dyDescent="0.25">
      <c r="B285" s="71">
        <f t="shared" si="15"/>
        <v>11.000000000000021</v>
      </c>
      <c r="C285" s="4">
        <f t="shared" si="13"/>
        <v>0</v>
      </c>
      <c r="D285" s="4">
        <f t="shared" si="14"/>
        <v>3.8490940037040595E-102</v>
      </c>
    </row>
    <row r="286" spans="2:4" x14ac:dyDescent="0.25">
      <c r="B286" s="71">
        <f t="shared" si="15"/>
        <v>11.050000000000022</v>
      </c>
      <c r="C286" s="4">
        <f t="shared" si="13"/>
        <v>0</v>
      </c>
      <c r="D286" s="4">
        <f t="shared" si="14"/>
        <v>4.4168328518379701E-103</v>
      </c>
    </row>
    <row r="287" spans="2:4" x14ac:dyDescent="0.25">
      <c r="B287" s="71">
        <f t="shared" si="15"/>
        <v>11.100000000000023</v>
      </c>
      <c r="C287" s="4">
        <f t="shared" si="13"/>
        <v>0</v>
      </c>
      <c r="D287" s="4">
        <f t="shared" si="14"/>
        <v>5.0178822536966588E-104</v>
      </c>
    </row>
    <row r="288" spans="2:4" x14ac:dyDescent="0.25">
      <c r="B288" s="71">
        <f t="shared" si="15"/>
        <v>11.150000000000023</v>
      </c>
      <c r="C288" s="4">
        <f t="shared" si="13"/>
        <v>0</v>
      </c>
      <c r="D288" s="4">
        <f t="shared" si="14"/>
        <v>5.644000236398617E-105</v>
      </c>
    </row>
    <row r="289" spans="2:4" x14ac:dyDescent="0.25">
      <c r="B289" s="71">
        <f t="shared" si="15"/>
        <v>11.200000000000024</v>
      </c>
      <c r="C289" s="4">
        <f t="shared" si="13"/>
        <v>0</v>
      </c>
      <c r="D289" s="4">
        <f t="shared" si="14"/>
        <v>6.285077474587231E-106</v>
      </c>
    </row>
    <row r="290" spans="2:4" x14ac:dyDescent="0.25">
      <c r="B290" s="71">
        <f t="shared" si="15"/>
        <v>11.250000000000025</v>
      </c>
      <c r="C290" s="4">
        <f t="shared" si="13"/>
        <v>0</v>
      </c>
      <c r="D290" s="4">
        <f t="shared" si="14"/>
        <v>6.9293309315260125E-107</v>
      </c>
    </row>
    <row r="291" spans="2:4" x14ac:dyDescent="0.25">
      <c r="B291" s="71">
        <f t="shared" si="15"/>
        <v>11.300000000000026</v>
      </c>
      <c r="C291" s="4">
        <f t="shared" si="13"/>
        <v>0</v>
      </c>
      <c r="D291" s="4">
        <f t="shared" si="14"/>
        <v>7.5636082256660183E-108</v>
      </c>
    </row>
    <row r="292" spans="2:4" x14ac:dyDescent="0.25">
      <c r="B292" s="71">
        <f t="shared" si="15"/>
        <v>11.350000000000026</v>
      </c>
      <c r="C292" s="4">
        <f t="shared" si="13"/>
        <v>0</v>
      </c>
      <c r="D292" s="4">
        <f t="shared" si="14"/>
        <v>8.1737961651286919E-109</v>
      </c>
    </row>
    <row r="293" spans="2:4" x14ac:dyDescent="0.25">
      <c r="B293" s="71">
        <f t="shared" si="15"/>
        <v>11.400000000000027</v>
      </c>
      <c r="C293" s="4">
        <f t="shared" si="13"/>
        <v>0</v>
      </c>
      <c r="D293" s="4">
        <f t="shared" si="14"/>
        <v>8.7453186069230131E-110</v>
      </c>
    </row>
    <row r="294" spans="2:4" x14ac:dyDescent="0.25">
      <c r="B294" s="71">
        <f t="shared" si="15"/>
        <v>11.450000000000028</v>
      </c>
      <c r="C294" s="4">
        <f t="shared" si="13"/>
        <v>0</v>
      </c>
      <c r="D294" s="4">
        <f t="shared" si="14"/>
        <v>9.2637008981432447E-111</v>
      </c>
    </row>
    <row r="295" spans="2:4" x14ac:dyDescent="0.25">
      <c r="B295" s="71">
        <f t="shared" si="15"/>
        <v>11.500000000000028</v>
      </c>
      <c r="C295" s="4">
        <f t="shared" si="13"/>
        <v>0</v>
      </c>
      <c r="D295" s="4">
        <f t="shared" si="14"/>
        <v>9.7151714130128258E-112</v>
      </c>
    </row>
    <row r="296" spans="2:4" x14ac:dyDescent="0.25">
      <c r="B296" s="71">
        <f t="shared" si="15"/>
        <v>11.550000000000029</v>
      </c>
      <c r="C296" s="4">
        <f t="shared" si="13"/>
        <v>0</v>
      </c>
      <c r="D296" s="4">
        <f t="shared" si="14"/>
        <v>1.008726583382841E-112</v>
      </c>
    </row>
    <row r="297" spans="2:4" x14ac:dyDescent="0.25">
      <c r="B297" s="71">
        <f t="shared" si="15"/>
        <v>11.60000000000003</v>
      </c>
      <c r="C297" s="4">
        <f t="shared" si="13"/>
        <v>0</v>
      </c>
      <c r="D297" s="4">
        <f t="shared" si="14"/>
        <v>1.0369397422824164E-113</v>
      </c>
    </row>
    <row r="298" spans="2:4" x14ac:dyDescent="0.25">
      <c r="B298" s="71">
        <f t="shared" si="15"/>
        <v>11.650000000000031</v>
      </c>
      <c r="C298" s="4">
        <f t="shared" si="13"/>
        <v>0</v>
      </c>
      <c r="D298" s="4">
        <f t="shared" si="14"/>
        <v>1.0553356973152188E-114</v>
      </c>
    </row>
    <row r="299" spans="2:4" x14ac:dyDescent="0.25">
      <c r="B299" s="71">
        <f t="shared" si="15"/>
        <v>11.700000000000031</v>
      </c>
      <c r="C299" s="4">
        <f t="shared" si="13"/>
        <v>0</v>
      </c>
      <c r="D299" s="4">
        <f t="shared" si="14"/>
        <v>1.0633709522725055E-115</v>
      </c>
    </row>
    <row r="300" spans="2:4" x14ac:dyDescent="0.25">
      <c r="B300" s="71">
        <f t="shared" si="15"/>
        <v>11.750000000000032</v>
      </c>
      <c r="C300" s="4">
        <f t="shared" si="13"/>
        <v>0</v>
      </c>
      <c r="D300" s="4">
        <f t="shared" si="14"/>
        <v>1.0608061084860077E-116</v>
      </c>
    </row>
    <row r="301" spans="2:4" x14ac:dyDescent="0.25">
      <c r="B301" s="71">
        <f t="shared" si="15"/>
        <v>11.800000000000033</v>
      </c>
      <c r="C301" s="4">
        <f t="shared" si="13"/>
        <v>0</v>
      </c>
      <c r="D301" s="4">
        <f t="shared" si="14"/>
        <v>1.0477177130130842E-117</v>
      </c>
    </row>
    <row r="302" spans="2:4" x14ac:dyDescent="0.25">
      <c r="B302" s="71">
        <f t="shared" si="15"/>
        <v>11.850000000000033</v>
      </c>
      <c r="C302" s="4">
        <f t="shared" si="13"/>
        <v>0</v>
      </c>
      <c r="D302" s="4">
        <f t="shared" si="14"/>
        <v>1.0244944637201872E-118</v>
      </c>
    </row>
    <row r="303" spans="2:4" x14ac:dyDescent="0.25">
      <c r="B303" s="71">
        <f t="shared" si="15"/>
        <v>11.900000000000034</v>
      </c>
      <c r="C303" s="4">
        <f t="shared" si="13"/>
        <v>0</v>
      </c>
      <c r="D303" s="4">
        <f t="shared" si="14"/>
        <v>9.9181803378434781E-120</v>
      </c>
    </row>
    <row r="304" spans="2:4" x14ac:dyDescent="0.25">
      <c r="B304" s="71">
        <f t="shared" si="15"/>
        <v>11.950000000000035</v>
      </c>
      <c r="C304" s="4">
        <f t="shared" si="13"/>
        <v>0</v>
      </c>
      <c r="D304" s="4">
        <f t="shared" si="14"/>
        <v>9.5062983560799558E-121</v>
      </c>
    </row>
    <row r="305" spans="2:4" x14ac:dyDescent="0.25">
      <c r="B305" s="71">
        <f t="shared" si="15"/>
        <v>12.000000000000036</v>
      </c>
      <c r="C305" s="4">
        <f t="shared" si="13"/>
        <v>0</v>
      </c>
      <c r="D305" s="4">
        <f t="shared" si="14"/>
        <v>9.0208598517268226E-122</v>
      </c>
    </row>
    <row r="306" spans="2:4" x14ac:dyDescent="0.25">
      <c r="B306" s="71">
        <f t="shared" si="15"/>
        <v>12.050000000000036</v>
      </c>
      <c r="C306" s="4">
        <f t="shared" si="13"/>
        <v>0</v>
      </c>
      <c r="D306" s="4">
        <f t="shared" si="14"/>
        <v>8.4750347179183041E-123</v>
      </c>
    </row>
    <row r="307" spans="2:4" x14ac:dyDescent="0.25">
      <c r="B307" s="71">
        <f t="shared" si="15"/>
        <v>12.100000000000037</v>
      </c>
      <c r="C307" s="4">
        <f t="shared" si="13"/>
        <v>0</v>
      </c>
      <c r="D307" s="4">
        <f t="shared" si="14"/>
        <v>7.8830102532976575E-124</v>
      </c>
    </row>
    <row r="308" spans="2:4" x14ac:dyDescent="0.25">
      <c r="B308" s="71">
        <f t="shared" si="15"/>
        <v>12.150000000000038</v>
      </c>
      <c r="C308" s="4">
        <f t="shared" si="13"/>
        <v>0</v>
      </c>
      <c r="D308" s="4">
        <f t="shared" si="14"/>
        <v>7.2593837023915749E-125</v>
      </c>
    </row>
    <row r="309" spans="2:4" x14ac:dyDescent="0.25">
      <c r="B309" s="71">
        <f t="shared" si="15"/>
        <v>12.200000000000038</v>
      </c>
      <c r="C309" s="4">
        <f t="shared" si="13"/>
        <v>0</v>
      </c>
      <c r="D309" s="4">
        <f t="shared" si="14"/>
        <v>6.6185745947406104E-126</v>
      </c>
    </row>
    <row r="310" spans="2:4" x14ac:dyDescent="0.25">
      <c r="B310" s="71">
        <f t="shared" si="15"/>
        <v>12.250000000000039</v>
      </c>
      <c r="C310" s="4">
        <f t="shared" si="13"/>
        <v>0</v>
      </c>
      <c r="D310" s="4">
        <f t="shared" si="14"/>
        <v>5.9742891602457081E-127</v>
      </c>
    </row>
    <row r="311" spans="2:4" x14ac:dyDescent="0.25">
      <c r="B311" s="71">
        <f t="shared" si="15"/>
        <v>12.30000000000004</v>
      </c>
      <c r="C311" s="4">
        <f t="shared" si="13"/>
        <v>0</v>
      </c>
      <c r="D311" s="4">
        <f t="shared" si="14"/>
        <v>5.3390632420019315E-128</v>
      </c>
    </row>
    <row r="312" spans="2:4" x14ac:dyDescent="0.25">
      <c r="B312" s="71">
        <f t="shared" si="15"/>
        <v>12.350000000000041</v>
      </c>
      <c r="C312" s="4">
        <f t="shared" si="13"/>
        <v>0</v>
      </c>
      <c r="D312" s="4">
        <f t="shared" si="14"/>
        <v>4.7239027309907402E-129</v>
      </c>
    </row>
    <row r="313" spans="2:4" x14ac:dyDescent="0.25">
      <c r="B313" s="71">
        <f t="shared" si="15"/>
        <v>12.400000000000041</v>
      </c>
      <c r="C313" s="4">
        <f t="shared" si="13"/>
        <v>0</v>
      </c>
      <c r="D313" s="4">
        <f t="shared" si="14"/>
        <v>4.1380323650893107E-130</v>
      </c>
    </row>
    <row r="314" spans="2:4" x14ac:dyDescent="0.25">
      <c r="B314" s="71">
        <f t="shared" si="15"/>
        <v>12.450000000000042</v>
      </c>
      <c r="C314" s="4">
        <f t="shared" si="13"/>
        <v>0</v>
      </c>
      <c r="D314" s="4">
        <f t="shared" si="14"/>
        <v>3.5887555312244714E-131</v>
      </c>
    </row>
    <row r="315" spans="2:4" x14ac:dyDescent="0.25">
      <c r="B315" s="71">
        <f t="shared" si="15"/>
        <v>12.500000000000043</v>
      </c>
      <c r="C315" s="4">
        <f t="shared" si="13"/>
        <v>0</v>
      </c>
      <c r="D315" s="4">
        <f t="shared" si="14"/>
        <v>3.0814201756808272E-132</v>
      </c>
    </row>
    <row r="316" spans="2:4" x14ac:dyDescent="0.25">
      <c r="B316" s="71">
        <f t="shared" si="15"/>
        <v>12.550000000000043</v>
      </c>
      <c r="C316" s="4">
        <f t="shared" si="13"/>
        <v>0</v>
      </c>
      <c r="D316" s="4">
        <f t="shared" si="14"/>
        <v>2.6194796199541778E-133</v>
      </c>
    </row>
    <row r="317" spans="2:4" x14ac:dyDescent="0.25">
      <c r="B317" s="71">
        <f t="shared" si="15"/>
        <v>12.600000000000044</v>
      </c>
      <c r="C317" s="4">
        <f t="shared" si="13"/>
        <v>0</v>
      </c>
      <c r="D317" s="4">
        <f t="shared" si="14"/>
        <v>2.2046323773342152E-134</v>
      </c>
    </row>
    <row r="318" spans="2:4" x14ac:dyDescent="0.25">
      <c r="B318" s="71">
        <f t="shared" si="15"/>
        <v>12.650000000000045</v>
      </c>
      <c r="C318" s="4">
        <f t="shared" si="13"/>
        <v>0</v>
      </c>
      <c r="D318" s="4">
        <f t="shared" si="14"/>
        <v>1.8370221533665229E-135</v>
      </c>
    </row>
    <row r="319" spans="2:4" x14ac:dyDescent="0.25">
      <c r="B319" s="71">
        <f t="shared" si="15"/>
        <v>12.700000000000045</v>
      </c>
      <c r="C319" s="4">
        <f t="shared" si="13"/>
        <v>0</v>
      </c>
      <c r="D319" s="4">
        <f t="shared" si="14"/>
        <v>1.515478087807508E-136</v>
      </c>
    </row>
    <row r="320" spans="2:4" x14ac:dyDescent="0.25">
      <c r="B320" s="71">
        <f t="shared" si="15"/>
        <v>12.750000000000046</v>
      </c>
      <c r="C320" s="4">
        <f t="shared" si="13"/>
        <v>0</v>
      </c>
      <c r="D320" s="4">
        <f t="shared" si="14"/>
        <v>1.2377757905528784E-137</v>
      </c>
    </row>
    <row r="321" spans="2:4" x14ac:dyDescent="0.25">
      <c r="B321" s="71">
        <f t="shared" si="15"/>
        <v>12.800000000000047</v>
      </c>
      <c r="C321" s="4">
        <f t="shared" ref="C321:C384" si="16">_xlfn.NORM.DIST(B321,$C$45,C$46,FALSE)*G1_Weight</f>
        <v>0</v>
      </c>
      <c r="D321" s="4">
        <f t="shared" ref="D321:D384" si="17">_xlfn.NORM.DIST(B321,D$45,D$46,FALSE)*G2_Weight</f>
        <v>1.0009015508305062E-138</v>
      </c>
    </row>
    <row r="322" spans="2:4" x14ac:dyDescent="0.25">
      <c r="B322" s="71">
        <f t="shared" ref="B322:B385" si="18">B321+$A$65</f>
        <v>12.850000000000048</v>
      </c>
      <c r="C322" s="4">
        <f t="shared" si="16"/>
        <v>0</v>
      </c>
      <c r="D322" s="4">
        <f t="shared" si="17"/>
        <v>8.0130489425099603E-140</v>
      </c>
    </row>
    <row r="323" spans="2:4" x14ac:dyDescent="0.25">
      <c r="B323" s="71">
        <f t="shared" si="18"/>
        <v>12.900000000000048</v>
      </c>
      <c r="C323" s="4">
        <f t="shared" si="16"/>
        <v>0</v>
      </c>
      <c r="D323" s="4">
        <f t="shared" si="17"/>
        <v>6.3512803573576287E-141</v>
      </c>
    </row>
    <row r="324" spans="2:4" x14ac:dyDescent="0.25">
      <c r="B324" s="71">
        <f t="shared" si="18"/>
        <v>12.950000000000049</v>
      </c>
      <c r="C324" s="4">
        <f t="shared" si="16"/>
        <v>0</v>
      </c>
      <c r="D324" s="4">
        <f t="shared" si="17"/>
        <v>4.9840435362701929E-142</v>
      </c>
    </row>
    <row r="325" spans="2:4" x14ac:dyDescent="0.25">
      <c r="B325" s="71">
        <f t="shared" si="18"/>
        <v>13.00000000000005</v>
      </c>
      <c r="C325" s="4">
        <f t="shared" si="16"/>
        <v>0</v>
      </c>
      <c r="D325" s="4">
        <f t="shared" si="17"/>
        <v>3.8722146705343959E-143</v>
      </c>
    </row>
    <row r="326" spans="2:4" x14ac:dyDescent="0.25">
      <c r="B326" s="71">
        <f t="shared" si="18"/>
        <v>13.05000000000005</v>
      </c>
      <c r="C326" s="4">
        <f t="shared" si="16"/>
        <v>0</v>
      </c>
      <c r="D326" s="4">
        <f t="shared" si="17"/>
        <v>2.9784758282455229E-144</v>
      </c>
    </row>
    <row r="327" spans="2:4" x14ac:dyDescent="0.25">
      <c r="B327" s="71">
        <f t="shared" si="18"/>
        <v>13.100000000000051</v>
      </c>
      <c r="C327" s="4">
        <f t="shared" si="16"/>
        <v>0</v>
      </c>
      <c r="D327" s="4">
        <f t="shared" si="17"/>
        <v>2.2682232043414338E-145</v>
      </c>
    </row>
    <row r="328" spans="2:4" x14ac:dyDescent="0.25">
      <c r="B328" s="71">
        <f t="shared" si="18"/>
        <v>13.150000000000052</v>
      </c>
      <c r="C328" s="4">
        <f t="shared" si="16"/>
        <v>0</v>
      </c>
      <c r="D328" s="4">
        <f t="shared" si="17"/>
        <v>1.7101513726764563E-146</v>
      </c>
    </row>
    <row r="329" spans="2:4" x14ac:dyDescent="0.25">
      <c r="B329" s="71">
        <f t="shared" si="18"/>
        <v>13.200000000000053</v>
      </c>
      <c r="C329" s="4">
        <f t="shared" si="16"/>
        <v>0</v>
      </c>
      <c r="D329" s="4">
        <f t="shared" si="17"/>
        <v>1.276557474333219E-147</v>
      </c>
    </row>
    <row r="330" spans="2:4" x14ac:dyDescent="0.25">
      <c r="B330" s="71">
        <f t="shared" si="18"/>
        <v>13.250000000000053</v>
      </c>
      <c r="C330" s="4">
        <f t="shared" si="16"/>
        <v>0</v>
      </c>
      <c r="D330" s="4">
        <f t="shared" si="17"/>
        <v>9.4341602166211695E-149</v>
      </c>
    </row>
    <row r="331" spans="2:4" x14ac:dyDescent="0.25">
      <c r="B331" s="71">
        <f t="shared" si="18"/>
        <v>13.300000000000054</v>
      </c>
      <c r="C331" s="4">
        <f t="shared" si="16"/>
        <v>0</v>
      </c>
      <c r="D331" s="4">
        <f t="shared" si="17"/>
        <v>6.9027664125373411E-150</v>
      </c>
    </row>
    <row r="332" spans="2:4" x14ac:dyDescent="0.25">
      <c r="B332" s="71">
        <f t="shared" si="18"/>
        <v>13.350000000000055</v>
      </c>
      <c r="C332" s="4">
        <f t="shared" si="16"/>
        <v>0</v>
      </c>
      <c r="D332" s="4">
        <f t="shared" si="17"/>
        <v>5.0003472178836812E-151</v>
      </c>
    </row>
    <row r="333" spans="2:4" x14ac:dyDescent="0.25">
      <c r="B333" s="71">
        <f t="shared" si="18"/>
        <v>13.400000000000055</v>
      </c>
      <c r="C333" s="4">
        <f t="shared" si="16"/>
        <v>0</v>
      </c>
      <c r="D333" s="4">
        <f t="shared" si="17"/>
        <v>3.5861974915171474E-152</v>
      </c>
    </row>
    <row r="334" spans="2:4" x14ac:dyDescent="0.25">
      <c r="B334" s="71">
        <f t="shared" si="18"/>
        <v>13.450000000000056</v>
      </c>
      <c r="C334" s="4">
        <f t="shared" si="16"/>
        <v>0</v>
      </c>
      <c r="D334" s="4">
        <f t="shared" si="17"/>
        <v>2.54639221465364E-153</v>
      </c>
    </row>
    <row r="335" spans="2:4" x14ac:dyDescent="0.25">
      <c r="B335" s="71">
        <f t="shared" si="18"/>
        <v>13.500000000000057</v>
      </c>
      <c r="C335" s="4">
        <f t="shared" si="16"/>
        <v>0</v>
      </c>
      <c r="D335" s="4">
        <f t="shared" si="17"/>
        <v>1.7900841547632472E-154</v>
      </c>
    </row>
    <row r="336" spans="2:4" x14ac:dyDescent="0.25">
      <c r="B336" s="71">
        <f t="shared" si="18"/>
        <v>13.550000000000058</v>
      </c>
      <c r="C336" s="4">
        <f t="shared" si="16"/>
        <v>0</v>
      </c>
      <c r="D336" s="4">
        <f t="shared" si="17"/>
        <v>1.2458869994166067E-155</v>
      </c>
    </row>
    <row r="337" spans="2:4" x14ac:dyDescent="0.25">
      <c r="B337" s="71">
        <f t="shared" si="18"/>
        <v>13.600000000000058</v>
      </c>
      <c r="C337" s="4">
        <f t="shared" si="16"/>
        <v>0</v>
      </c>
      <c r="D337" s="4">
        <f t="shared" si="17"/>
        <v>8.5850121667935327E-157</v>
      </c>
    </row>
    <row r="338" spans="2:4" x14ac:dyDescent="0.25">
      <c r="B338" s="71">
        <f t="shared" si="18"/>
        <v>13.650000000000059</v>
      </c>
      <c r="C338" s="4">
        <f t="shared" si="16"/>
        <v>0</v>
      </c>
      <c r="D338" s="4">
        <f t="shared" si="17"/>
        <v>5.8567978049157168E-158</v>
      </c>
    </row>
    <row r="339" spans="2:4" x14ac:dyDescent="0.25">
      <c r="B339" s="71">
        <f t="shared" si="18"/>
        <v>13.70000000000006</v>
      </c>
      <c r="C339" s="4">
        <f t="shared" si="16"/>
        <v>0</v>
      </c>
      <c r="D339" s="4">
        <f t="shared" si="17"/>
        <v>3.9558207331403764E-159</v>
      </c>
    </row>
    <row r="340" spans="2:4" x14ac:dyDescent="0.25">
      <c r="B340" s="71">
        <f t="shared" si="18"/>
        <v>13.75000000000006</v>
      </c>
      <c r="C340" s="4">
        <f t="shared" si="16"/>
        <v>0</v>
      </c>
      <c r="D340" s="4">
        <f t="shared" si="17"/>
        <v>2.6452701350414122E-160</v>
      </c>
    </row>
    <row r="341" spans="2:4" x14ac:dyDescent="0.25">
      <c r="B341" s="71">
        <f t="shared" si="18"/>
        <v>13.800000000000061</v>
      </c>
      <c r="C341" s="4">
        <f t="shared" si="16"/>
        <v>0</v>
      </c>
      <c r="D341" s="4">
        <f t="shared" si="17"/>
        <v>1.751299849814254E-161</v>
      </c>
    </row>
    <row r="342" spans="2:4" x14ac:dyDescent="0.25">
      <c r="B342" s="71">
        <f t="shared" si="18"/>
        <v>13.850000000000062</v>
      </c>
      <c r="C342" s="4">
        <f t="shared" si="16"/>
        <v>0</v>
      </c>
      <c r="D342" s="4">
        <f t="shared" si="17"/>
        <v>1.1479105497596805E-162</v>
      </c>
    </row>
    <row r="343" spans="2:4" x14ac:dyDescent="0.25">
      <c r="B343" s="71">
        <f t="shared" si="18"/>
        <v>13.900000000000063</v>
      </c>
      <c r="C343" s="4">
        <f t="shared" si="16"/>
        <v>0</v>
      </c>
      <c r="D343" s="4">
        <f t="shared" si="17"/>
        <v>7.4492515370705918E-164</v>
      </c>
    </row>
    <row r="344" spans="2:4" x14ac:dyDescent="0.25">
      <c r="B344" s="71">
        <f t="shared" si="18"/>
        <v>13.950000000000063</v>
      </c>
      <c r="C344" s="4">
        <f t="shared" si="16"/>
        <v>0</v>
      </c>
      <c r="D344" s="4">
        <f t="shared" si="17"/>
        <v>4.7860175456498425E-165</v>
      </c>
    </row>
    <row r="345" spans="2:4" x14ac:dyDescent="0.25">
      <c r="B345" s="71">
        <f t="shared" si="18"/>
        <v>14.000000000000064</v>
      </c>
      <c r="C345" s="4">
        <f t="shared" si="16"/>
        <v>0</v>
      </c>
      <c r="D345" s="4">
        <f t="shared" si="17"/>
        <v>3.0443388419631184E-166</v>
      </c>
    </row>
    <row r="346" spans="2:4" x14ac:dyDescent="0.25">
      <c r="B346" s="71">
        <f t="shared" si="18"/>
        <v>14.050000000000065</v>
      </c>
      <c r="C346" s="4">
        <f t="shared" si="16"/>
        <v>0</v>
      </c>
      <c r="D346" s="4">
        <f t="shared" si="17"/>
        <v>1.9172058536048224E-167</v>
      </c>
    </row>
    <row r="347" spans="2:4" x14ac:dyDescent="0.25">
      <c r="B347" s="71">
        <f t="shared" si="18"/>
        <v>14.100000000000065</v>
      </c>
      <c r="C347" s="4">
        <f t="shared" si="16"/>
        <v>0</v>
      </c>
      <c r="D347" s="4">
        <f t="shared" si="17"/>
        <v>1.1953678167863522E-168</v>
      </c>
    </row>
    <row r="348" spans="2:4" x14ac:dyDescent="0.25">
      <c r="B348" s="71">
        <f t="shared" si="18"/>
        <v>14.150000000000066</v>
      </c>
      <c r="C348" s="4">
        <f t="shared" si="16"/>
        <v>0</v>
      </c>
      <c r="D348" s="4">
        <f t="shared" si="17"/>
        <v>7.3788966387141551E-170</v>
      </c>
    </row>
    <row r="349" spans="2:4" x14ac:dyDescent="0.25">
      <c r="B349" s="71">
        <f t="shared" si="18"/>
        <v>14.200000000000067</v>
      </c>
      <c r="C349" s="4">
        <f t="shared" si="16"/>
        <v>0</v>
      </c>
      <c r="D349" s="4">
        <f t="shared" si="17"/>
        <v>4.5096034078816709E-171</v>
      </c>
    </row>
    <row r="350" spans="2:4" x14ac:dyDescent="0.25">
      <c r="B350" s="71">
        <f t="shared" si="18"/>
        <v>14.250000000000068</v>
      </c>
      <c r="C350" s="4">
        <f t="shared" si="16"/>
        <v>0</v>
      </c>
      <c r="D350" s="4">
        <f t="shared" si="17"/>
        <v>2.7286154147976763E-172</v>
      </c>
    </row>
    <row r="351" spans="2:4" x14ac:dyDescent="0.25">
      <c r="B351" s="71">
        <f t="shared" si="18"/>
        <v>14.300000000000068</v>
      </c>
      <c r="C351" s="4">
        <f t="shared" si="16"/>
        <v>0</v>
      </c>
      <c r="D351" s="4">
        <f t="shared" si="17"/>
        <v>1.6345693897338038E-173</v>
      </c>
    </row>
    <row r="352" spans="2:4" x14ac:dyDescent="0.25">
      <c r="B352" s="71">
        <f t="shared" si="18"/>
        <v>14.350000000000069</v>
      </c>
      <c r="C352" s="4">
        <f t="shared" si="16"/>
        <v>0</v>
      </c>
      <c r="D352" s="4">
        <f t="shared" si="17"/>
        <v>9.6944114999622857E-175</v>
      </c>
    </row>
    <row r="353" spans="2:4" x14ac:dyDescent="0.25">
      <c r="B353" s="71">
        <f t="shared" si="18"/>
        <v>14.40000000000007</v>
      </c>
      <c r="C353" s="4">
        <f t="shared" si="16"/>
        <v>0</v>
      </c>
      <c r="D353" s="4">
        <f t="shared" si="17"/>
        <v>5.6924155210467093E-176</v>
      </c>
    </row>
    <row r="354" spans="2:4" x14ac:dyDescent="0.25">
      <c r="B354" s="71">
        <f t="shared" si="18"/>
        <v>14.45000000000007</v>
      </c>
      <c r="C354" s="4">
        <f t="shared" si="16"/>
        <v>0</v>
      </c>
      <c r="D354" s="4">
        <f t="shared" si="17"/>
        <v>3.3092440229442031E-177</v>
      </c>
    </row>
    <row r="355" spans="2:4" x14ac:dyDescent="0.25">
      <c r="B355" s="71">
        <f t="shared" si="18"/>
        <v>14.500000000000071</v>
      </c>
      <c r="C355" s="4">
        <f t="shared" si="16"/>
        <v>0</v>
      </c>
      <c r="D355" s="4">
        <f t="shared" si="17"/>
        <v>1.9046625702993677E-178</v>
      </c>
    </row>
    <row r="356" spans="2:4" x14ac:dyDescent="0.25">
      <c r="B356" s="71">
        <f t="shared" si="18"/>
        <v>14.550000000000072</v>
      </c>
      <c r="C356" s="4">
        <f t="shared" si="16"/>
        <v>0</v>
      </c>
      <c r="D356" s="4">
        <f t="shared" si="17"/>
        <v>1.0853363700563873E-179</v>
      </c>
    </row>
    <row r="357" spans="2:4" x14ac:dyDescent="0.25">
      <c r="B357" s="71">
        <f t="shared" si="18"/>
        <v>14.600000000000072</v>
      </c>
      <c r="C357" s="4">
        <f t="shared" si="16"/>
        <v>0</v>
      </c>
      <c r="D357" s="4">
        <f t="shared" si="17"/>
        <v>6.1230488061620987E-181</v>
      </c>
    </row>
    <row r="358" spans="2:4" x14ac:dyDescent="0.25">
      <c r="B358" s="71">
        <f t="shared" si="18"/>
        <v>14.650000000000073</v>
      </c>
      <c r="C358" s="4">
        <f t="shared" si="16"/>
        <v>0</v>
      </c>
      <c r="D358" s="4">
        <f t="shared" si="17"/>
        <v>3.4200160238979116E-182</v>
      </c>
    </row>
    <row r="359" spans="2:4" x14ac:dyDescent="0.25">
      <c r="B359" s="71">
        <f t="shared" si="18"/>
        <v>14.700000000000074</v>
      </c>
      <c r="C359" s="4">
        <f t="shared" si="16"/>
        <v>0</v>
      </c>
      <c r="D359" s="4">
        <f t="shared" si="17"/>
        <v>1.8912355192976995E-183</v>
      </c>
    </row>
    <row r="360" spans="2:4" x14ac:dyDescent="0.25">
      <c r="B360" s="71">
        <f t="shared" si="18"/>
        <v>14.750000000000075</v>
      </c>
      <c r="C360" s="4">
        <f t="shared" si="16"/>
        <v>0</v>
      </c>
      <c r="D360" s="4">
        <f t="shared" si="17"/>
        <v>1.0354285742412153E-184</v>
      </c>
    </row>
    <row r="361" spans="2:4" x14ac:dyDescent="0.25">
      <c r="B361" s="71">
        <f t="shared" si="18"/>
        <v>14.800000000000075</v>
      </c>
      <c r="C361" s="4">
        <f t="shared" si="16"/>
        <v>0</v>
      </c>
      <c r="D361" s="4">
        <f t="shared" si="17"/>
        <v>5.6124402570597161E-186</v>
      </c>
    </row>
    <row r="362" spans="2:4" x14ac:dyDescent="0.25">
      <c r="B362" s="71">
        <f t="shared" si="18"/>
        <v>14.850000000000076</v>
      </c>
      <c r="C362" s="4">
        <f t="shared" si="16"/>
        <v>0</v>
      </c>
      <c r="D362" s="4">
        <f t="shared" si="17"/>
        <v>3.0118987727369304E-187</v>
      </c>
    </row>
    <row r="363" spans="2:4" x14ac:dyDescent="0.25">
      <c r="B363" s="71">
        <f t="shared" si="18"/>
        <v>14.900000000000077</v>
      </c>
      <c r="C363" s="4">
        <f t="shared" si="16"/>
        <v>0</v>
      </c>
      <c r="D363" s="4">
        <f t="shared" si="17"/>
        <v>1.6002434827356336E-188</v>
      </c>
    </row>
    <row r="364" spans="2:4" x14ac:dyDescent="0.25">
      <c r="B364" s="71">
        <f t="shared" si="18"/>
        <v>14.950000000000077</v>
      </c>
      <c r="C364" s="4">
        <f t="shared" si="16"/>
        <v>0</v>
      </c>
      <c r="D364" s="4">
        <f t="shared" si="17"/>
        <v>8.417610339945793E-190</v>
      </c>
    </row>
    <row r="365" spans="2:4" x14ac:dyDescent="0.25">
      <c r="B365" s="71">
        <f t="shared" si="18"/>
        <v>15.000000000000078</v>
      </c>
      <c r="C365" s="4">
        <f t="shared" si="16"/>
        <v>0</v>
      </c>
      <c r="D365" s="4">
        <f t="shared" si="17"/>
        <v>4.3837787175475827E-191</v>
      </c>
    </row>
    <row r="366" spans="2:4" x14ac:dyDescent="0.25">
      <c r="B366" s="71">
        <f t="shared" si="18"/>
        <v>15.050000000000079</v>
      </c>
      <c r="C366" s="4">
        <f t="shared" si="16"/>
        <v>0</v>
      </c>
      <c r="D366" s="4">
        <f t="shared" si="17"/>
        <v>2.2602968774347821E-192</v>
      </c>
    </row>
    <row r="367" spans="2:4" x14ac:dyDescent="0.25">
      <c r="B367" s="71">
        <f t="shared" si="18"/>
        <v>15.10000000000008</v>
      </c>
      <c r="C367" s="4">
        <f t="shared" si="16"/>
        <v>0</v>
      </c>
      <c r="D367" s="4">
        <f t="shared" si="17"/>
        <v>1.1538235568063912E-193</v>
      </c>
    </row>
    <row r="368" spans="2:4" x14ac:dyDescent="0.25">
      <c r="B368" s="71">
        <f t="shared" si="18"/>
        <v>15.15000000000008</v>
      </c>
      <c r="C368" s="4">
        <f t="shared" si="16"/>
        <v>0</v>
      </c>
      <c r="D368" s="4">
        <f t="shared" si="17"/>
        <v>5.8313669744291028E-195</v>
      </c>
    </row>
    <row r="369" spans="2:4" x14ac:dyDescent="0.25">
      <c r="B369" s="71">
        <f t="shared" si="18"/>
        <v>15.200000000000081</v>
      </c>
      <c r="C369" s="4">
        <f t="shared" si="16"/>
        <v>0</v>
      </c>
      <c r="D369" s="4">
        <f t="shared" si="17"/>
        <v>2.9178193470452604E-196</v>
      </c>
    </row>
    <row r="370" spans="2:4" x14ac:dyDescent="0.25">
      <c r="B370" s="71">
        <f t="shared" si="18"/>
        <v>15.250000000000082</v>
      </c>
      <c r="C370" s="4">
        <f t="shared" si="16"/>
        <v>0</v>
      </c>
      <c r="D370" s="4">
        <f t="shared" si="17"/>
        <v>1.4454513580804811E-197</v>
      </c>
    </row>
    <row r="371" spans="2:4" x14ac:dyDescent="0.25">
      <c r="B371" s="71">
        <f t="shared" si="18"/>
        <v>15.300000000000082</v>
      </c>
      <c r="C371" s="4">
        <f t="shared" si="16"/>
        <v>0</v>
      </c>
      <c r="D371" s="4">
        <f t="shared" si="17"/>
        <v>7.0893369512893106E-199</v>
      </c>
    </row>
    <row r="372" spans="2:4" x14ac:dyDescent="0.25">
      <c r="B372" s="71">
        <f t="shared" si="18"/>
        <v>15.350000000000083</v>
      </c>
      <c r="C372" s="4">
        <f t="shared" si="16"/>
        <v>0</v>
      </c>
      <c r="D372" s="4">
        <f t="shared" si="17"/>
        <v>3.4424275660357193E-200</v>
      </c>
    </row>
    <row r="373" spans="2:4" x14ac:dyDescent="0.25">
      <c r="B373" s="71">
        <f t="shared" si="18"/>
        <v>15.400000000000084</v>
      </c>
      <c r="C373" s="4">
        <f t="shared" si="16"/>
        <v>0</v>
      </c>
      <c r="D373" s="4">
        <f t="shared" si="17"/>
        <v>1.6549354471080933E-201</v>
      </c>
    </row>
    <row r="374" spans="2:4" x14ac:dyDescent="0.25">
      <c r="B374" s="71">
        <f t="shared" si="18"/>
        <v>15.450000000000085</v>
      </c>
      <c r="C374" s="4">
        <f t="shared" si="16"/>
        <v>0</v>
      </c>
      <c r="D374" s="4">
        <f t="shared" si="17"/>
        <v>7.8768823859774052E-203</v>
      </c>
    </row>
    <row r="375" spans="2:4" x14ac:dyDescent="0.25">
      <c r="B375" s="71">
        <f t="shared" si="18"/>
        <v>15.500000000000085</v>
      </c>
      <c r="C375" s="4">
        <f t="shared" si="16"/>
        <v>0</v>
      </c>
      <c r="D375" s="4">
        <f t="shared" si="17"/>
        <v>3.7118012921512505E-204</v>
      </c>
    </row>
    <row r="376" spans="2:4" x14ac:dyDescent="0.25">
      <c r="B376" s="71">
        <f t="shared" si="18"/>
        <v>15.550000000000086</v>
      </c>
      <c r="C376" s="4">
        <f t="shared" si="16"/>
        <v>0</v>
      </c>
      <c r="D376" s="4">
        <f t="shared" si="17"/>
        <v>1.7316979051634664E-205</v>
      </c>
    </row>
    <row r="377" spans="2:4" x14ac:dyDescent="0.25">
      <c r="B377" s="71">
        <f t="shared" si="18"/>
        <v>15.600000000000087</v>
      </c>
      <c r="C377" s="4">
        <f t="shared" si="16"/>
        <v>0</v>
      </c>
      <c r="D377" s="4">
        <f t="shared" si="17"/>
        <v>7.9986482708830795E-207</v>
      </c>
    </row>
    <row r="378" spans="2:4" x14ac:dyDescent="0.25">
      <c r="B378" s="71">
        <f t="shared" si="18"/>
        <v>15.650000000000087</v>
      </c>
      <c r="C378" s="4">
        <f t="shared" si="16"/>
        <v>0</v>
      </c>
      <c r="D378" s="4">
        <f t="shared" si="17"/>
        <v>3.6577845658339191E-208</v>
      </c>
    </row>
    <row r="379" spans="2:4" x14ac:dyDescent="0.25">
      <c r="B379" s="71">
        <f t="shared" si="18"/>
        <v>15.700000000000088</v>
      </c>
      <c r="C379" s="4">
        <f t="shared" si="16"/>
        <v>0</v>
      </c>
      <c r="D379" s="4">
        <f t="shared" si="17"/>
        <v>1.6560624179504484E-209</v>
      </c>
    </row>
    <row r="380" spans="2:4" x14ac:dyDescent="0.25">
      <c r="B380" s="71">
        <f t="shared" si="18"/>
        <v>15.750000000000089</v>
      </c>
      <c r="C380" s="4">
        <f t="shared" si="16"/>
        <v>0</v>
      </c>
      <c r="D380" s="4">
        <f t="shared" si="17"/>
        <v>7.4232200588718675E-211</v>
      </c>
    </row>
    <row r="381" spans="2:4" x14ac:dyDescent="0.25">
      <c r="B381" s="71">
        <f t="shared" si="18"/>
        <v>15.80000000000009</v>
      </c>
      <c r="C381" s="4">
        <f t="shared" si="16"/>
        <v>0</v>
      </c>
      <c r="D381" s="4">
        <f t="shared" si="17"/>
        <v>3.2943142444000458E-212</v>
      </c>
    </row>
    <row r="382" spans="2:4" x14ac:dyDescent="0.25">
      <c r="B382" s="71">
        <f t="shared" si="18"/>
        <v>15.85000000000009</v>
      </c>
      <c r="C382" s="4">
        <f t="shared" si="16"/>
        <v>0</v>
      </c>
      <c r="D382" s="4">
        <f t="shared" si="17"/>
        <v>1.4474206629084216E-213</v>
      </c>
    </row>
    <row r="383" spans="2:4" x14ac:dyDescent="0.25">
      <c r="B383" s="71">
        <f t="shared" si="18"/>
        <v>15.900000000000091</v>
      </c>
      <c r="C383" s="4">
        <f t="shared" si="16"/>
        <v>0</v>
      </c>
      <c r="D383" s="4">
        <f t="shared" si="17"/>
        <v>6.2962442523959533E-215</v>
      </c>
    </row>
    <row r="384" spans="2:4" x14ac:dyDescent="0.25">
      <c r="B384" s="71">
        <f t="shared" si="18"/>
        <v>15.950000000000092</v>
      </c>
      <c r="C384" s="4">
        <f t="shared" si="16"/>
        <v>0</v>
      </c>
      <c r="D384" s="4">
        <f t="shared" si="17"/>
        <v>2.7115987299822172E-216</v>
      </c>
    </row>
    <row r="385" spans="2:4" x14ac:dyDescent="0.25">
      <c r="B385" s="71">
        <f t="shared" si="18"/>
        <v>16.000000000000092</v>
      </c>
      <c r="C385" s="4">
        <f t="shared" ref="C385:C448" si="19">_xlfn.NORM.DIST(B385,$C$45,C$46,FALSE)*G1_Weight</f>
        <v>0</v>
      </c>
      <c r="D385" s="4">
        <f t="shared" ref="D385:D448" si="20">_xlfn.NORM.DIST(B385,D$45,D$46,FALSE)*G2_Weight</f>
        <v>1.1561823398014039E-217</v>
      </c>
    </row>
    <row r="386" spans="2:4" x14ac:dyDescent="0.25">
      <c r="B386" s="71">
        <f t="shared" ref="B386:B449" si="21">B385+$A$65</f>
        <v>16.050000000000093</v>
      </c>
      <c r="C386" s="4">
        <f t="shared" si="19"/>
        <v>0</v>
      </c>
      <c r="D386" s="4">
        <f t="shared" si="20"/>
        <v>4.8807245255338124E-219</v>
      </c>
    </row>
    <row r="387" spans="2:4" x14ac:dyDescent="0.25">
      <c r="B387" s="71">
        <f t="shared" si="21"/>
        <v>16.100000000000094</v>
      </c>
      <c r="C387" s="4">
        <f t="shared" si="19"/>
        <v>0</v>
      </c>
      <c r="D387" s="4">
        <f t="shared" si="20"/>
        <v>2.0398550882996757E-220</v>
      </c>
    </row>
    <row r="388" spans="2:4" x14ac:dyDescent="0.25">
      <c r="B388" s="71">
        <f t="shared" si="21"/>
        <v>16.150000000000095</v>
      </c>
      <c r="C388" s="4">
        <f t="shared" si="19"/>
        <v>0</v>
      </c>
      <c r="D388" s="4">
        <f t="shared" si="20"/>
        <v>8.4405625242019129E-222</v>
      </c>
    </row>
    <row r="389" spans="2:4" x14ac:dyDescent="0.25">
      <c r="B389" s="71">
        <f t="shared" si="21"/>
        <v>16.200000000000095</v>
      </c>
      <c r="C389" s="4">
        <f t="shared" si="19"/>
        <v>0</v>
      </c>
      <c r="D389" s="4">
        <f t="shared" si="20"/>
        <v>3.4578051883611504E-223</v>
      </c>
    </row>
    <row r="390" spans="2:4" x14ac:dyDescent="0.25">
      <c r="B390" s="71">
        <f t="shared" si="21"/>
        <v>16.250000000000096</v>
      </c>
      <c r="C390" s="4">
        <f t="shared" si="19"/>
        <v>0</v>
      </c>
      <c r="D390" s="4">
        <f t="shared" si="20"/>
        <v>1.4024478051765758E-224</v>
      </c>
    </row>
    <row r="391" spans="2:4" x14ac:dyDescent="0.25">
      <c r="B391" s="71">
        <f t="shared" si="21"/>
        <v>16.300000000000097</v>
      </c>
      <c r="C391" s="4">
        <f t="shared" si="19"/>
        <v>0</v>
      </c>
      <c r="D391" s="4">
        <f t="shared" si="20"/>
        <v>5.6315759787066015E-226</v>
      </c>
    </row>
    <row r="392" spans="2:4" x14ac:dyDescent="0.25">
      <c r="B392" s="71">
        <f t="shared" si="21"/>
        <v>16.350000000000097</v>
      </c>
      <c r="C392" s="4">
        <f t="shared" si="19"/>
        <v>0</v>
      </c>
      <c r="D392" s="4">
        <f t="shared" si="20"/>
        <v>2.2388770453934934E-227</v>
      </c>
    </row>
    <row r="393" spans="2:4" x14ac:dyDescent="0.25">
      <c r="B393" s="71">
        <f t="shared" si="21"/>
        <v>16.400000000000098</v>
      </c>
      <c r="C393" s="4">
        <f t="shared" si="19"/>
        <v>0</v>
      </c>
      <c r="D393" s="4">
        <f t="shared" si="20"/>
        <v>8.8122659342386014E-229</v>
      </c>
    </row>
    <row r="394" spans="2:4" x14ac:dyDescent="0.25">
      <c r="B394" s="71">
        <f t="shared" si="21"/>
        <v>16.450000000000099</v>
      </c>
      <c r="C394" s="4">
        <f t="shared" si="19"/>
        <v>0</v>
      </c>
      <c r="D394" s="4">
        <f t="shared" si="20"/>
        <v>3.4340135219184895E-230</v>
      </c>
    </row>
    <row r="395" spans="2:4" x14ac:dyDescent="0.25">
      <c r="B395" s="71">
        <f t="shared" si="21"/>
        <v>16.500000000000099</v>
      </c>
      <c r="C395" s="4">
        <f t="shared" si="19"/>
        <v>0</v>
      </c>
      <c r="D395" s="4">
        <f t="shared" si="20"/>
        <v>1.3248705984473929E-231</v>
      </c>
    </row>
    <row r="396" spans="2:4" x14ac:dyDescent="0.25">
      <c r="B396" s="71">
        <f t="shared" si="21"/>
        <v>16.5500000000001</v>
      </c>
      <c r="C396" s="4">
        <f t="shared" si="19"/>
        <v>0</v>
      </c>
      <c r="D396" s="4">
        <f t="shared" si="20"/>
        <v>5.0605996243166186E-233</v>
      </c>
    </row>
    <row r="397" spans="2:4" x14ac:dyDescent="0.25">
      <c r="B397" s="71">
        <f t="shared" si="21"/>
        <v>16.600000000000101</v>
      </c>
      <c r="C397" s="4">
        <f t="shared" si="19"/>
        <v>0</v>
      </c>
      <c r="D397" s="4">
        <f t="shared" si="20"/>
        <v>1.9137603421473582E-234</v>
      </c>
    </row>
    <row r="398" spans="2:4" x14ac:dyDescent="0.25">
      <c r="B398" s="71">
        <f t="shared" si="21"/>
        <v>16.650000000000102</v>
      </c>
      <c r="C398" s="4">
        <f t="shared" si="19"/>
        <v>0</v>
      </c>
      <c r="D398" s="4">
        <f t="shared" si="20"/>
        <v>7.1652306938550611E-236</v>
      </c>
    </row>
    <row r="399" spans="2:4" x14ac:dyDescent="0.25">
      <c r="B399" s="71">
        <f t="shared" si="21"/>
        <v>16.700000000000102</v>
      </c>
      <c r="C399" s="4">
        <f t="shared" si="19"/>
        <v>0</v>
      </c>
      <c r="D399" s="4">
        <f t="shared" si="20"/>
        <v>2.6560109413337663E-237</v>
      </c>
    </row>
    <row r="400" spans="2:4" x14ac:dyDescent="0.25">
      <c r="B400" s="71">
        <f t="shared" si="21"/>
        <v>16.750000000000103</v>
      </c>
      <c r="C400" s="4">
        <f t="shared" si="19"/>
        <v>0</v>
      </c>
      <c r="D400" s="4">
        <f t="shared" si="20"/>
        <v>9.7473508175762121E-239</v>
      </c>
    </row>
    <row r="401" spans="2:4" x14ac:dyDescent="0.25">
      <c r="B401" s="71">
        <f t="shared" si="21"/>
        <v>16.800000000000104</v>
      </c>
      <c r="C401" s="4">
        <f t="shared" si="19"/>
        <v>0</v>
      </c>
      <c r="D401" s="4">
        <f t="shared" si="20"/>
        <v>3.5416071810616942E-240</v>
      </c>
    </row>
    <row r="402" spans="2:4" x14ac:dyDescent="0.25">
      <c r="B402" s="71">
        <f t="shared" si="21"/>
        <v>16.850000000000104</v>
      </c>
      <c r="C402" s="4">
        <f t="shared" si="19"/>
        <v>0</v>
      </c>
      <c r="D402" s="4">
        <f t="shared" si="20"/>
        <v>1.2740053073801715E-241</v>
      </c>
    </row>
    <row r="403" spans="2:4" x14ac:dyDescent="0.25">
      <c r="B403" s="71">
        <f t="shared" si="21"/>
        <v>16.900000000000105</v>
      </c>
      <c r="C403" s="4">
        <f t="shared" si="19"/>
        <v>0</v>
      </c>
      <c r="D403" s="4">
        <f t="shared" si="20"/>
        <v>4.5373171853434771E-243</v>
      </c>
    </row>
    <row r="404" spans="2:4" x14ac:dyDescent="0.25">
      <c r="B404" s="71">
        <f t="shared" si="21"/>
        <v>16.950000000000106</v>
      </c>
      <c r="C404" s="4">
        <f t="shared" si="19"/>
        <v>0</v>
      </c>
      <c r="D404" s="4">
        <f t="shared" si="20"/>
        <v>1.5998678019352858E-244</v>
      </c>
    </row>
    <row r="405" spans="2:4" x14ac:dyDescent="0.25">
      <c r="B405" s="71">
        <f t="shared" si="21"/>
        <v>17.000000000000107</v>
      </c>
      <c r="C405" s="4">
        <f t="shared" si="19"/>
        <v>0</v>
      </c>
      <c r="D405" s="4">
        <f t="shared" si="20"/>
        <v>5.5850377296433351E-246</v>
      </c>
    </row>
    <row r="406" spans="2:4" x14ac:dyDescent="0.25">
      <c r="B406" s="71">
        <f t="shared" si="21"/>
        <v>17.050000000000107</v>
      </c>
      <c r="C406" s="4">
        <f t="shared" si="19"/>
        <v>0</v>
      </c>
      <c r="D406" s="4">
        <f t="shared" si="20"/>
        <v>1.9303016403157032E-247</v>
      </c>
    </row>
    <row r="407" spans="2:4" x14ac:dyDescent="0.25">
      <c r="B407" s="71">
        <f t="shared" si="21"/>
        <v>17.100000000000108</v>
      </c>
      <c r="C407" s="4">
        <f t="shared" si="19"/>
        <v>0</v>
      </c>
      <c r="D407" s="4">
        <f t="shared" si="20"/>
        <v>6.6051289905525749E-249</v>
      </c>
    </row>
    <row r="408" spans="2:4" x14ac:dyDescent="0.25">
      <c r="B408" s="71">
        <f t="shared" si="21"/>
        <v>17.150000000000109</v>
      </c>
      <c r="C408" s="4">
        <f t="shared" si="19"/>
        <v>0</v>
      </c>
      <c r="D408" s="4">
        <f t="shared" si="20"/>
        <v>2.2376619758896155E-250</v>
      </c>
    </row>
    <row r="409" spans="2:4" x14ac:dyDescent="0.25">
      <c r="B409" s="71">
        <f t="shared" si="21"/>
        <v>17.200000000000109</v>
      </c>
      <c r="C409" s="4">
        <f t="shared" si="19"/>
        <v>0</v>
      </c>
      <c r="D409" s="4">
        <f t="shared" si="20"/>
        <v>7.5052422721275653E-252</v>
      </c>
    </row>
    <row r="410" spans="2:4" x14ac:dyDescent="0.25">
      <c r="B410" s="71">
        <f t="shared" si="21"/>
        <v>17.25000000000011</v>
      </c>
      <c r="C410" s="4">
        <f t="shared" si="19"/>
        <v>0</v>
      </c>
      <c r="D410" s="4">
        <f t="shared" si="20"/>
        <v>2.4922522980226979E-253</v>
      </c>
    </row>
    <row r="411" spans="2:4" x14ac:dyDescent="0.25">
      <c r="B411" s="71">
        <f t="shared" si="21"/>
        <v>17.300000000000111</v>
      </c>
      <c r="C411" s="4">
        <f t="shared" si="19"/>
        <v>0</v>
      </c>
      <c r="D411" s="4">
        <f t="shared" si="20"/>
        <v>8.1936300152569375E-255</v>
      </c>
    </row>
    <row r="412" spans="2:4" x14ac:dyDescent="0.25">
      <c r="B412" s="71">
        <f t="shared" si="21"/>
        <v>17.350000000000112</v>
      </c>
      <c r="C412" s="4">
        <f t="shared" si="19"/>
        <v>0</v>
      </c>
      <c r="D412" s="4">
        <f t="shared" si="20"/>
        <v>2.6669676568733165E-256</v>
      </c>
    </row>
    <row r="413" spans="2:4" x14ac:dyDescent="0.25">
      <c r="B413" s="71">
        <f t="shared" si="21"/>
        <v>17.400000000000112</v>
      </c>
      <c r="C413" s="4">
        <f t="shared" si="19"/>
        <v>0</v>
      </c>
      <c r="D413" s="4">
        <f t="shared" si="20"/>
        <v>8.5944126817991477E-258</v>
      </c>
    </row>
    <row r="414" spans="2:4" x14ac:dyDescent="0.25">
      <c r="B414" s="71">
        <f t="shared" si="21"/>
        <v>17.450000000000113</v>
      </c>
      <c r="C414" s="4">
        <f t="shared" si="19"/>
        <v>0</v>
      </c>
      <c r="D414" s="4">
        <f t="shared" si="20"/>
        <v>2.7420269150876033E-259</v>
      </c>
    </row>
    <row r="415" spans="2:4" x14ac:dyDescent="0.25">
      <c r="B415" s="71">
        <f t="shared" si="21"/>
        <v>17.500000000000114</v>
      </c>
      <c r="C415" s="4">
        <f t="shared" si="19"/>
        <v>0</v>
      </c>
      <c r="D415" s="4">
        <f t="shared" si="20"/>
        <v>8.661323871946129E-261</v>
      </c>
    </row>
    <row r="416" spans="2:4" x14ac:dyDescent="0.25">
      <c r="B416" s="71">
        <f t="shared" si="21"/>
        <v>17.550000000000114</v>
      </c>
      <c r="C416" s="4">
        <f t="shared" si="19"/>
        <v>0</v>
      </c>
      <c r="D416" s="4">
        <f t="shared" si="20"/>
        <v>2.7086562844655129E-262</v>
      </c>
    </row>
    <row r="417" spans="2:4" x14ac:dyDescent="0.25">
      <c r="B417" s="71">
        <f t="shared" si="21"/>
        <v>17.600000000000115</v>
      </c>
      <c r="C417" s="4">
        <f t="shared" si="19"/>
        <v>0</v>
      </c>
      <c r="D417" s="4">
        <f t="shared" si="20"/>
        <v>8.3864965763723018E-264</v>
      </c>
    </row>
    <row r="418" spans="2:4" x14ac:dyDescent="0.25">
      <c r="B418" s="71">
        <f t="shared" si="21"/>
        <v>17.650000000000116</v>
      </c>
      <c r="C418" s="4">
        <f t="shared" si="19"/>
        <v>0</v>
      </c>
      <c r="D418" s="4">
        <f t="shared" si="20"/>
        <v>2.5707764011944399E-265</v>
      </c>
    </row>
    <row r="419" spans="2:4" x14ac:dyDescent="0.25">
      <c r="B419" s="71">
        <f t="shared" si="21"/>
        <v>17.700000000000117</v>
      </c>
      <c r="C419" s="4">
        <f t="shared" si="19"/>
        <v>0</v>
      </c>
      <c r="D419" s="4">
        <f t="shared" si="20"/>
        <v>7.8019846286654669E-267</v>
      </c>
    </row>
    <row r="420" spans="2:4" x14ac:dyDescent="0.25">
      <c r="B420" s="71">
        <f t="shared" si="21"/>
        <v>17.750000000000117</v>
      </c>
      <c r="C420" s="4">
        <f t="shared" si="19"/>
        <v>0</v>
      </c>
      <c r="D420" s="4">
        <f t="shared" si="20"/>
        <v>2.3442446377220846E-268</v>
      </c>
    </row>
    <row r="421" spans="2:4" x14ac:dyDescent="0.25">
      <c r="B421" s="71">
        <f t="shared" si="21"/>
        <v>17.800000000000118</v>
      </c>
      <c r="C421" s="4">
        <f t="shared" si="19"/>
        <v>0</v>
      </c>
      <c r="D421" s="4">
        <f t="shared" si="20"/>
        <v>6.9736127559149404E-270</v>
      </c>
    </row>
    <row r="422" spans="2:4" x14ac:dyDescent="0.25">
      <c r="B422" s="71">
        <f t="shared" si="21"/>
        <v>17.850000000000119</v>
      </c>
      <c r="C422" s="4">
        <f t="shared" si="19"/>
        <v>0</v>
      </c>
      <c r="D422" s="4">
        <f t="shared" si="20"/>
        <v>2.0538549955396084E-271</v>
      </c>
    </row>
    <row r="423" spans="2:4" x14ac:dyDescent="0.25">
      <c r="B423" s="71">
        <f t="shared" si="21"/>
        <v>17.900000000000119</v>
      </c>
      <c r="C423" s="4">
        <f t="shared" si="19"/>
        <v>0</v>
      </c>
      <c r="D423" s="4">
        <f t="shared" si="20"/>
        <v>5.9887858706394001E-273</v>
      </c>
    </row>
    <row r="424" spans="2:4" x14ac:dyDescent="0.25">
      <c r="B424" s="71">
        <f t="shared" si="21"/>
        <v>17.95000000000012</v>
      </c>
      <c r="C424" s="4">
        <f t="shared" si="19"/>
        <v>0</v>
      </c>
      <c r="D424" s="4">
        <f t="shared" si="20"/>
        <v>1.72887998590812E-274</v>
      </c>
    </row>
    <row r="425" spans="2:4" x14ac:dyDescent="0.25">
      <c r="B425" s="71">
        <f t="shared" si="21"/>
        <v>18.000000000000121</v>
      </c>
      <c r="C425" s="4">
        <f t="shared" si="19"/>
        <v>0</v>
      </c>
      <c r="D425" s="4">
        <f t="shared" si="20"/>
        <v>4.941376706248618E-276</v>
      </c>
    </row>
    <row r="426" spans="2:4" x14ac:dyDescent="0.25">
      <c r="B426" s="71">
        <f t="shared" si="21"/>
        <v>18.050000000000122</v>
      </c>
      <c r="C426" s="4">
        <f t="shared" si="19"/>
        <v>0</v>
      </c>
      <c r="D426" s="4">
        <f t="shared" si="20"/>
        <v>1.3982606492860857E-277</v>
      </c>
    </row>
    <row r="427" spans="2:4" x14ac:dyDescent="0.25">
      <c r="B427" s="71">
        <f t="shared" si="21"/>
        <v>18.100000000000122</v>
      </c>
      <c r="C427" s="4">
        <f t="shared" si="19"/>
        <v>0</v>
      </c>
      <c r="D427" s="4">
        <f t="shared" si="20"/>
        <v>3.9172867433087753E-279</v>
      </c>
    </row>
    <row r="428" spans="2:4" x14ac:dyDescent="0.25">
      <c r="B428" s="71">
        <f t="shared" si="21"/>
        <v>18.150000000000123</v>
      </c>
      <c r="C428" s="4">
        <f t="shared" si="19"/>
        <v>0</v>
      </c>
      <c r="D428" s="4">
        <f t="shared" si="20"/>
        <v>1.086524804112636E-280</v>
      </c>
    </row>
    <row r="429" spans="2:4" x14ac:dyDescent="0.25">
      <c r="B429" s="71">
        <f t="shared" si="21"/>
        <v>18.200000000000124</v>
      </c>
      <c r="C429" s="4">
        <f t="shared" si="19"/>
        <v>0</v>
      </c>
      <c r="D429" s="4">
        <f t="shared" si="20"/>
        <v>2.9836713408615847E-282</v>
      </c>
    </row>
    <row r="430" spans="2:4" x14ac:dyDescent="0.25">
      <c r="B430" s="71">
        <f t="shared" si="21"/>
        <v>18.250000000000124</v>
      </c>
      <c r="C430" s="4">
        <f t="shared" si="19"/>
        <v>0</v>
      </c>
      <c r="D430" s="4">
        <f t="shared" si="20"/>
        <v>8.1118399919961629E-284</v>
      </c>
    </row>
    <row r="431" spans="2:4" x14ac:dyDescent="0.25">
      <c r="B431" s="71">
        <f t="shared" si="21"/>
        <v>18.300000000000125</v>
      </c>
      <c r="C431" s="4">
        <f t="shared" si="19"/>
        <v>0</v>
      </c>
      <c r="D431" s="4">
        <f t="shared" si="20"/>
        <v>2.1834579043865423E-285</v>
      </c>
    </row>
    <row r="432" spans="2:4" x14ac:dyDescent="0.25">
      <c r="B432" s="71">
        <f t="shared" si="21"/>
        <v>18.350000000000126</v>
      </c>
      <c r="C432" s="4">
        <f t="shared" si="19"/>
        <v>0</v>
      </c>
      <c r="D432" s="4">
        <f t="shared" si="20"/>
        <v>5.8187182223825132E-287</v>
      </c>
    </row>
    <row r="433" spans="2:4" x14ac:dyDescent="0.25">
      <c r="B433" s="71">
        <f t="shared" si="21"/>
        <v>18.400000000000126</v>
      </c>
      <c r="C433" s="4">
        <f t="shared" si="19"/>
        <v>0</v>
      </c>
      <c r="D433" s="4">
        <f t="shared" si="20"/>
        <v>1.5352067979825087E-288</v>
      </c>
    </row>
    <row r="434" spans="2:4" x14ac:dyDescent="0.25">
      <c r="B434" s="71">
        <f t="shared" si="21"/>
        <v>18.450000000000127</v>
      </c>
      <c r="C434" s="4">
        <f t="shared" si="19"/>
        <v>0</v>
      </c>
      <c r="D434" s="4">
        <f t="shared" si="20"/>
        <v>4.0101765980618734E-290</v>
      </c>
    </row>
    <row r="435" spans="2:4" x14ac:dyDescent="0.25">
      <c r="B435" s="71">
        <f t="shared" si="21"/>
        <v>18.500000000000128</v>
      </c>
      <c r="C435" s="4">
        <f t="shared" si="19"/>
        <v>0</v>
      </c>
      <c r="D435" s="4">
        <f t="shared" si="20"/>
        <v>1.0370917199781787E-291</v>
      </c>
    </row>
    <row r="436" spans="2:4" x14ac:dyDescent="0.25">
      <c r="B436" s="71">
        <f t="shared" si="21"/>
        <v>18.550000000000129</v>
      </c>
      <c r="C436" s="4">
        <f t="shared" si="19"/>
        <v>0</v>
      </c>
      <c r="D436" s="4">
        <f t="shared" si="20"/>
        <v>2.6553874035239399E-293</v>
      </c>
    </row>
    <row r="437" spans="2:4" x14ac:dyDescent="0.25">
      <c r="B437" s="71">
        <f t="shared" si="21"/>
        <v>18.600000000000129</v>
      </c>
      <c r="C437" s="4">
        <f t="shared" si="19"/>
        <v>0</v>
      </c>
      <c r="D437" s="4">
        <f t="shared" si="20"/>
        <v>6.7312492111859409E-295</v>
      </c>
    </row>
    <row r="438" spans="2:4" x14ac:dyDescent="0.25">
      <c r="B438" s="71">
        <f t="shared" si="21"/>
        <v>18.65000000000013</v>
      </c>
      <c r="C438" s="4">
        <f t="shared" si="19"/>
        <v>0</v>
      </c>
      <c r="D438" s="4">
        <f t="shared" si="20"/>
        <v>1.6893533755996668E-296</v>
      </c>
    </row>
    <row r="439" spans="2:4" x14ac:dyDescent="0.25">
      <c r="B439" s="71">
        <f t="shared" si="21"/>
        <v>18.700000000000131</v>
      </c>
      <c r="C439" s="4">
        <f t="shared" si="19"/>
        <v>0</v>
      </c>
      <c r="D439" s="4">
        <f t="shared" si="20"/>
        <v>4.197612971977679E-298</v>
      </c>
    </row>
    <row r="440" spans="2:4" x14ac:dyDescent="0.25">
      <c r="B440" s="71">
        <f t="shared" si="21"/>
        <v>18.750000000000131</v>
      </c>
      <c r="C440" s="4">
        <f t="shared" si="19"/>
        <v>0</v>
      </c>
      <c r="D440" s="4">
        <f t="shared" si="20"/>
        <v>1.032621915358649E-299</v>
      </c>
    </row>
    <row r="441" spans="2:4" x14ac:dyDescent="0.25">
      <c r="B441" s="71">
        <f t="shared" si="21"/>
        <v>18.800000000000132</v>
      </c>
      <c r="C441" s="4">
        <f t="shared" si="19"/>
        <v>0</v>
      </c>
      <c r="D441" s="4">
        <f t="shared" si="20"/>
        <v>2.5149962253599763E-301</v>
      </c>
    </row>
    <row r="442" spans="2:4" x14ac:dyDescent="0.25">
      <c r="B442" s="71">
        <f t="shared" si="21"/>
        <v>18.850000000000133</v>
      </c>
      <c r="C442" s="4">
        <f t="shared" si="19"/>
        <v>0</v>
      </c>
      <c r="D442" s="4">
        <f t="shared" si="20"/>
        <v>6.0644356555162191E-303</v>
      </c>
    </row>
    <row r="443" spans="2:4" x14ac:dyDescent="0.25">
      <c r="B443" s="71">
        <f t="shared" si="21"/>
        <v>18.900000000000134</v>
      </c>
      <c r="C443" s="4">
        <f t="shared" si="19"/>
        <v>0</v>
      </c>
      <c r="D443" s="4">
        <f t="shared" si="20"/>
        <v>1.4477730983954573E-304</v>
      </c>
    </row>
    <row r="444" spans="2:4" x14ac:dyDescent="0.25">
      <c r="B444" s="71">
        <f t="shared" si="21"/>
        <v>18.950000000000134</v>
      </c>
      <c r="C444" s="4">
        <f t="shared" si="19"/>
        <v>0</v>
      </c>
      <c r="D444" s="4">
        <f t="shared" si="20"/>
        <v>3.4219027898879057E-306</v>
      </c>
    </row>
    <row r="445" spans="2:4" x14ac:dyDescent="0.25">
      <c r="B445" s="71">
        <f t="shared" si="21"/>
        <v>19.000000000000135</v>
      </c>
      <c r="C445" s="4">
        <f t="shared" si="19"/>
        <v>0</v>
      </c>
      <c r="D445" s="4">
        <f t="shared" si="20"/>
        <v>8.0074067224284697E-308</v>
      </c>
    </row>
    <row r="446" spans="2:4" x14ac:dyDescent="0.25">
      <c r="B446" s="71">
        <f t="shared" si="21"/>
        <v>19.050000000000136</v>
      </c>
      <c r="C446" s="4">
        <f t="shared" si="19"/>
        <v>0</v>
      </c>
      <c r="D446" s="4">
        <f t="shared" si="20"/>
        <v>0</v>
      </c>
    </row>
    <row r="447" spans="2:4" x14ac:dyDescent="0.25">
      <c r="B447" s="71">
        <f t="shared" si="21"/>
        <v>19.100000000000136</v>
      </c>
      <c r="C447" s="4">
        <f t="shared" si="19"/>
        <v>0</v>
      </c>
      <c r="D447" s="4">
        <f t="shared" si="20"/>
        <v>0</v>
      </c>
    </row>
    <row r="448" spans="2:4" x14ac:dyDescent="0.25">
      <c r="B448" s="71">
        <f t="shared" si="21"/>
        <v>19.150000000000137</v>
      </c>
      <c r="C448" s="4">
        <f t="shared" si="19"/>
        <v>0</v>
      </c>
      <c r="D448" s="4">
        <f t="shared" si="20"/>
        <v>0</v>
      </c>
    </row>
    <row r="449" spans="2:4" x14ac:dyDescent="0.25">
      <c r="B449" s="71">
        <f t="shared" si="21"/>
        <v>19.200000000000138</v>
      </c>
      <c r="C449" s="4">
        <f t="shared" ref="C449:C512" si="22">_xlfn.NORM.DIST(B449,$C$45,C$46,FALSE)*G1_Weight</f>
        <v>0</v>
      </c>
      <c r="D449" s="4">
        <f t="shared" ref="D449:D512" si="23">_xlfn.NORM.DIST(B449,D$45,D$46,FALSE)*G2_Weight</f>
        <v>0</v>
      </c>
    </row>
    <row r="450" spans="2:4" x14ac:dyDescent="0.25">
      <c r="B450" s="71">
        <f t="shared" ref="B450:B513" si="24">B449+$A$65</f>
        <v>19.250000000000139</v>
      </c>
      <c r="C450" s="4">
        <f t="shared" si="22"/>
        <v>0</v>
      </c>
      <c r="D450" s="4">
        <f t="shared" si="23"/>
        <v>0</v>
      </c>
    </row>
    <row r="451" spans="2:4" x14ac:dyDescent="0.25">
      <c r="B451" s="71">
        <f t="shared" si="24"/>
        <v>19.300000000000139</v>
      </c>
      <c r="C451" s="4">
        <f t="shared" si="22"/>
        <v>0</v>
      </c>
      <c r="D451" s="4">
        <f t="shared" si="23"/>
        <v>0</v>
      </c>
    </row>
    <row r="452" spans="2:4" x14ac:dyDescent="0.25">
      <c r="B452" s="71">
        <f t="shared" si="24"/>
        <v>19.35000000000014</v>
      </c>
      <c r="C452" s="4">
        <f t="shared" si="22"/>
        <v>0</v>
      </c>
      <c r="D452" s="4">
        <f t="shared" si="23"/>
        <v>0</v>
      </c>
    </row>
    <row r="453" spans="2:4" x14ac:dyDescent="0.25">
      <c r="B453" s="71">
        <f t="shared" si="24"/>
        <v>19.400000000000141</v>
      </c>
      <c r="C453" s="4">
        <f t="shared" si="22"/>
        <v>0</v>
      </c>
      <c r="D453" s="4">
        <f t="shared" si="23"/>
        <v>0</v>
      </c>
    </row>
    <row r="454" spans="2:4" x14ac:dyDescent="0.25">
      <c r="B454" s="71">
        <f t="shared" si="24"/>
        <v>19.450000000000141</v>
      </c>
      <c r="C454" s="4">
        <f t="shared" si="22"/>
        <v>0</v>
      </c>
      <c r="D454" s="4">
        <f t="shared" si="23"/>
        <v>0</v>
      </c>
    </row>
    <row r="455" spans="2:4" x14ac:dyDescent="0.25">
      <c r="B455" s="71">
        <f t="shared" si="24"/>
        <v>19.500000000000142</v>
      </c>
      <c r="C455" s="4">
        <f t="shared" si="22"/>
        <v>0</v>
      </c>
      <c r="D455" s="4">
        <f t="shared" si="23"/>
        <v>0</v>
      </c>
    </row>
    <row r="456" spans="2:4" x14ac:dyDescent="0.25">
      <c r="B456" s="71">
        <f t="shared" si="24"/>
        <v>19.550000000000143</v>
      </c>
      <c r="C456" s="4">
        <f t="shared" si="22"/>
        <v>0</v>
      </c>
      <c r="D456" s="4">
        <f t="shared" si="23"/>
        <v>0</v>
      </c>
    </row>
    <row r="457" spans="2:4" x14ac:dyDescent="0.25">
      <c r="B457" s="71">
        <f t="shared" si="24"/>
        <v>19.600000000000144</v>
      </c>
      <c r="C457" s="4">
        <f t="shared" si="22"/>
        <v>0</v>
      </c>
      <c r="D457" s="4">
        <f t="shared" si="23"/>
        <v>0</v>
      </c>
    </row>
    <row r="458" spans="2:4" x14ac:dyDescent="0.25">
      <c r="B458" s="71">
        <f t="shared" si="24"/>
        <v>19.650000000000144</v>
      </c>
      <c r="C458" s="4">
        <f t="shared" si="22"/>
        <v>0</v>
      </c>
      <c r="D458" s="4">
        <f t="shared" si="23"/>
        <v>0</v>
      </c>
    </row>
    <row r="459" spans="2:4" x14ac:dyDescent="0.25">
      <c r="B459" s="71">
        <f t="shared" si="24"/>
        <v>19.700000000000145</v>
      </c>
      <c r="C459" s="4">
        <f t="shared" si="22"/>
        <v>0</v>
      </c>
      <c r="D459" s="4">
        <f t="shared" si="23"/>
        <v>0</v>
      </c>
    </row>
    <row r="460" spans="2:4" x14ac:dyDescent="0.25">
      <c r="B460" s="71">
        <f t="shared" si="24"/>
        <v>19.750000000000146</v>
      </c>
      <c r="C460" s="4">
        <f t="shared" si="22"/>
        <v>0</v>
      </c>
      <c r="D460" s="4">
        <f t="shared" si="23"/>
        <v>0</v>
      </c>
    </row>
    <row r="461" spans="2:4" x14ac:dyDescent="0.25">
      <c r="B461" s="71">
        <f t="shared" si="24"/>
        <v>19.800000000000146</v>
      </c>
      <c r="C461" s="4">
        <f t="shared" si="22"/>
        <v>0</v>
      </c>
      <c r="D461" s="4">
        <f t="shared" si="23"/>
        <v>0</v>
      </c>
    </row>
    <row r="462" spans="2:4" x14ac:dyDescent="0.25">
      <c r="B462" s="71">
        <f t="shared" si="24"/>
        <v>19.850000000000147</v>
      </c>
      <c r="C462" s="4">
        <f t="shared" si="22"/>
        <v>0</v>
      </c>
      <c r="D462" s="4">
        <f t="shared" si="23"/>
        <v>0</v>
      </c>
    </row>
    <row r="463" spans="2:4" x14ac:dyDescent="0.25">
      <c r="B463" s="71">
        <f t="shared" si="24"/>
        <v>19.900000000000148</v>
      </c>
      <c r="C463" s="4">
        <f t="shared" si="22"/>
        <v>0</v>
      </c>
      <c r="D463" s="4">
        <f t="shared" si="23"/>
        <v>0</v>
      </c>
    </row>
    <row r="464" spans="2:4" x14ac:dyDescent="0.25">
      <c r="B464" s="71">
        <f t="shared" si="24"/>
        <v>19.950000000000149</v>
      </c>
      <c r="C464" s="4">
        <f t="shared" si="22"/>
        <v>0</v>
      </c>
      <c r="D464" s="4">
        <f t="shared" si="23"/>
        <v>0</v>
      </c>
    </row>
    <row r="465" spans="2:4" x14ac:dyDescent="0.25">
      <c r="B465" s="71">
        <f t="shared" si="24"/>
        <v>20.000000000000149</v>
      </c>
      <c r="C465" s="4">
        <f t="shared" si="22"/>
        <v>0</v>
      </c>
      <c r="D465" s="4">
        <f t="shared" si="23"/>
        <v>0</v>
      </c>
    </row>
    <row r="466" spans="2:4" x14ac:dyDescent="0.25">
      <c r="B466" s="71">
        <f t="shared" si="24"/>
        <v>20.05000000000015</v>
      </c>
      <c r="C466" s="4">
        <f t="shared" si="22"/>
        <v>0</v>
      </c>
      <c r="D466" s="4">
        <f t="shared" si="23"/>
        <v>0</v>
      </c>
    </row>
    <row r="467" spans="2:4" x14ac:dyDescent="0.25">
      <c r="B467" s="71">
        <f t="shared" si="24"/>
        <v>20.100000000000151</v>
      </c>
      <c r="C467" s="4">
        <f t="shared" si="22"/>
        <v>0</v>
      </c>
      <c r="D467" s="4">
        <f t="shared" si="23"/>
        <v>0</v>
      </c>
    </row>
    <row r="468" spans="2:4" x14ac:dyDescent="0.25">
      <c r="B468" s="71">
        <f t="shared" si="24"/>
        <v>20.150000000000151</v>
      </c>
      <c r="C468" s="4">
        <f t="shared" si="22"/>
        <v>0</v>
      </c>
      <c r="D468" s="4">
        <f t="shared" si="23"/>
        <v>0</v>
      </c>
    </row>
    <row r="469" spans="2:4" x14ac:dyDescent="0.25">
      <c r="B469" s="71">
        <f t="shared" si="24"/>
        <v>20.200000000000152</v>
      </c>
      <c r="C469" s="4">
        <f t="shared" si="22"/>
        <v>0</v>
      </c>
      <c r="D469" s="4">
        <f t="shared" si="23"/>
        <v>0</v>
      </c>
    </row>
    <row r="470" spans="2:4" x14ac:dyDescent="0.25">
      <c r="B470" s="71">
        <f t="shared" si="24"/>
        <v>20.250000000000153</v>
      </c>
      <c r="C470" s="4">
        <f t="shared" si="22"/>
        <v>0</v>
      </c>
      <c r="D470" s="4">
        <f t="shared" si="23"/>
        <v>0</v>
      </c>
    </row>
    <row r="471" spans="2:4" x14ac:dyDescent="0.25">
      <c r="B471" s="71">
        <f t="shared" si="24"/>
        <v>20.300000000000153</v>
      </c>
      <c r="C471" s="4">
        <f t="shared" si="22"/>
        <v>0</v>
      </c>
      <c r="D471" s="4">
        <f t="shared" si="23"/>
        <v>0</v>
      </c>
    </row>
    <row r="472" spans="2:4" x14ac:dyDescent="0.25">
      <c r="B472" s="71">
        <f t="shared" si="24"/>
        <v>20.350000000000154</v>
      </c>
      <c r="C472" s="4">
        <f t="shared" si="22"/>
        <v>0</v>
      </c>
      <c r="D472" s="4">
        <f t="shared" si="23"/>
        <v>0</v>
      </c>
    </row>
    <row r="473" spans="2:4" x14ac:dyDescent="0.25">
      <c r="B473" s="71">
        <f t="shared" si="24"/>
        <v>20.400000000000155</v>
      </c>
      <c r="C473" s="4">
        <f t="shared" si="22"/>
        <v>0</v>
      </c>
      <c r="D473" s="4">
        <f t="shared" si="23"/>
        <v>0</v>
      </c>
    </row>
    <row r="474" spans="2:4" x14ac:dyDescent="0.25">
      <c r="B474" s="71">
        <f t="shared" si="24"/>
        <v>20.450000000000156</v>
      </c>
      <c r="C474" s="4">
        <f t="shared" si="22"/>
        <v>0</v>
      </c>
      <c r="D474" s="4">
        <f t="shared" si="23"/>
        <v>0</v>
      </c>
    </row>
    <row r="475" spans="2:4" x14ac:dyDescent="0.25">
      <c r="B475" s="71">
        <f t="shared" si="24"/>
        <v>20.500000000000156</v>
      </c>
      <c r="C475" s="4">
        <f t="shared" si="22"/>
        <v>0</v>
      </c>
      <c r="D475" s="4">
        <f t="shared" si="23"/>
        <v>0</v>
      </c>
    </row>
    <row r="476" spans="2:4" x14ac:dyDescent="0.25">
      <c r="B476" s="71">
        <f t="shared" si="24"/>
        <v>20.550000000000157</v>
      </c>
      <c r="C476" s="4">
        <f t="shared" si="22"/>
        <v>0</v>
      </c>
      <c r="D476" s="4">
        <f t="shared" si="23"/>
        <v>0</v>
      </c>
    </row>
    <row r="477" spans="2:4" x14ac:dyDescent="0.25">
      <c r="B477" s="71">
        <f t="shared" si="24"/>
        <v>20.600000000000158</v>
      </c>
      <c r="C477" s="4">
        <f t="shared" si="22"/>
        <v>0</v>
      </c>
      <c r="D477" s="4">
        <f t="shared" si="23"/>
        <v>0</v>
      </c>
    </row>
    <row r="478" spans="2:4" x14ac:dyDescent="0.25">
      <c r="B478" s="71">
        <f t="shared" si="24"/>
        <v>20.650000000000158</v>
      </c>
      <c r="C478" s="4">
        <f t="shared" si="22"/>
        <v>0</v>
      </c>
      <c r="D478" s="4">
        <f t="shared" si="23"/>
        <v>0</v>
      </c>
    </row>
    <row r="479" spans="2:4" x14ac:dyDescent="0.25">
      <c r="B479" s="71">
        <f t="shared" si="24"/>
        <v>20.700000000000159</v>
      </c>
      <c r="C479" s="4">
        <f t="shared" si="22"/>
        <v>0</v>
      </c>
      <c r="D479" s="4">
        <f t="shared" si="23"/>
        <v>0</v>
      </c>
    </row>
    <row r="480" spans="2:4" x14ac:dyDescent="0.25">
      <c r="B480" s="71">
        <f t="shared" si="24"/>
        <v>20.75000000000016</v>
      </c>
      <c r="C480" s="4">
        <f t="shared" si="22"/>
        <v>0</v>
      </c>
      <c r="D480" s="4">
        <f t="shared" si="23"/>
        <v>0</v>
      </c>
    </row>
    <row r="481" spans="2:4" x14ac:dyDescent="0.25">
      <c r="B481" s="71">
        <f t="shared" si="24"/>
        <v>20.800000000000161</v>
      </c>
      <c r="C481" s="4">
        <f t="shared" si="22"/>
        <v>0</v>
      </c>
      <c r="D481" s="4">
        <f t="shared" si="23"/>
        <v>0</v>
      </c>
    </row>
    <row r="482" spans="2:4" x14ac:dyDescent="0.25">
      <c r="B482" s="71">
        <f t="shared" si="24"/>
        <v>20.850000000000161</v>
      </c>
      <c r="C482" s="4">
        <f t="shared" si="22"/>
        <v>0</v>
      </c>
      <c r="D482" s="4">
        <f t="shared" si="23"/>
        <v>0</v>
      </c>
    </row>
    <row r="483" spans="2:4" x14ac:dyDescent="0.25">
      <c r="B483" s="71">
        <f t="shared" si="24"/>
        <v>20.900000000000162</v>
      </c>
      <c r="C483" s="4">
        <f t="shared" si="22"/>
        <v>0</v>
      </c>
      <c r="D483" s="4">
        <f t="shared" si="23"/>
        <v>0</v>
      </c>
    </row>
    <row r="484" spans="2:4" x14ac:dyDescent="0.25">
      <c r="B484" s="71">
        <f t="shared" si="24"/>
        <v>20.950000000000163</v>
      </c>
      <c r="C484" s="4">
        <f t="shared" si="22"/>
        <v>0</v>
      </c>
      <c r="D484" s="4">
        <f t="shared" si="23"/>
        <v>0</v>
      </c>
    </row>
    <row r="485" spans="2:4" x14ac:dyDescent="0.25">
      <c r="B485" s="71">
        <f t="shared" si="24"/>
        <v>21.000000000000163</v>
      </c>
      <c r="C485" s="4">
        <f t="shared" si="22"/>
        <v>0</v>
      </c>
      <c r="D485" s="4">
        <f t="shared" si="23"/>
        <v>0</v>
      </c>
    </row>
    <row r="486" spans="2:4" x14ac:dyDescent="0.25">
      <c r="B486" s="71">
        <f t="shared" si="24"/>
        <v>21.050000000000164</v>
      </c>
      <c r="C486" s="4">
        <f t="shared" si="22"/>
        <v>0</v>
      </c>
      <c r="D486" s="4">
        <f t="shared" si="23"/>
        <v>0</v>
      </c>
    </row>
    <row r="487" spans="2:4" x14ac:dyDescent="0.25">
      <c r="B487" s="71">
        <f t="shared" si="24"/>
        <v>21.100000000000165</v>
      </c>
      <c r="C487" s="4">
        <f t="shared" si="22"/>
        <v>0</v>
      </c>
      <c r="D487" s="4">
        <f t="shared" si="23"/>
        <v>0</v>
      </c>
    </row>
    <row r="488" spans="2:4" x14ac:dyDescent="0.25">
      <c r="B488" s="71">
        <f t="shared" si="24"/>
        <v>21.150000000000166</v>
      </c>
      <c r="C488" s="4">
        <f t="shared" si="22"/>
        <v>0</v>
      </c>
      <c r="D488" s="4">
        <f t="shared" si="23"/>
        <v>0</v>
      </c>
    </row>
    <row r="489" spans="2:4" x14ac:dyDescent="0.25">
      <c r="B489" s="71">
        <f t="shared" si="24"/>
        <v>21.200000000000166</v>
      </c>
      <c r="C489" s="4">
        <f t="shared" si="22"/>
        <v>0</v>
      </c>
      <c r="D489" s="4">
        <f t="shared" si="23"/>
        <v>0</v>
      </c>
    </row>
    <row r="490" spans="2:4" x14ac:dyDescent="0.25">
      <c r="B490" s="71">
        <f t="shared" si="24"/>
        <v>21.250000000000167</v>
      </c>
      <c r="C490" s="4">
        <f t="shared" si="22"/>
        <v>0</v>
      </c>
      <c r="D490" s="4">
        <f t="shared" si="23"/>
        <v>0</v>
      </c>
    </row>
    <row r="491" spans="2:4" x14ac:dyDescent="0.25">
      <c r="B491" s="71">
        <f t="shared" si="24"/>
        <v>21.300000000000168</v>
      </c>
      <c r="C491" s="4">
        <f t="shared" si="22"/>
        <v>0</v>
      </c>
      <c r="D491" s="4">
        <f t="shared" si="23"/>
        <v>0</v>
      </c>
    </row>
    <row r="492" spans="2:4" x14ac:dyDescent="0.25">
      <c r="B492" s="71">
        <f t="shared" si="24"/>
        <v>21.350000000000168</v>
      </c>
      <c r="C492" s="4">
        <f t="shared" si="22"/>
        <v>0</v>
      </c>
      <c r="D492" s="4">
        <f t="shared" si="23"/>
        <v>0</v>
      </c>
    </row>
    <row r="493" spans="2:4" x14ac:dyDescent="0.25">
      <c r="B493" s="71">
        <f t="shared" si="24"/>
        <v>21.400000000000169</v>
      </c>
      <c r="C493" s="4">
        <f t="shared" si="22"/>
        <v>0</v>
      </c>
      <c r="D493" s="4">
        <f t="shared" si="23"/>
        <v>0</v>
      </c>
    </row>
    <row r="494" spans="2:4" x14ac:dyDescent="0.25">
      <c r="B494" s="71">
        <f t="shared" si="24"/>
        <v>21.45000000000017</v>
      </c>
      <c r="C494" s="4">
        <f t="shared" si="22"/>
        <v>0</v>
      </c>
      <c r="D494" s="4">
        <f t="shared" si="23"/>
        <v>0</v>
      </c>
    </row>
    <row r="495" spans="2:4" x14ac:dyDescent="0.25">
      <c r="B495" s="71">
        <f t="shared" si="24"/>
        <v>21.500000000000171</v>
      </c>
      <c r="C495" s="4">
        <f t="shared" si="22"/>
        <v>0</v>
      </c>
      <c r="D495" s="4">
        <f t="shared" si="23"/>
        <v>0</v>
      </c>
    </row>
    <row r="496" spans="2:4" x14ac:dyDescent="0.25">
      <c r="B496" s="71">
        <f t="shared" si="24"/>
        <v>21.550000000000171</v>
      </c>
      <c r="C496" s="4">
        <f t="shared" si="22"/>
        <v>0</v>
      </c>
      <c r="D496" s="4">
        <f t="shared" si="23"/>
        <v>0</v>
      </c>
    </row>
    <row r="497" spans="2:4" x14ac:dyDescent="0.25">
      <c r="B497" s="71">
        <f t="shared" si="24"/>
        <v>21.600000000000172</v>
      </c>
      <c r="C497" s="4">
        <f t="shared" si="22"/>
        <v>0</v>
      </c>
      <c r="D497" s="4">
        <f t="shared" si="23"/>
        <v>0</v>
      </c>
    </row>
    <row r="498" spans="2:4" x14ac:dyDescent="0.25">
      <c r="B498" s="71">
        <f t="shared" si="24"/>
        <v>21.650000000000173</v>
      </c>
      <c r="C498" s="4">
        <f t="shared" si="22"/>
        <v>0</v>
      </c>
      <c r="D498" s="4">
        <f t="shared" si="23"/>
        <v>0</v>
      </c>
    </row>
    <row r="499" spans="2:4" x14ac:dyDescent="0.25">
      <c r="B499" s="71">
        <f t="shared" si="24"/>
        <v>21.700000000000173</v>
      </c>
      <c r="C499" s="4">
        <f t="shared" si="22"/>
        <v>0</v>
      </c>
      <c r="D499" s="4">
        <f t="shared" si="23"/>
        <v>0</v>
      </c>
    </row>
    <row r="500" spans="2:4" x14ac:dyDescent="0.25">
      <c r="B500" s="71">
        <f t="shared" si="24"/>
        <v>21.750000000000174</v>
      </c>
      <c r="C500" s="4">
        <f t="shared" si="22"/>
        <v>0</v>
      </c>
      <c r="D500" s="4">
        <f t="shared" si="23"/>
        <v>0</v>
      </c>
    </row>
    <row r="501" spans="2:4" x14ac:dyDescent="0.25">
      <c r="B501" s="71">
        <f t="shared" si="24"/>
        <v>21.800000000000175</v>
      </c>
      <c r="C501" s="4">
        <f t="shared" si="22"/>
        <v>0</v>
      </c>
      <c r="D501" s="4">
        <f t="shared" si="23"/>
        <v>0</v>
      </c>
    </row>
    <row r="502" spans="2:4" x14ac:dyDescent="0.25">
      <c r="B502" s="71">
        <f t="shared" si="24"/>
        <v>21.850000000000176</v>
      </c>
      <c r="C502" s="4">
        <f t="shared" si="22"/>
        <v>0</v>
      </c>
      <c r="D502" s="4">
        <f t="shared" si="23"/>
        <v>0</v>
      </c>
    </row>
    <row r="503" spans="2:4" x14ac:dyDescent="0.25">
      <c r="B503" s="71">
        <f t="shared" si="24"/>
        <v>21.900000000000176</v>
      </c>
      <c r="C503" s="4">
        <f t="shared" si="22"/>
        <v>0</v>
      </c>
      <c r="D503" s="4">
        <f t="shared" si="23"/>
        <v>0</v>
      </c>
    </row>
    <row r="504" spans="2:4" x14ac:dyDescent="0.25">
      <c r="B504" s="71">
        <f t="shared" si="24"/>
        <v>21.950000000000177</v>
      </c>
      <c r="C504" s="4">
        <f t="shared" si="22"/>
        <v>0</v>
      </c>
      <c r="D504" s="4">
        <f t="shared" si="23"/>
        <v>0</v>
      </c>
    </row>
    <row r="505" spans="2:4" x14ac:dyDescent="0.25">
      <c r="B505" s="71">
        <f t="shared" si="24"/>
        <v>22.000000000000178</v>
      </c>
      <c r="C505" s="4">
        <f t="shared" si="22"/>
        <v>0</v>
      </c>
      <c r="D505" s="4">
        <f t="shared" si="23"/>
        <v>0</v>
      </c>
    </row>
    <row r="506" spans="2:4" x14ac:dyDescent="0.25">
      <c r="B506" s="71">
        <f t="shared" si="24"/>
        <v>22.050000000000178</v>
      </c>
      <c r="C506" s="4">
        <f t="shared" si="22"/>
        <v>0</v>
      </c>
      <c r="D506" s="4">
        <f t="shared" si="23"/>
        <v>0</v>
      </c>
    </row>
    <row r="507" spans="2:4" x14ac:dyDescent="0.25">
      <c r="B507" s="71">
        <f t="shared" si="24"/>
        <v>22.100000000000179</v>
      </c>
      <c r="C507" s="4">
        <f t="shared" si="22"/>
        <v>0</v>
      </c>
      <c r="D507" s="4">
        <f t="shared" si="23"/>
        <v>0</v>
      </c>
    </row>
    <row r="508" spans="2:4" x14ac:dyDescent="0.25">
      <c r="B508" s="71">
        <f t="shared" si="24"/>
        <v>22.15000000000018</v>
      </c>
      <c r="C508" s="4">
        <f t="shared" si="22"/>
        <v>0</v>
      </c>
      <c r="D508" s="4">
        <f t="shared" si="23"/>
        <v>0</v>
      </c>
    </row>
    <row r="509" spans="2:4" x14ac:dyDescent="0.25">
      <c r="B509" s="71">
        <f t="shared" si="24"/>
        <v>22.20000000000018</v>
      </c>
      <c r="C509" s="4">
        <f t="shared" si="22"/>
        <v>0</v>
      </c>
      <c r="D509" s="4">
        <f t="shared" si="23"/>
        <v>0</v>
      </c>
    </row>
    <row r="510" spans="2:4" x14ac:dyDescent="0.25">
      <c r="B510" s="71">
        <f t="shared" si="24"/>
        <v>22.250000000000181</v>
      </c>
      <c r="C510" s="4">
        <f t="shared" si="22"/>
        <v>0</v>
      </c>
      <c r="D510" s="4">
        <f t="shared" si="23"/>
        <v>0</v>
      </c>
    </row>
    <row r="511" spans="2:4" x14ac:dyDescent="0.25">
      <c r="B511" s="71">
        <f t="shared" si="24"/>
        <v>22.300000000000182</v>
      </c>
      <c r="C511" s="4">
        <f t="shared" si="22"/>
        <v>0</v>
      </c>
      <c r="D511" s="4">
        <f t="shared" si="23"/>
        <v>0</v>
      </c>
    </row>
    <row r="512" spans="2:4" x14ac:dyDescent="0.25">
      <c r="B512" s="71">
        <f t="shared" si="24"/>
        <v>22.350000000000183</v>
      </c>
      <c r="C512" s="4">
        <f t="shared" si="22"/>
        <v>0</v>
      </c>
      <c r="D512" s="4">
        <f t="shared" si="23"/>
        <v>0</v>
      </c>
    </row>
    <row r="513" spans="2:4" x14ac:dyDescent="0.25">
      <c r="B513" s="71">
        <f t="shared" si="24"/>
        <v>22.400000000000183</v>
      </c>
      <c r="C513" s="4">
        <f t="shared" ref="C513:C536" si="25">_xlfn.NORM.DIST(B513,$C$45,C$46,FALSE)*G1_Weight</f>
        <v>0</v>
      </c>
      <c r="D513" s="4">
        <f t="shared" ref="D513:D536" si="26">_xlfn.NORM.DIST(B513,D$45,D$46,FALSE)*G2_Weight</f>
        <v>0</v>
      </c>
    </row>
    <row r="514" spans="2:4" x14ac:dyDescent="0.25">
      <c r="B514" s="71">
        <f t="shared" ref="B514:B536" si="27">B513+$A$65</f>
        <v>22.450000000000184</v>
      </c>
      <c r="C514" s="4">
        <f t="shared" si="25"/>
        <v>0</v>
      </c>
      <c r="D514" s="4">
        <f t="shared" si="26"/>
        <v>0</v>
      </c>
    </row>
    <row r="515" spans="2:4" x14ac:dyDescent="0.25">
      <c r="B515" s="71">
        <f t="shared" si="27"/>
        <v>22.500000000000185</v>
      </c>
      <c r="C515" s="4">
        <f t="shared" si="25"/>
        <v>0</v>
      </c>
      <c r="D515" s="4">
        <f t="shared" si="26"/>
        <v>0</v>
      </c>
    </row>
    <row r="516" spans="2:4" x14ac:dyDescent="0.25">
      <c r="B516" s="71">
        <f t="shared" si="27"/>
        <v>22.550000000000185</v>
      </c>
      <c r="C516" s="4">
        <f t="shared" si="25"/>
        <v>0</v>
      </c>
      <c r="D516" s="4">
        <f t="shared" si="26"/>
        <v>0</v>
      </c>
    </row>
    <row r="517" spans="2:4" x14ac:dyDescent="0.25">
      <c r="B517" s="71">
        <f t="shared" si="27"/>
        <v>22.600000000000186</v>
      </c>
      <c r="C517" s="4">
        <f t="shared" si="25"/>
        <v>0</v>
      </c>
      <c r="D517" s="4">
        <f t="shared" si="26"/>
        <v>0</v>
      </c>
    </row>
    <row r="518" spans="2:4" x14ac:dyDescent="0.25">
      <c r="B518" s="71">
        <f t="shared" si="27"/>
        <v>22.650000000000187</v>
      </c>
      <c r="C518" s="4">
        <f t="shared" si="25"/>
        <v>0</v>
      </c>
      <c r="D518" s="4">
        <f t="shared" si="26"/>
        <v>0</v>
      </c>
    </row>
    <row r="519" spans="2:4" x14ac:dyDescent="0.25">
      <c r="B519" s="71">
        <f t="shared" si="27"/>
        <v>22.700000000000188</v>
      </c>
      <c r="C519" s="4">
        <f t="shared" si="25"/>
        <v>0</v>
      </c>
      <c r="D519" s="4">
        <f t="shared" si="26"/>
        <v>0</v>
      </c>
    </row>
    <row r="520" spans="2:4" x14ac:dyDescent="0.25">
      <c r="B520" s="71">
        <f t="shared" si="27"/>
        <v>22.750000000000188</v>
      </c>
      <c r="C520" s="4">
        <f t="shared" si="25"/>
        <v>0</v>
      </c>
      <c r="D520" s="4">
        <f t="shared" si="26"/>
        <v>0</v>
      </c>
    </row>
    <row r="521" spans="2:4" x14ac:dyDescent="0.25">
      <c r="B521" s="71">
        <f t="shared" si="27"/>
        <v>22.800000000000189</v>
      </c>
      <c r="C521" s="4">
        <f t="shared" si="25"/>
        <v>0</v>
      </c>
      <c r="D521" s="4">
        <f t="shared" si="26"/>
        <v>0</v>
      </c>
    </row>
    <row r="522" spans="2:4" x14ac:dyDescent="0.25">
      <c r="B522" s="71">
        <f t="shared" si="27"/>
        <v>22.85000000000019</v>
      </c>
      <c r="C522" s="4">
        <f t="shared" si="25"/>
        <v>0</v>
      </c>
      <c r="D522" s="4">
        <f t="shared" si="26"/>
        <v>0</v>
      </c>
    </row>
    <row r="523" spans="2:4" x14ac:dyDescent="0.25">
      <c r="B523" s="71">
        <f t="shared" si="27"/>
        <v>22.90000000000019</v>
      </c>
      <c r="C523" s="4">
        <f t="shared" si="25"/>
        <v>0</v>
      </c>
      <c r="D523" s="4">
        <f t="shared" si="26"/>
        <v>0</v>
      </c>
    </row>
    <row r="524" spans="2:4" x14ac:dyDescent="0.25">
      <c r="B524" s="71">
        <f t="shared" si="27"/>
        <v>22.950000000000191</v>
      </c>
      <c r="C524" s="4">
        <f t="shared" si="25"/>
        <v>0</v>
      </c>
      <c r="D524" s="4">
        <f t="shared" si="26"/>
        <v>0</v>
      </c>
    </row>
    <row r="525" spans="2:4" x14ac:dyDescent="0.25">
      <c r="B525" s="71">
        <f t="shared" si="27"/>
        <v>23.000000000000192</v>
      </c>
      <c r="C525" s="4">
        <f t="shared" si="25"/>
        <v>0</v>
      </c>
      <c r="D525" s="4">
        <f t="shared" si="26"/>
        <v>0</v>
      </c>
    </row>
    <row r="526" spans="2:4" x14ac:dyDescent="0.25">
      <c r="B526" s="71">
        <f t="shared" si="27"/>
        <v>23.050000000000193</v>
      </c>
      <c r="C526" s="4">
        <f t="shared" si="25"/>
        <v>0</v>
      </c>
      <c r="D526" s="4">
        <f t="shared" si="26"/>
        <v>0</v>
      </c>
    </row>
    <row r="527" spans="2:4" x14ac:dyDescent="0.25">
      <c r="B527" s="71">
        <f t="shared" si="27"/>
        <v>23.100000000000193</v>
      </c>
      <c r="C527" s="4">
        <f t="shared" si="25"/>
        <v>0</v>
      </c>
      <c r="D527" s="4">
        <f t="shared" si="26"/>
        <v>0</v>
      </c>
    </row>
    <row r="528" spans="2:4" x14ac:dyDescent="0.25">
      <c r="B528" s="71">
        <f t="shared" si="27"/>
        <v>23.150000000000194</v>
      </c>
      <c r="C528" s="4">
        <f t="shared" si="25"/>
        <v>0</v>
      </c>
      <c r="D528" s="4">
        <f t="shared" si="26"/>
        <v>0</v>
      </c>
    </row>
    <row r="529" spans="2:4" x14ac:dyDescent="0.25">
      <c r="B529" s="71">
        <f t="shared" si="27"/>
        <v>23.200000000000195</v>
      </c>
      <c r="C529" s="4">
        <f t="shared" si="25"/>
        <v>0</v>
      </c>
      <c r="D529" s="4">
        <f t="shared" si="26"/>
        <v>0</v>
      </c>
    </row>
    <row r="530" spans="2:4" x14ac:dyDescent="0.25">
      <c r="B530" s="71">
        <f t="shared" si="27"/>
        <v>23.250000000000195</v>
      </c>
      <c r="C530" s="4">
        <f t="shared" si="25"/>
        <v>0</v>
      </c>
      <c r="D530" s="4">
        <f t="shared" si="26"/>
        <v>0</v>
      </c>
    </row>
    <row r="531" spans="2:4" x14ac:dyDescent="0.25">
      <c r="B531" s="71">
        <f t="shared" si="27"/>
        <v>23.300000000000196</v>
      </c>
      <c r="C531" s="4">
        <f t="shared" si="25"/>
        <v>0</v>
      </c>
      <c r="D531" s="4">
        <f t="shared" si="26"/>
        <v>0</v>
      </c>
    </row>
    <row r="532" spans="2:4" x14ac:dyDescent="0.25">
      <c r="B532" s="71">
        <f t="shared" si="27"/>
        <v>23.350000000000197</v>
      </c>
      <c r="C532" s="4">
        <f t="shared" si="25"/>
        <v>0</v>
      </c>
      <c r="D532" s="4">
        <f t="shared" si="26"/>
        <v>0</v>
      </c>
    </row>
    <row r="533" spans="2:4" x14ac:dyDescent="0.25">
      <c r="B533" s="71">
        <f t="shared" si="27"/>
        <v>23.400000000000198</v>
      </c>
      <c r="C533" s="4">
        <f t="shared" si="25"/>
        <v>0</v>
      </c>
      <c r="D533" s="4">
        <f t="shared" si="26"/>
        <v>0</v>
      </c>
    </row>
    <row r="534" spans="2:4" x14ac:dyDescent="0.25">
      <c r="B534" s="71">
        <f t="shared" si="27"/>
        <v>23.450000000000198</v>
      </c>
      <c r="C534" s="4">
        <f t="shared" si="25"/>
        <v>0</v>
      </c>
      <c r="D534" s="4">
        <f t="shared" si="26"/>
        <v>0</v>
      </c>
    </row>
    <row r="535" spans="2:4" x14ac:dyDescent="0.25">
      <c r="B535" s="71">
        <f t="shared" si="27"/>
        <v>23.500000000000199</v>
      </c>
      <c r="C535" s="4">
        <f t="shared" si="25"/>
        <v>0</v>
      </c>
      <c r="D535" s="4">
        <f t="shared" si="26"/>
        <v>0</v>
      </c>
    </row>
    <row r="536" spans="2:4" x14ac:dyDescent="0.25">
      <c r="B536" s="71">
        <f t="shared" si="27"/>
        <v>23.5500000000002</v>
      </c>
      <c r="C536" s="4">
        <f t="shared" si="25"/>
        <v>0</v>
      </c>
      <c r="D536" s="4">
        <f t="shared" si="26"/>
        <v>0</v>
      </c>
    </row>
  </sheetData>
  <mergeCells count="5">
    <mergeCell ref="C2:D2"/>
    <mergeCell ref="E2:F2"/>
    <mergeCell ref="B19:C19"/>
    <mergeCell ref="D19:E19"/>
    <mergeCell ref="F19:G19"/>
  </mergeCells>
  <conditionalFormatting sqref="C65:D53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{9AF440C2-9772-4D42-9CA1-6BBED35F35C8}</x14:id>
        </ext>
      </extLst>
    </cfRule>
  </conditionalFormatting>
  <conditionalFormatting sqref="E4:F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D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Scroll Bar 1">
              <controlPr defaultSize="0" autoPict="0">
                <anchor moveWithCells="1">
                  <from>
                    <xdr:col>3</xdr:col>
                    <xdr:colOff>200025</xdr:colOff>
                    <xdr:row>21</xdr:row>
                    <xdr:rowOff>133350</xdr:rowOff>
                  </from>
                  <to>
                    <xdr:col>3</xdr:col>
                    <xdr:colOff>619125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Scroll Bar 2">
              <controlPr defaultSize="0" autoPict="0">
                <anchor moveWithCells="1">
                  <from>
                    <xdr:col>4</xdr:col>
                    <xdr:colOff>266700</xdr:colOff>
                    <xdr:row>21</xdr:row>
                    <xdr:rowOff>114300</xdr:rowOff>
                  </from>
                  <to>
                    <xdr:col>4</xdr:col>
                    <xdr:colOff>685800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Scroll Bar 3">
              <controlPr defaultSize="0" autoPict="0">
                <anchor moveWithCells="1">
                  <from>
                    <xdr:col>5</xdr:col>
                    <xdr:colOff>314325</xdr:colOff>
                    <xdr:row>21</xdr:row>
                    <xdr:rowOff>114300</xdr:rowOff>
                  </from>
                  <to>
                    <xdr:col>5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Scroll Bar 4">
              <controlPr defaultSize="0" autoPict="0">
                <anchor moveWithCells="1">
                  <from>
                    <xdr:col>6</xdr:col>
                    <xdr:colOff>123825</xdr:colOff>
                    <xdr:row>21</xdr:row>
                    <xdr:rowOff>114300</xdr:rowOff>
                  </from>
                  <to>
                    <xdr:col>6</xdr:col>
                    <xdr:colOff>542925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Scroll Bar 5">
              <controlPr defaultSize="0" autoPict="0">
                <anchor moveWithCells="1">
                  <from>
                    <xdr:col>1</xdr:col>
                    <xdr:colOff>514350</xdr:colOff>
                    <xdr:row>21</xdr:row>
                    <xdr:rowOff>95250</xdr:rowOff>
                  </from>
                  <to>
                    <xdr:col>2</xdr:col>
                    <xdr:colOff>114300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F440C2-9772-4D42-9CA1-6BBED35F35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C65:D536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S536"/>
  <sheetViews>
    <sheetView showGridLines="0" zoomScale="60" zoomScaleNormal="60" workbookViewId="0">
      <selection activeCell="G8" sqref="G8"/>
    </sheetView>
  </sheetViews>
  <sheetFormatPr defaultRowHeight="15" x14ac:dyDescent="0.25"/>
  <cols>
    <col min="1" max="1" width="34" customWidth="1"/>
    <col min="2" max="3" width="12.85546875" customWidth="1"/>
    <col min="4" max="4" width="20.85546875" bestFit="1" customWidth="1"/>
    <col min="5" max="5" width="19" customWidth="1"/>
    <col min="6" max="6" width="28.140625" customWidth="1"/>
    <col min="7" max="7" width="26.28515625" customWidth="1"/>
    <col min="8" max="11" width="19" customWidth="1"/>
    <col min="12" max="12" width="4.5703125" customWidth="1"/>
    <col min="13" max="13" width="19.85546875" customWidth="1"/>
    <col min="14" max="14" width="12.42578125" customWidth="1"/>
    <col min="15" max="16" width="24.42578125" customWidth="1"/>
    <col min="17" max="19" width="18" customWidth="1"/>
    <col min="20" max="20" width="47" customWidth="1"/>
    <col min="22" max="23" width="16.7109375" customWidth="1"/>
    <col min="24" max="25" width="20.7109375" customWidth="1"/>
    <col min="26" max="29" width="16.7109375" customWidth="1"/>
    <col min="31" max="32" width="15.28515625" customWidth="1"/>
    <col min="33" max="34" width="22.7109375" customWidth="1"/>
    <col min="35" max="38" width="15.28515625" customWidth="1"/>
    <col min="40" max="41" width="15.5703125" customWidth="1"/>
    <col min="42" max="43" width="23.42578125" customWidth="1"/>
    <col min="44" max="47" width="15.5703125" customWidth="1"/>
    <col min="49" max="50" width="12.7109375" customWidth="1"/>
    <col min="51" max="52" width="23.140625" customWidth="1"/>
    <col min="53" max="56" width="12.7109375" customWidth="1"/>
    <col min="58" max="59" width="14.140625" customWidth="1"/>
    <col min="60" max="61" width="22.5703125" customWidth="1"/>
    <col min="62" max="65" width="14.140625" customWidth="1"/>
    <col min="67" max="68" width="13" customWidth="1"/>
    <col min="69" max="70" width="22" customWidth="1"/>
    <col min="71" max="74" width="13" customWidth="1"/>
    <col min="76" max="180" width="21.7109375" customWidth="1"/>
  </cols>
  <sheetData>
    <row r="1" spans="2:123" ht="15.75" thickBot="1" x14ac:dyDescent="0.3"/>
    <row r="2" spans="2:123" ht="26.25" x14ac:dyDescent="0.4">
      <c r="D2" s="177" t="s">
        <v>53</v>
      </c>
      <c r="E2" s="178"/>
      <c r="F2" s="179"/>
      <c r="M2" s="174" t="s">
        <v>51</v>
      </c>
      <c r="N2" s="175"/>
      <c r="O2" s="176"/>
    </row>
    <row r="3" spans="2:123" ht="19.899999999999999" customHeight="1" x14ac:dyDescent="0.3">
      <c r="D3" s="185" t="s">
        <v>57</v>
      </c>
      <c r="E3" s="127" t="s">
        <v>19</v>
      </c>
      <c r="F3" s="132" t="s">
        <v>20</v>
      </c>
      <c r="M3" s="131"/>
      <c r="N3" s="127" t="s">
        <v>19</v>
      </c>
      <c r="O3" s="132" t="s">
        <v>20</v>
      </c>
      <c r="W3" s="59" t="s">
        <v>19</v>
      </c>
      <c r="X3" s="59" t="s">
        <v>20</v>
      </c>
      <c r="AF3" s="59" t="s">
        <v>19</v>
      </c>
      <c r="AG3" s="59" t="s">
        <v>20</v>
      </c>
      <c r="AO3" s="59" t="s">
        <v>19</v>
      </c>
      <c r="AP3" s="59" t="s">
        <v>20</v>
      </c>
      <c r="AX3" s="59" t="s">
        <v>19</v>
      </c>
      <c r="AY3" s="59" t="s">
        <v>20</v>
      </c>
      <c r="BG3" s="59" t="s">
        <v>19</v>
      </c>
      <c r="BH3" s="59" t="s">
        <v>20</v>
      </c>
      <c r="BP3" s="59" t="s">
        <v>19</v>
      </c>
      <c r="BQ3" s="59" t="s">
        <v>20</v>
      </c>
      <c r="BY3" s="59" t="s">
        <v>19</v>
      </c>
      <c r="BZ3" s="59" t="s">
        <v>20</v>
      </c>
      <c r="CH3" s="59" t="s">
        <v>19</v>
      </c>
      <c r="CI3" s="59" t="s">
        <v>20</v>
      </c>
      <c r="CQ3" s="59" t="s">
        <v>19</v>
      </c>
      <c r="CR3" s="59" t="s">
        <v>20</v>
      </c>
      <c r="CZ3" s="59" t="s">
        <v>19</v>
      </c>
      <c r="DA3" s="59" t="s">
        <v>20</v>
      </c>
      <c r="DI3" s="59" t="s">
        <v>19</v>
      </c>
      <c r="DJ3" s="59" t="s">
        <v>20</v>
      </c>
      <c r="DR3" s="59" t="s">
        <v>19</v>
      </c>
      <c r="DS3" s="59" t="s">
        <v>20</v>
      </c>
    </row>
    <row r="4" spans="2:123" ht="19.899999999999999" customHeight="1" x14ac:dyDescent="0.35">
      <c r="D4" s="142" t="s">
        <v>6</v>
      </c>
      <c r="E4" s="145">
        <v>1</v>
      </c>
      <c r="F4" s="146"/>
      <c r="G4" s="183"/>
      <c r="M4" s="133" t="s">
        <v>6</v>
      </c>
      <c r="N4" s="3" t="s">
        <v>52</v>
      </c>
      <c r="O4" s="134"/>
      <c r="V4" s="9" t="s">
        <v>6</v>
      </c>
      <c r="W4" s="1">
        <v>1</v>
      </c>
      <c r="AE4" s="9" t="s">
        <v>6</v>
      </c>
      <c r="AF4" s="1">
        <v>1</v>
      </c>
      <c r="AN4" s="9" t="s">
        <v>6</v>
      </c>
      <c r="AO4" s="1">
        <v>1</v>
      </c>
      <c r="AW4" s="9" t="s">
        <v>6</v>
      </c>
      <c r="AX4" s="1">
        <v>1</v>
      </c>
      <c r="BF4" s="9" t="s">
        <v>6</v>
      </c>
      <c r="BG4" s="1">
        <v>1</v>
      </c>
      <c r="BO4" s="9" t="s">
        <v>6</v>
      </c>
      <c r="BP4" s="1">
        <v>1</v>
      </c>
      <c r="BX4" s="9" t="s">
        <v>6</v>
      </c>
      <c r="BY4" s="1">
        <v>1</v>
      </c>
      <c r="CG4" s="9" t="s">
        <v>6</v>
      </c>
      <c r="CH4" s="1">
        <v>1</v>
      </c>
      <c r="CP4" s="9" t="s">
        <v>6</v>
      </c>
      <c r="CQ4" s="1">
        <v>1</v>
      </c>
      <c r="CY4" s="9" t="s">
        <v>6</v>
      </c>
      <c r="CZ4" s="1">
        <v>1</v>
      </c>
      <c r="DH4" s="9" t="s">
        <v>6</v>
      </c>
      <c r="DI4" s="1">
        <v>1</v>
      </c>
      <c r="DQ4" s="9" t="s">
        <v>6</v>
      </c>
      <c r="DR4" s="1">
        <v>1</v>
      </c>
    </row>
    <row r="5" spans="2:123" ht="19.899999999999999" customHeight="1" x14ac:dyDescent="0.25">
      <c r="D5" s="143" t="s">
        <v>2</v>
      </c>
      <c r="E5" s="147">
        <v>1</v>
      </c>
      <c r="F5" s="148">
        <v>2</v>
      </c>
      <c r="M5" s="135" t="s">
        <v>2</v>
      </c>
      <c r="N5" s="128">
        <v>1</v>
      </c>
      <c r="O5" s="136">
        <v>2</v>
      </c>
      <c r="V5" s="10" t="s">
        <v>2</v>
      </c>
      <c r="W5" s="11">
        <v>1</v>
      </c>
      <c r="X5" s="11">
        <v>2</v>
      </c>
      <c r="AE5" s="10" t="s">
        <v>2</v>
      </c>
      <c r="AF5" s="11">
        <v>1</v>
      </c>
      <c r="AG5" s="11">
        <v>2</v>
      </c>
      <c r="AN5" s="10" t="s">
        <v>2</v>
      </c>
      <c r="AO5" s="11">
        <v>1</v>
      </c>
      <c r="AP5" s="11">
        <v>2</v>
      </c>
      <c r="AW5" s="10" t="s">
        <v>2</v>
      </c>
      <c r="AX5" s="11">
        <v>1</v>
      </c>
      <c r="AY5" s="11">
        <v>2</v>
      </c>
      <c r="BF5" s="10" t="s">
        <v>2</v>
      </c>
      <c r="BG5" s="11">
        <v>1</v>
      </c>
      <c r="BH5" s="11">
        <v>2</v>
      </c>
      <c r="BO5" s="10" t="s">
        <v>2</v>
      </c>
      <c r="BP5" s="11">
        <v>1</v>
      </c>
      <c r="BQ5" s="11">
        <v>2</v>
      </c>
      <c r="BX5" s="10" t="s">
        <v>2</v>
      </c>
      <c r="BY5" s="11">
        <v>1</v>
      </c>
      <c r="BZ5" s="11">
        <v>2</v>
      </c>
      <c r="CG5" s="10" t="s">
        <v>2</v>
      </c>
      <c r="CH5" s="11">
        <v>1</v>
      </c>
      <c r="CI5" s="11">
        <v>2</v>
      </c>
      <c r="CP5" s="10" t="s">
        <v>2</v>
      </c>
      <c r="CQ5" s="11">
        <v>1</v>
      </c>
      <c r="CR5" s="11">
        <v>2</v>
      </c>
      <c r="CY5" s="10" t="s">
        <v>2</v>
      </c>
      <c r="CZ5" s="11">
        <v>1</v>
      </c>
      <c r="DA5" s="11">
        <v>2</v>
      </c>
      <c r="DH5" s="10" t="s">
        <v>2</v>
      </c>
      <c r="DI5" s="11">
        <v>1</v>
      </c>
      <c r="DJ5" s="11">
        <v>2</v>
      </c>
      <c r="DQ5" s="10" t="s">
        <v>2</v>
      </c>
      <c r="DR5" s="11">
        <v>1</v>
      </c>
      <c r="DS5" s="11">
        <v>2</v>
      </c>
    </row>
    <row r="6" spans="2:123" ht="19.899999999999999" customHeight="1" x14ac:dyDescent="0.25">
      <c r="D6" s="143" t="s">
        <v>1</v>
      </c>
      <c r="E6" s="149">
        <v>0.5</v>
      </c>
      <c r="F6" s="150">
        <v>0.5</v>
      </c>
      <c r="M6" s="135" t="s">
        <v>1</v>
      </c>
      <c r="N6" s="129">
        <f>AVERAGE(F15:F27)</f>
        <v>0.30770616164593706</v>
      </c>
      <c r="O6" s="137">
        <f>1-N6</f>
        <v>0.69229383835406288</v>
      </c>
      <c r="V6" s="10" t="s">
        <v>1</v>
      </c>
      <c r="W6" s="51" t="e">
        <f>AVERAGE(O15:O27)</f>
        <v>#DIV/0!</v>
      </c>
      <c r="X6" s="51" t="e">
        <f>1-W6</f>
        <v>#DIV/0!</v>
      </c>
      <c r="AE6" s="10" t="s">
        <v>1</v>
      </c>
      <c r="AF6" s="51" t="e">
        <f>AVERAGE(X15:X27)</f>
        <v>#DIV/0!</v>
      </c>
      <c r="AG6" s="51" t="e">
        <f>1-AF6</f>
        <v>#DIV/0!</v>
      </c>
      <c r="AN6" s="10" t="s">
        <v>1</v>
      </c>
      <c r="AO6" s="51" t="e">
        <f>AVERAGE(AG15:AG27)</f>
        <v>#DIV/0!</v>
      </c>
      <c r="AP6" s="51" t="e">
        <f>1-AO6</f>
        <v>#DIV/0!</v>
      </c>
      <c r="AW6" s="10" t="s">
        <v>1</v>
      </c>
      <c r="AX6" s="51" t="e">
        <f>AVERAGE(AP15:AP27)</f>
        <v>#DIV/0!</v>
      </c>
      <c r="AY6" s="51" t="e">
        <f>1-AX6</f>
        <v>#DIV/0!</v>
      </c>
      <c r="BF6" s="10" t="s">
        <v>1</v>
      </c>
      <c r="BG6" s="51" t="e">
        <f>AVERAGE(AY15:AY27)</f>
        <v>#DIV/0!</v>
      </c>
      <c r="BH6" s="51" t="e">
        <f>1-BG6</f>
        <v>#DIV/0!</v>
      </c>
      <c r="BO6" s="10" t="s">
        <v>1</v>
      </c>
      <c r="BP6" s="51" t="e">
        <f>AVERAGE(BH15:BH27)</f>
        <v>#DIV/0!</v>
      </c>
      <c r="BQ6" s="51" t="e">
        <f>1-BP6</f>
        <v>#DIV/0!</v>
      </c>
      <c r="BX6" s="10" t="s">
        <v>1</v>
      </c>
      <c r="BY6" s="51" t="e">
        <f>AVERAGE(BQ15:BQ27)</f>
        <v>#DIV/0!</v>
      </c>
      <c r="BZ6" s="51" t="e">
        <f>1-BY6</f>
        <v>#DIV/0!</v>
      </c>
      <c r="CG6" s="10" t="s">
        <v>1</v>
      </c>
      <c r="CH6" s="51" t="e">
        <f>AVERAGE(BZ15:BZ27)</f>
        <v>#DIV/0!</v>
      </c>
      <c r="CI6" s="51" t="e">
        <f>1-CH6</f>
        <v>#DIV/0!</v>
      </c>
      <c r="CP6" s="10" t="s">
        <v>1</v>
      </c>
      <c r="CQ6" s="51" t="e">
        <f>AVERAGE(CI15:CI27)</f>
        <v>#DIV/0!</v>
      </c>
      <c r="CR6" s="51" t="e">
        <f>1-CQ6</f>
        <v>#DIV/0!</v>
      </c>
      <c r="CY6" s="10" t="s">
        <v>1</v>
      </c>
      <c r="CZ6" s="51" t="e">
        <f>AVERAGE(CR15:CR27)</f>
        <v>#DIV/0!</v>
      </c>
      <c r="DA6" s="51" t="e">
        <f>1-CZ6</f>
        <v>#DIV/0!</v>
      </c>
      <c r="DH6" s="10" t="s">
        <v>1</v>
      </c>
      <c r="DI6" s="51" t="e">
        <f>AVERAGE(DA15:DA27)</f>
        <v>#DIV/0!</v>
      </c>
      <c r="DJ6" s="51" t="e">
        <f>1-DI6</f>
        <v>#DIV/0!</v>
      </c>
      <c r="DQ6" s="10" t="s">
        <v>1</v>
      </c>
      <c r="DR6" s="51" t="e">
        <f>AVERAGE(DJ15:DJ27)</f>
        <v>#DIV/0!</v>
      </c>
      <c r="DS6" s="51" t="e">
        <f>1-DR6</f>
        <v>#DIV/0!</v>
      </c>
    </row>
    <row r="7" spans="2:123" ht="19.899999999999999" customHeight="1" x14ac:dyDescent="0.4">
      <c r="D7" s="143" t="s">
        <v>3</v>
      </c>
      <c r="E7" s="149">
        <v>2</v>
      </c>
      <c r="F7" s="150">
        <v>25</v>
      </c>
      <c r="G7" s="184" t="s">
        <v>55</v>
      </c>
      <c r="M7" s="135" t="s">
        <v>3</v>
      </c>
      <c r="N7" s="130">
        <f>sum_bi_xi/sum_Bi</f>
        <v>4.0004954003897657</v>
      </c>
      <c r="O7" s="138">
        <f>sum_ai_xi/sum_ai</f>
        <v>18.388956642268212</v>
      </c>
      <c r="V7" s="10" t="s">
        <v>3</v>
      </c>
      <c r="W7" s="43" t="e">
        <f>Q30/O30</f>
        <v>#DIV/0!</v>
      </c>
      <c r="X7" s="43" t="e">
        <f>R30/P30</f>
        <v>#DIV/0!</v>
      </c>
      <c r="AE7" s="10" t="s">
        <v>3</v>
      </c>
      <c r="AF7" s="43" t="e">
        <f>Z30/X30</f>
        <v>#DIV/0!</v>
      </c>
      <c r="AG7" s="43" t="e">
        <f>AA30/Y30</f>
        <v>#DIV/0!</v>
      </c>
      <c r="AN7" s="10" t="s">
        <v>3</v>
      </c>
      <c r="AO7" s="43" t="e">
        <f>AI30/AG30</f>
        <v>#DIV/0!</v>
      </c>
      <c r="AP7" s="43" t="e">
        <f>AJ30/AH30</f>
        <v>#DIV/0!</v>
      </c>
      <c r="AW7" s="10" t="s">
        <v>3</v>
      </c>
      <c r="AX7" s="43" t="e">
        <f>AR30/AP30</f>
        <v>#DIV/0!</v>
      </c>
      <c r="AY7" s="43" t="e">
        <f>AS30/AQ30</f>
        <v>#DIV/0!</v>
      </c>
      <c r="BF7" s="10" t="s">
        <v>3</v>
      </c>
      <c r="BG7" s="43" t="e">
        <f>BA30/AY30</f>
        <v>#DIV/0!</v>
      </c>
      <c r="BH7" s="43" t="e">
        <f>BB30/AZ30</f>
        <v>#DIV/0!</v>
      </c>
      <c r="BO7" s="10" t="s">
        <v>3</v>
      </c>
      <c r="BP7" s="43" t="e">
        <f>BJ30/BH30</f>
        <v>#DIV/0!</v>
      </c>
      <c r="BQ7" s="43" t="e">
        <f>BK30/BI30</f>
        <v>#DIV/0!</v>
      </c>
      <c r="BX7" s="10" t="s">
        <v>3</v>
      </c>
      <c r="BY7" s="43" t="e">
        <f>BS30/BQ30</f>
        <v>#DIV/0!</v>
      </c>
      <c r="BZ7" s="43" t="e">
        <f>BT30/BR30</f>
        <v>#DIV/0!</v>
      </c>
      <c r="CG7" s="10" t="s">
        <v>3</v>
      </c>
      <c r="CH7" s="43" t="e">
        <f>CB30/BZ30</f>
        <v>#DIV/0!</v>
      </c>
      <c r="CI7" s="43" t="e">
        <f>CC30/CA30</f>
        <v>#DIV/0!</v>
      </c>
      <c r="CP7" s="10" t="s">
        <v>3</v>
      </c>
      <c r="CQ7" s="43" t="e">
        <f>CK30/CI30</f>
        <v>#DIV/0!</v>
      </c>
      <c r="CR7" s="43" t="e">
        <f>CL30/CJ30</f>
        <v>#DIV/0!</v>
      </c>
      <c r="CY7" s="10" t="s">
        <v>3</v>
      </c>
      <c r="CZ7" s="43" t="e">
        <f>CT30/CR30</f>
        <v>#DIV/0!</v>
      </c>
      <c r="DA7" s="43" t="e">
        <f>CU30/CS30</f>
        <v>#DIV/0!</v>
      </c>
      <c r="DH7" s="10" t="s">
        <v>3</v>
      </c>
      <c r="DI7" s="43" t="e">
        <f>DC30/DA30</f>
        <v>#DIV/0!</v>
      </c>
      <c r="DJ7" s="43" t="e">
        <f>DD30/DB30</f>
        <v>#DIV/0!</v>
      </c>
      <c r="DQ7" s="10" t="s">
        <v>3</v>
      </c>
      <c r="DR7" s="43" t="e">
        <f>DL30/DJ30</f>
        <v>#DIV/0!</v>
      </c>
      <c r="DS7" s="43" t="e">
        <f>DM30/DK30</f>
        <v>#DIV/0!</v>
      </c>
    </row>
    <row r="8" spans="2:123" ht="27.75" customHeight="1" x14ac:dyDescent="0.4">
      <c r="D8" s="143" t="s">
        <v>4</v>
      </c>
      <c r="E8" s="149">
        <v>4</v>
      </c>
      <c r="F8" s="150">
        <v>4</v>
      </c>
      <c r="G8" s="184" t="s">
        <v>56</v>
      </c>
      <c r="M8" s="135" t="s">
        <v>4</v>
      </c>
      <c r="N8" s="130">
        <f>J30/F30</f>
        <v>7.5072751513928484</v>
      </c>
      <c r="O8" s="138">
        <f>K30/G30</f>
        <v>48.471192279834625</v>
      </c>
      <c r="V8" s="10" t="s">
        <v>4</v>
      </c>
      <c r="W8" s="43" t="e">
        <f>S30/O30</f>
        <v>#DIV/0!</v>
      </c>
      <c r="X8" s="43" t="e">
        <f>T30/P30</f>
        <v>#DIV/0!</v>
      </c>
      <c r="AE8" s="10" t="s">
        <v>4</v>
      </c>
      <c r="AF8" s="43" t="e">
        <f>AB30/X30</f>
        <v>#DIV/0!</v>
      </c>
      <c r="AG8" s="43" t="e">
        <f>AC30/Y30</f>
        <v>#DIV/0!</v>
      </c>
      <c r="AN8" s="10" t="s">
        <v>4</v>
      </c>
      <c r="AO8" s="43" t="e">
        <f>AK30/AG30</f>
        <v>#DIV/0!</v>
      </c>
      <c r="AP8" s="43" t="e">
        <f>AL30/AH30</f>
        <v>#DIV/0!</v>
      </c>
      <c r="AW8" s="10" t="s">
        <v>4</v>
      </c>
      <c r="AX8" s="43" t="e">
        <f>AT30/AP30</f>
        <v>#DIV/0!</v>
      </c>
      <c r="AY8" s="43" t="e">
        <f>AU30/AQ30</f>
        <v>#DIV/0!</v>
      </c>
      <c r="BF8" s="10" t="s">
        <v>4</v>
      </c>
      <c r="BG8" s="43" t="e">
        <f>BC30/AY30</f>
        <v>#DIV/0!</v>
      </c>
      <c r="BH8" s="43" t="e">
        <f>BD30/AZ30</f>
        <v>#DIV/0!</v>
      </c>
      <c r="BO8" s="10" t="s">
        <v>4</v>
      </c>
      <c r="BP8" s="43" t="e">
        <f>BL30/BH30</f>
        <v>#DIV/0!</v>
      </c>
      <c r="BQ8" s="43" t="e">
        <f>BM30/BI30</f>
        <v>#DIV/0!</v>
      </c>
      <c r="BX8" s="10" t="s">
        <v>4</v>
      </c>
      <c r="BY8" s="43" t="e">
        <f>BU30/BQ30</f>
        <v>#DIV/0!</v>
      </c>
      <c r="BZ8" s="43" t="e">
        <f>BV30/BR30</f>
        <v>#DIV/0!</v>
      </c>
      <c r="CG8" s="10" t="s">
        <v>4</v>
      </c>
      <c r="CH8" s="43" t="e">
        <f>CD30/BZ30</f>
        <v>#DIV/0!</v>
      </c>
      <c r="CI8" s="43" t="e">
        <f>CE30/CA30</f>
        <v>#DIV/0!</v>
      </c>
      <c r="CP8" s="10" t="s">
        <v>4</v>
      </c>
      <c r="CQ8" s="43" t="e">
        <f>CM30/CI30</f>
        <v>#DIV/0!</v>
      </c>
      <c r="CR8" s="43" t="e">
        <f>CN30/CJ30</f>
        <v>#DIV/0!</v>
      </c>
      <c r="CY8" s="10" t="s">
        <v>4</v>
      </c>
      <c r="CZ8" s="43" t="e">
        <f>CV30/CR30</f>
        <v>#DIV/0!</v>
      </c>
      <c r="DA8" s="43" t="e">
        <f>CW30/CS30</f>
        <v>#DIV/0!</v>
      </c>
      <c r="DH8" s="10" t="s">
        <v>4</v>
      </c>
      <c r="DI8" s="43" t="e">
        <f>DE30/DA30</f>
        <v>#DIV/0!</v>
      </c>
      <c r="DJ8" s="43" t="e">
        <f>DF30/DB30</f>
        <v>#DIV/0!</v>
      </c>
      <c r="DQ8" s="10" t="s">
        <v>4</v>
      </c>
      <c r="DR8" s="43" t="e">
        <f>DN30/DJ30</f>
        <v>#DIV/0!</v>
      </c>
      <c r="DS8" s="43" t="e">
        <f>DO30/DK30</f>
        <v>#DIV/0!</v>
      </c>
    </row>
    <row r="9" spans="2:123" ht="24.75" customHeight="1" thickBot="1" x14ac:dyDescent="0.3">
      <c r="D9" s="143" t="s">
        <v>18</v>
      </c>
      <c r="E9" s="151">
        <f>1/SQRT(2*PI()*E8)</f>
        <v>0.19947114020071635</v>
      </c>
      <c r="F9" s="152">
        <f>1/SQRT(2*PI()*F8)</f>
        <v>0.19947114020071635</v>
      </c>
      <c r="M9" s="139" t="s">
        <v>18</v>
      </c>
      <c r="N9" s="140">
        <f>1/SQRT(2*PI()*N8)</f>
        <v>0.14560252250307296</v>
      </c>
      <c r="O9" s="141">
        <f>1/SQRT(2*PI()*O8)</f>
        <v>5.7301793410741285E-2</v>
      </c>
      <c r="V9" s="10" t="s">
        <v>18</v>
      </c>
      <c r="W9" s="33" t="e">
        <f>1/SQRT(2*PI()*W8)</f>
        <v>#DIV/0!</v>
      </c>
      <c r="X9" s="33" t="e">
        <f>1/SQRT(2*PI()*X8)</f>
        <v>#DIV/0!</v>
      </c>
      <c r="AE9" s="10" t="s">
        <v>18</v>
      </c>
      <c r="AF9" s="33" t="e">
        <f>1/SQRT(2*PI()*AF8)</f>
        <v>#DIV/0!</v>
      </c>
      <c r="AG9" s="33" t="e">
        <f>1/SQRT(2*PI()*AG8)</f>
        <v>#DIV/0!</v>
      </c>
      <c r="AN9" s="10" t="s">
        <v>18</v>
      </c>
      <c r="AO9" s="33" t="e">
        <f>1/SQRT(2*PI()*AO8)</f>
        <v>#DIV/0!</v>
      </c>
      <c r="AP9" s="33" t="e">
        <f>1/SQRT(2*PI()*AP8)</f>
        <v>#DIV/0!</v>
      </c>
      <c r="AW9" s="10" t="s">
        <v>18</v>
      </c>
      <c r="AX9" s="33" t="e">
        <f>1/SQRT(2*PI()*AX8)</f>
        <v>#DIV/0!</v>
      </c>
      <c r="AY9" s="33" t="e">
        <f>1/SQRT(2*PI()*AY8)</f>
        <v>#DIV/0!</v>
      </c>
      <c r="BF9" s="10" t="s">
        <v>18</v>
      </c>
      <c r="BG9" s="33" t="e">
        <f>1/SQRT(2*PI()*BG8)</f>
        <v>#DIV/0!</v>
      </c>
      <c r="BH9" s="33" t="e">
        <f>1/SQRT(2*PI()*BH8)</f>
        <v>#DIV/0!</v>
      </c>
      <c r="BO9" s="10" t="s">
        <v>18</v>
      </c>
      <c r="BP9" s="33" t="e">
        <f>1/SQRT(2*PI()*BP8)</f>
        <v>#DIV/0!</v>
      </c>
      <c r="BQ9" s="33" t="e">
        <f>1/SQRT(2*PI()*BQ8)</f>
        <v>#DIV/0!</v>
      </c>
      <c r="BX9" s="10" t="s">
        <v>18</v>
      </c>
      <c r="BY9" s="33" t="e">
        <f>1/SQRT(2*PI()*BY8)</f>
        <v>#DIV/0!</v>
      </c>
      <c r="BZ9" s="33" t="e">
        <f>1/SQRT(2*PI()*BZ8)</f>
        <v>#DIV/0!</v>
      </c>
      <c r="CG9" s="10" t="s">
        <v>18</v>
      </c>
      <c r="CH9" s="33" t="e">
        <f>1/SQRT(2*PI()*CH8)</f>
        <v>#DIV/0!</v>
      </c>
      <c r="CI9" s="33" t="e">
        <f>1/SQRT(2*PI()*CI8)</f>
        <v>#DIV/0!</v>
      </c>
      <c r="CP9" s="10" t="s">
        <v>18</v>
      </c>
      <c r="CQ9" s="33" t="e">
        <f>1/SQRT(2*PI()*CQ8)</f>
        <v>#DIV/0!</v>
      </c>
      <c r="CR9" s="33" t="e">
        <f>1/SQRT(2*PI()*CR8)</f>
        <v>#DIV/0!</v>
      </c>
      <c r="CY9" s="10" t="s">
        <v>18</v>
      </c>
      <c r="CZ9" s="33" t="e">
        <f>1/SQRT(2*PI()*CZ8)</f>
        <v>#DIV/0!</v>
      </c>
      <c r="DA9" s="33" t="e">
        <f>1/SQRT(2*PI()*DA8)</f>
        <v>#DIV/0!</v>
      </c>
      <c r="DH9" s="10" t="s">
        <v>18</v>
      </c>
      <c r="DI9" s="33" t="e">
        <f>1/SQRT(2*PI()*DI8)</f>
        <v>#DIV/0!</v>
      </c>
      <c r="DJ9" s="33" t="e">
        <f>1/SQRT(2*PI()*DJ8)</f>
        <v>#DIV/0!</v>
      </c>
      <c r="DQ9" s="10" t="s">
        <v>18</v>
      </c>
      <c r="DR9" s="33" t="e">
        <f>1/SQRT(2*PI()*DR8)</f>
        <v>#DIV/0!</v>
      </c>
      <c r="DS9" s="33" t="e">
        <f>1/SQRT(2*PI()*DS8)</f>
        <v>#DIV/0!</v>
      </c>
    </row>
    <row r="10" spans="2:123" ht="19.899999999999999" customHeight="1" thickBot="1" x14ac:dyDescent="0.3">
      <c r="D10" s="144" t="s">
        <v>30</v>
      </c>
      <c r="E10" s="153">
        <f>SQRT(E8)</f>
        <v>2</v>
      </c>
      <c r="F10" s="154">
        <f>SQRT(F8)</f>
        <v>2</v>
      </c>
      <c r="DQ10" s="10" t="s">
        <v>30</v>
      </c>
      <c r="DR10" s="33" t="e">
        <f>SQRT(DR8)</f>
        <v>#DIV/0!</v>
      </c>
      <c r="DS10" s="33" t="e">
        <f>SQRT(DS8)</f>
        <v>#DIV/0!</v>
      </c>
    </row>
    <row r="12" spans="2:123" ht="15.75" thickBot="1" x14ac:dyDescent="0.3"/>
    <row r="13" spans="2:123" ht="24.6" customHeight="1" thickBot="1" x14ac:dyDescent="0.3">
      <c r="F13" s="180" t="s">
        <v>21</v>
      </c>
      <c r="G13" s="181"/>
      <c r="H13" s="181" t="s">
        <v>22</v>
      </c>
      <c r="I13" s="181"/>
      <c r="J13" s="181" t="s">
        <v>23</v>
      </c>
      <c r="K13" s="182"/>
    </row>
    <row r="14" spans="2:123" ht="60.75" customHeight="1" x14ac:dyDescent="0.25">
      <c r="B14" s="59" t="s">
        <v>50</v>
      </c>
      <c r="C14" s="190" t="s">
        <v>5</v>
      </c>
      <c r="D14" s="191" t="s">
        <v>63</v>
      </c>
      <c r="E14" s="192" t="s">
        <v>64</v>
      </c>
      <c r="F14" s="63" t="s">
        <v>58</v>
      </c>
      <c r="G14" s="63" t="s">
        <v>59</v>
      </c>
      <c r="H14" s="188" t="s">
        <v>60</v>
      </c>
      <c r="I14" s="189" t="s">
        <v>61</v>
      </c>
      <c r="J14" s="186" t="s">
        <v>62</v>
      </c>
      <c r="K14" s="187" t="s">
        <v>65</v>
      </c>
    </row>
    <row r="15" spans="2:123" ht="24" customHeight="1" x14ac:dyDescent="0.25">
      <c r="B15" s="1">
        <v>0</v>
      </c>
      <c r="C15" s="155">
        <v>2</v>
      </c>
      <c r="D15" s="52">
        <f t="shared" ref="D15:E27" si="0">E$9*EXP(-(($C15-E$7)^2)/(2 * E$8))</f>
        <v>0.19947114020071635</v>
      </c>
      <c r="E15" s="53">
        <f t="shared" si="0"/>
        <v>3.8208277057936016E-30</v>
      </c>
      <c r="F15" s="39">
        <f>(D15*E$6)/((D15*E$6)+(E15*F$6))</f>
        <v>1</v>
      </c>
      <c r="G15" s="40">
        <f>1-F15</f>
        <v>0</v>
      </c>
      <c r="H15" s="36">
        <f>$C15*F15</f>
        <v>2</v>
      </c>
      <c r="I15" s="40">
        <f>$C15*G15</f>
        <v>0</v>
      </c>
      <c r="J15" s="44">
        <f>F15*($C15-E$7)^2</f>
        <v>0</v>
      </c>
      <c r="K15" s="45">
        <f>G15*($C15-F$7)^2</f>
        <v>0</v>
      </c>
    </row>
    <row r="16" spans="2:123" ht="24" customHeight="1" x14ac:dyDescent="0.25">
      <c r="B16" s="1">
        <v>0</v>
      </c>
      <c r="C16" s="155">
        <v>3</v>
      </c>
      <c r="D16" s="52">
        <f t="shared" si="0"/>
        <v>0.17603266338214976</v>
      </c>
      <c r="E16" s="53">
        <f t="shared" si="0"/>
        <v>1.0594096267546769E-27</v>
      </c>
      <c r="F16" s="39">
        <f t="shared" ref="F16:F27" si="1">(D16*E$6)/((D16*E$6)+(E16*F$6))</f>
        <v>1</v>
      </c>
      <c r="G16" s="40">
        <f t="shared" ref="G16:G27" si="2">1-F16</f>
        <v>0</v>
      </c>
      <c r="H16" s="36">
        <f t="shared" ref="H16:I27" si="3">$C16*F16</f>
        <v>3</v>
      </c>
      <c r="I16" s="40">
        <f t="shared" si="3"/>
        <v>0</v>
      </c>
      <c r="J16" s="44">
        <f t="shared" ref="J16:K27" si="4">F16*($C16-E$7)^2</f>
        <v>1</v>
      </c>
      <c r="K16" s="45">
        <f t="shared" si="4"/>
        <v>0</v>
      </c>
    </row>
    <row r="17" spans="2:11" ht="24" customHeight="1" x14ac:dyDescent="0.25">
      <c r="B17" s="1">
        <v>0</v>
      </c>
      <c r="C17" s="155">
        <v>4</v>
      </c>
      <c r="D17" s="52">
        <f t="shared" si="0"/>
        <v>0.12098536225957168</v>
      </c>
      <c r="E17" s="53">
        <f t="shared" si="0"/>
        <v>2.2876877952604028E-25</v>
      </c>
      <c r="F17" s="39">
        <f t="shared" si="1"/>
        <v>1</v>
      </c>
      <c r="G17" s="40">
        <f t="shared" si="2"/>
        <v>0</v>
      </c>
      <c r="H17" s="36">
        <f t="shared" si="3"/>
        <v>4</v>
      </c>
      <c r="I17" s="40">
        <f t="shared" si="3"/>
        <v>0</v>
      </c>
      <c r="J17" s="44">
        <f t="shared" si="4"/>
        <v>4</v>
      </c>
      <c r="K17" s="45">
        <f t="shared" si="4"/>
        <v>0</v>
      </c>
    </row>
    <row r="18" spans="2:11" ht="24" customHeight="1" x14ac:dyDescent="0.25">
      <c r="B18" s="1">
        <v>0</v>
      </c>
      <c r="C18" s="155">
        <v>7</v>
      </c>
      <c r="D18" s="52">
        <f t="shared" si="0"/>
        <v>8.7641502467842702E-3</v>
      </c>
      <c r="E18" s="53">
        <f t="shared" si="0"/>
        <v>5.1398867858344583E-19</v>
      </c>
      <c r="F18" s="39">
        <f t="shared" si="1"/>
        <v>1</v>
      </c>
      <c r="G18" s="40">
        <f t="shared" si="2"/>
        <v>0</v>
      </c>
      <c r="H18" s="36">
        <f t="shared" si="3"/>
        <v>7</v>
      </c>
      <c r="I18" s="40">
        <f t="shared" si="3"/>
        <v>0</v>
      </c>
      <c r="J18" s="44">
        <f t="shared" si="4"/>
        <v>25</v>
      </c>
      <c r="K18" s="45">
        <f t="shared" si="4"/>
        <v>0</v>
      </c>
    </row>
    <row r="19" spans="2:11" ht="24" customHeight="1" x14ac:dyDescent="0.25">
      <c r="B19" s="1">
        <v>0</v>
      </c>
      <c r="C19" s="155">
        <v>15</v>
      </c>
      <c r="D19" s="52">
        <f t="shared" si="0"/>
        <v>1.334778307381426E-10</v>
      </c>
      <c r="E19" s="53">
        <f t="shared" si="0"/>
        <v>7.4335975736714884E-7</v>
      </c>
      <c r="F19" s="39">
        <f t="shared" si="1"/>
        <v>1.7952796934677737E-4</v>
      </c>
      <c r="G19" s="40">
        <f t="shared" si="2"/>
        <v>0.99982047203065327</v>
      </c>
      <c r="H19" s="36">
        <f t="shared" si="3"/>
        <v>2.6929195402016605E-3</v>
      </c>
      <c r="I19" s="40">
        <f t="shared" si="3"/>
        <v>14.9973070804598</v>
      </c>
      <c r="J19" s="44">
        <f t="shared" si="4"/>
        <v>3.0340226819605375E-2</v>
      </c>
      <c r="K19" s="45">
        <f t="shared" si="4"/>
        <v>99.982047203065321</v>
      </c>
    </row>
    <row r="20" spans="2:11" ht="24" customHeight="1" x14ac:dyDescent="0.25">
      <c r="B20" s="1">
        <v>0</v>
      </c>
      <c r="C20" s="155">
        <v>16</v>
      </c>
      <c r="D20" s="52">
        <f t="shared" si="0"/>
        <v>4.5673602041822968E-12</v>
      </c>
      <c r="E20" s="53">
        <f t="shared" si="0"/>
        <v>7.9918705534527373E-6</v>
      </c>
      <c r="F20" s="39">
        <f t="shared" si="1"/>
        <v>5.7150044703372449E-7</v>
      </c>
      <c r="G20" s="40">
        <f t="shared" si="2"/>
        <v>0.99999942849955292</v>
      </c>
      <c r="H20" s="36">
        <f t="shared" si="3"/>
        <v>9.1440071525395919E-6</v>
      </c>
      <c r="I20" s="40">
        <f t="shared" si="3"/>
        <v>15.999990855992847</v>
      </c>
      <c r="J20" s="44">
        <f t="shared" si="4"/>
        <v>1.1201408761861E-4</v>
      </c>
      <c r="K20" s="45">
        <f t="shared" si="4"/>
        <v>80.999953708463792</v>
      </c>
    </row>
    <row r="21" spans="2:11" ht="24" customHeight="1" x14ac:dyDescent="0.25">
      <c r="B21" s="1">
        <v>0</v>
      </c>
      <c r="C21" s="155">
        <v>17</v>
      </c>
      <c r="D21" s="52">
        <f t="shared" si="0"/>
        <v>1.2171602665145048E-13</v>
      </c>
      <c r="E21" s="53">
        <f t="shared" si="0"/>
        <v>6.6915112882442684E-5</v>
      </c>
      <c r="F21" s="39">
        <f t="shared" si="1"/>
        <v>1.8189616842444237E-9</v>
      </c>
      <c r="G21" s="40">
        <f t="shared" si="2"/>
        <v>0.99999999818103835</v>
      </c>
      <c r="H21" s="36">
        <f t="shared" si="3"/>
        <v>3.0922348632155203E-8</v>
      </c>
      <c r="I21" s="40">
        <f t="shared" si="3"/>
        <v>16.999999969077653</v>
      </c>
      <c r="J21" s="44">
        <f t="shared" si="4"/>
        <v>4.0926637895499534E-7</v>
      </c>
      <c r="K21" s="45">
        <f t="shared" si="4"/>
        <v>63.999999883586455</v>
      </c>
    </row>
    <row r="22" spans="2:11" ht="24" customHeight="1" x14ac:dyDescent="0.25">
      <c r="B22" s="1">
        <v>0</v>
      </c>
      <c r="C22" s="155">
        <v>17.5</v>
      </c>
      <c r="D22" s="52">
        <f t="shared" si="0"/>
        <v>1.8091472255562587E-14</v>
      </c>
      <c r="E22" s="53">
        <f t="shared" si="0"/>
        <v>1.762978411837227E-4</v>
      </c>
      <c r="F22" s="39">
        <f t="shared" si="1"/>
        <v>1.0261879630648827E-10</v>
      </c>
      <c r="G22" s="40">
        <f t="shared" si="2"/>
        <v>0.9999999998973812</v>
      </c>
      <c r="H22" s="36">
        <f t="shared" si="3"/>
        <v>1.7958289353635447E-9</v>
      </c>
      <c r="I22" s="40">
        <f t="shared" si="3"/>
        <v>17.499999998204171</v>
      </c>
      <c r="J22" s="44">
        <f t="shared" si="4"/>
        <v>2.4654165812633808E-8</v>
      </c>
      <c r="K22" s="45">
        <f t="shared" si="4"/>
        <v>56.249999994227693</v>
      </c>
    </row>
    <row r="23" spans="2:11" ht="24" customHeight="1" x14ac:dyDescent="0.25">
      <c r="B23" s="1">
        <v>0</v>
      </c>
      <c r="C23" s="155">
        <v>18</v>
      </c>
      <c r="D23" s="52">
        <f t="shared" si="0"/>
        <v>2.5261355417684464E-15</v>
      </c>
      <c r="E23" s="53">
        <f t="shared" si="0"/>
        <v>4.3634134752288008E-4</v>
      </c>
      <c r="F23" s="39">
        <f t="shared" si="1"/>
        <v>5.7893563286971348E-12</v>
      </c>
      <c r="G23" s="40">
        <f t="shared" si="2"/>
        <v>0.99999999999421063</v>
      </c>
      <c r="H23" s="36">
        <f t="shared" si="3"/>
        <v>1.0420841391654843E-10</v>
      </c>
      <c r="I23" s="40">
        <f t="shared" si="3"/>
        <v>17.999999999895792</v>
      </c>
      <c r="J23" s="44">
        <f t="shared" si="4"/>
        <v>1.4820752201464665E-9</v>
      </c>
      <c r="K23" s="45">
        <f t="shared" si="4"/>
        <v>48.999999999716323</v>
      </c>
    </row>
    <row r="24" spans="2:11" ht="24" customHeight="1" x14ac:dyDescent="0.25">
      <c r="B24" s="1">
        <v>0</v>
      </c>
      <c r="C24" s="155">
        <v>19</v>
      </c>
      <c r="D24" s="52">
        <f t="shared" si="0"/>
        <v>4.0831178158347751E-17</v>
      </c>
      <c r="E24" s="53">
        <f t="shared" si="0"/>
        <v>2.2159242059690038E-3</v>
      </c>
      <c r="F24" s="39">
        <f t="shared" si="1"/>
        <v>1.8426252147235287E-14</v>
      </c>
      <c r="G24" s="40">
        <f t="shared" si="2"/>
        <v>0.99999999999998157</v>
      </c>
      <c r="H24" s="36">
        <f t="shared" si="3"/>
        <v>3.5009879079747044E-13</v>
      </c>
      <c r="I24" s="40">
        <f t="shared" si="3"/>
        <v>18.999999999999648</v>
      </c>
      <c r="J24" s="44">
        <f t="shared" si="4"/>
        <v>5.3251868705509982E-12</v>
      </c>
      <c r="K24" s="45">
        <f t="shared" si="4"/>
        <v>35.999999999999339</v>
      </c>
    </row>
    <row r="25" spans="2:11" ht="24" customHeight="1" x14ac:dyDescent="0.25">
      <c r="B25" s="1">
        <v>0</v>
      </c>
      <c r="C25" s="155">
        <v>20</v>
      </c>
      <c r="D25" s="52">
        <f t="shared" si="0"/>
        <v>5.1398867858344583E-19</v>
      </c>
      <c r="E25" s="53">
        <f t="shared" si="0"/>
        <v>8.7641502467842702E-3</v>
      </c>
      <c r="F25" s="39">
        <f t="shared" si="1"/>
        <v>5.8646721485866563E-17</v>
      </c>
      <c r="G25" s="40">
        <f t="shared" si="2"/>
        <v>0.99999999999999989</v>
      </c>
      <c r="H25" s="36">
        <f t="shared" si="3"/>
        <v>1.1729344297173313E-15</v>
      </c>
      <c r="I25" s="40">
        <f t="shared" si="3"/>
        <v>19.999999999999996</v>
      </c>
      <c r="J25" s="44">
        <f t="shared" si="4"/>
        <v>1.9001537761420766E-14</v>
      </c>
      <c r="K25" s="45">
        <f t="shared" si="4"/>
        <v>24.999999999999996</v>
      </c>
    </row>
    <row r="26" spans="2:11" ht="24" customHeight="1" x14ac:dyDescent="0.25">
      <c r="B26" s="1">
        <v>0</v>
      </c>
      <c r="C26" s="155">
        <v>21</v>
      </c>
      <c r="D26" s="52">
        <f t="shared" si="0"/>
        <v>5.0389676971500049E-21</v>
      </c>
      <c r="E26" s="53">
        <f t="shared" si="0"/>
        <v>2.6995483256594031E-2</v>
      </c>
      <c r="F26" s="39">
        <f t="shared" si="1"/>
        <v>1.8665965892346695E-19</v>
      </c>
      <c r="G26" s="40">
        <f t="shared" si="2"/>
        <v>1</v>
      </c>
      <c r="H26" s="36">
        <f t="shared" si="3"/>
        <v>3.9198528373928058E-18</v>
      </c>
      <c r="I26" s="40">
        <f t="shared" si="3"/>
        <v>21</v>
      </c>
      <c r="J26" s="44">
        <f t="shared" si="4"/>
        <v>6.7384136871371565E-17</v>
      </c>
      <c r="K26" s="45">
        <f t="shared" si="4"/>
        <v>16</v>
      </c>
    </row>
    <row r="27" spans="2:11" ht="24" customHeight="1" thickBot="1" x14ac:dyDescent="0.3">
      <c r="B27" s="1">
        <v>0</v>
      </c>
      <c r="C27" s="156">
        <v>22</v>
      </c>
      <c r="D27" s="52">
        <f t="shared" si="0"/>
        <v>3.84729931335321E-23</v>
      </c>
      <c r="E27" s="53">
        <f t="shared" si="0"/>
        <v>6.4758797832945872E-2</v>
      </c>
      <c r="F27" s="39">
        <f t="shared" si="1"/>
        <v>5.9409677790465501E-22</v>
      </c>
      <c r="G27" s="40">
        <f t="shared" si="2"/>
        <v>1</v>
      </c>
      <c r="H27" s="36">
        <f t="shared" si="3"/>
        <v>1.3070129113902411E-20</v>
      </c>
      <c r="I27" s="40">
        <f t="shared" si="3"/>
        <v>22</v>
      </c>
      <c r="J27" s="44">
        <f t="shared" si="4"/>
        <v>2.3763871116186198E-19</v>
      </c>
      <c r="K27" s="45">
        <f t="shared" si="4"/>
        <v>9</v>
      </c>
    </row>
    <row r="28" spans="2:11" ht="15.75" customHeight="1" x14ac:dyDescent="0.25">
      <c r="C28" s="46"/>
      <c r="D28" s="47"/>
      <c r="E28" s="48"/>
      <c r="F28" s="48"/>
      <c r="G28" s="47"/>
      <c r="H28" s="47"/>
      <c r="I28" s="47"/>
      <c r="J28" s="49"/>
      <c r="K28" s="49"/>
    </row>
    <row r="29" spans="2:11" ht="23.45" customHeight="1" x14ac:dyDescent="0.25">
      <c r="F29" s="50" t="s">
        <v>24</v>
      </c>
      <c r="G29" s="50" t="s">
        <v>25</v>
      </c>
      <c r="H29" s="50" t="s">
        <v>26</v>
      </c>
      <c r="I29" s="50" t="s">
        <v>27</v>
      </c>
      <c r="J29" s="50" t="s">
        <v>28</v>
      </c>
      <c r="K29" s="50" t="s">
        <v>29</v>
      </c>
    </row>
    <row r="30" spans="2:11" ht="18.600000000000001" customHeight="1" thickBot="1" x14ac:dyDescent="0.3">
      <c r="F30" s="42">
        <f t="shared" ref="F30:K30" si="5">SUM(F15:F27)</f>
        <v>4.0001801013971816</v>
      </c>
      <c r="G30" s="42">
        <f t="shared" si="5"/>
        <v>8.9998198986028175</v>
      </c>
      <c r="H30" s="42">
        <f t="shared" si="5"/>
        <v>16.00270209637009</v>
      </c>
      <c r="I30" s="42">
        <f t="shared" si="5"/>
        <v>165.49729790362991</v>
      </c>
      <c r="J30" s="42">
        <f t="shared" si="5"/>
        <v>30.030452676315186</v>
      </c>
      <c r="K30" s="42">
        <f t="shared" si="5"/>
        <v>436.23200078905893</v>
      </c>
    </row>
    <row r="55" spans="2:4" ht="15.75" thickBot="1" x14ac:dyDescent="0.3"/>
    <row r="56" spans="2:4" ht="24" customHeight="1" thickBot="1" x14ac:dyDescent="0.3">
      <c r="B56" s="116"/>
      <c r="C56" s="117" t="s">
        <v>19</v>
      </c>
      <c r="D56" s="118" t="s">
        <v>20</v>
      </c>
    </row>
    <row r="57" spans="2:4" ht="24" customHeight="1" thickBot="1" x14ac:dyDescent="0.3">
      <c r="B57" s="119" t="s">
        <v>7</v>
      </c>
      <c r="C57" s="120">
        <f>E7</f>
        <v>2</v>
      </c>
      <c r="D57" s="121">
        <f>F7</f>
        <v>25</v>
      </c>
    </row>
    <row r="58" spans="2:4" ht="24" customHeight="1" thickBot="1" x14ac:dyDescent="0.3">
      <c r="B58" s="119" t="s">
        <v>8</v>
      </c>
      <c r="C58" s="122">
        <f>E10</f>
        <v>2</v>
      </c>
      <c r="D58" s="123">
        <f>F10</f>
        <v>2</v>
      </c>
    </row>
    <row r="59" spans="2:4" ht="24" customHeight="1" thickBot="1" x14ac:dyDescent="0.3">
      <c r="B59" s="124" t="s">
        <v>48</v>
      </c>
      <c r="C59" s="125">
        <f>E6</f>
        <v>0.5</v>
      </c>
      <c r="D59" s="126">
        <f>F6</f>
        <v>0.5</v>
      </c>
    </row>
    <row r="64" spans="2:4" x14ac:dyDescent="0.25">
      <c r="C64" s="72" t="s">
        <v>19</v>
      </c>
      <c r="D64" s="72" t="s">
        <v>20</v>
      </c>
    </row>
    <row r="65" spans="1:4" x14ac:dyDescent="0.25">
      <c r="A65" s="2">
        <v>0.05</v>
      </c>
      <c r="B65" s="71">
        <v>0</v>
      </c>
      <c r="C65" s="4">
        <f>_xlfn.NORM.DIST(B65,$C$57,C$58,FALSE)*C$59</f>
        <v>6.0492681129785841E-2</v>
      </c>
      <c r="D65" s="4">
        <f>_xlfn.NORM.DIST(B65,$D$57,D$58,FALSE)*D$59</f>
        <v>1.1737988394937866E-35</v>
      </c>
    </row>
    <row r="66" spans="1:4" x14ac:dyDescent="0.25">
      <c r="B66" s="71">
        <f t="shared" ref="B66:B129" si="6">B65+$A$65</f>
        <v>0.05</v>
      </c>
      <c r="C66" s="4">
        <f t="shared" ref="C66:C129" si="7">_xlfn.NORM.DIST(B66,$C$57,C$58,FALSE)*C$59</f>
        <v>6.2004681152684281E-2</v>
      </c>
      <c r="D66" s="4">
        <f t="shared" ref="D66:D129" si="8">_xlfn.NORM.DIST(B66,$D$57,D$58,FALSE)*D$59</f>
        <v>1.6038914947106206E-35</v>
      </c>
    </row>
    <row r="67" spans="1:4" x14ac:dyDescent="0.25">
      <c r="B67" s="71">
        <f t="shared" si="6"/>
        <v>0.1</v>
      </c>
      <c r="C67" s="4">
        <f t="shared" si="7"/>
        <v>6.3514764117297257E-2</v>
      </c>
      <c r="D67" s="4">
        <f t="shared" si="8"/>
        <v>2.1902054680766364E-35</v>
      </c>
    </row>
    <row r="68" spans="1:4" x14ac:dyDescent="0.25">
      <c r="B68" s="71">
        <f t="shared" si="6"/>
        <v>0.15000000000000002</v>
      </c>
      <c r="C68" s="4">
        <f t="shared" si="7"/>
        <v>6.5020973342498914E-2</v>
      </c>
      <c r="D68" s="4">
        <f t="shared" si="8"/>
        <v>2.9889819978010855E-35</v>
      </c>
    </row>
    <row r="69" spans="1:4" x14ac:dyDescent="0.25">
      <c r="B69" s="71">
        <f t="shared" si="6"/>
        <v>0.2</v>
      </c>
      <c r="C69" s="4">
        <f t="shared" si="7"/>
        <v>6.6521312474688704E-2</v>
      </c>
      <c r="D69" s="4">
        <f t="shared" si="8"/>
        <v>4.0765268370991128E-35</v>
      </c>
    </row>
    <row r="70" spans="1:4" x14ac:dyDescent="0.25">
      <c r="B70" s="71">
        <f t="shared" si="6"/>
        <v>0.25</v>
      </c>
      <c r="C70" s="4">
        <f t="shared" si="7"/>
        <v>6.8013749594635881E-2</v>
      </c>
      <c r="D70" s="4">
        <f t="shared" si="8"/>
        <v>5.5563024522863645E-35</v>
      </c>
    </row>
    <row r="71" spans="1:4" x14ac:dyDescent="0.25">
      <c r="B71" s="71">
        <f t="shared" si="6"/>
        <v>0.3</v>
      </c>
      <c r="C71" s="4">
        <f t="shared" si="7"/>
        <v>6.949622153274912E-2</v>
      </c>
      <c r="D71" s="4">
        <f t="shared" si="8"/>
        <v>7.5685035060824241E-35</v>
      </c>
    </row>
    <row r="72" spans="1:4" x14ac:dyDescent="0.25">
      <c r="B72" s="71">
        <f t="shared" si="6"/>
        <v>0.35</v>
      </c>
      <c r="C72" s="4">
        <f t="shared" si="7"/>
        <v>7.0966638381221817E-2</v>
      </c>
      <c r="D72" s="4">
        <f t="shared" si="8"/>
        <v>1.0302976771955045E-34</v>
      </c>
    </row>
    <row r="73" spans="1:4" x14ac:dyDescent="0.25">
      <c r="B73" s="71">
        <f t="shared" si="6"/>
        <v>0.39999999999999997</v>
      </c>
      <c r="C73" s="4">
        <f t="shared" si="7"/>
        <v>7.2422888190370682E-2</v>
      </c>
      <c r="D73" s="4">
        <f t="shared" si="8"/>
        <v>1.4016642315759581E-34</v>
      </c>
    </row>
    <row r="74" spans="1:4" x14ac:dyDescent="0.25">
      <c r="B74" s="71">
        <f t="shared" si="6"/>
        <v>0.44999999999999996</v>
      </c>
      <c r="C74" s="4">
        <f t="shared" si="7"/>
        <v>7.3862841835390727E-2</v>
      </c>
      <c r="D74" s="4">
        <f t="shared" si="8"/>
        <v>1.9056968981342702E-34</v>
      </c>
    </row>
    <row r="75" spans="1:4" x14ac:dyDescent="0.25">
      <c r="B75" s="71">
        <f t="shared" si="6"/>
        <v>0.49999999999999994</v>
      </c>
      <c r="C75" s="4">
        <f t="shared" si="7"/>
        <v>7.5284358038701107E-2</v>
      </c>
      <c r="D75" s="4">
        <f t="shared" si="8"/>
        <v>2.5893587740520877E-34</v>
      </c>
    </row>
    <row r="76" spans="1:4" x14ac:dyDescent="0.25">
      <c r="B76" s="71">
        <f t="shared" si="6"/>
        <v>0.54999999999999993</v>
      </c>
      <c r="C76" s="4">
        <f t="shared" si="7"/>
        <v>7.6685288532059998E-2</v>
      </c>
      <c r="D76" s="4">
        <f t="shared" si="8"/>
        <v>3.5160836383723814E-34</v>
      </c>
    </row>
    <row r="77" spans="1:4" x14ac:dyDescent="0.25">
      <c r="B77" s="71">
        <f t="shared" si="6"/>
        <v>0.6</v>
      </c>
      <c r="C77" s="4">
        <f t="shared" si="7"/>
        <v>7.8063483341690318E-2</v>
      </c>
      <c r="D77" s="4">
        <f t="shared" si="8"/>
        <v>4.7714978365920408E-34</v>
      </c>
    </row>
    <row r="78" spans="1:4" x14ac:dyDescent="0.25">
      <c r="B78" s="71">
        <f t="shared" si="6"/>
        <v>0.65</v>
      </c>
      <c r="C78" s="4">
        <f t="shared" si="7"/>
        <v>7.9416796178787066E-2</v>
      </c>
      <c r="D78" s="4">
        <f t="shared" si="8"/>
        <v>6.4711107288029071E-34</v>
      </c>
    </row>
    <row r="79" spans="1:4" x14ac:dyDescent="0.25">
      <c r="B79" s="71">
        <f t="shared" si="6"/>
        <v>0.70000000000000007</v>
      </c>
      <c r="C79" s="4">
        <f t="shared" si="7"/>
        <v>8.074308991697858E-2</v>
      </c>
      <c r="D79" s="4">
        <f t="shared" si="8"/>
        <v>8.7706442774139983E-34</v>
      </c>
    </row>
    <row r="80" spans="1:4" x14ac:dyDescent="0.25">
      <c r="B80" s="71">
        <f t="shared" si="6"/>
        <v>0.75000000000000011</v>
      </c>
      <c r="C80" s="4">
        <f t="shared" si="7"/>
        <v>8.2040242137593769E-2</v>
      </c>
      <c r="D80" s="4">
        <f t="shared" si="8"/>
        <v>1.1879898468471142E-33</v>
      </c>
    </row>
    <row r="81" spans="2:4" x14ac:dyDescent="0.25">
      <c r="B81" s="71">
        <f t="shared" si="6"/>
        <v>0.80000000000000016</v>
      </c>
      <c r="C81" s="4">
        <f t="shared" si="7"/>
        <v>8.3306150722949918E-2</v>
      </c>
      <c r="D81" s="4">
        <f t="shared" si="8"/>
        <v>1.6081350836589374E-33</v>
      </c>
    </row>
    <row r="82" spans="2:4" x14ac:dyDescent="0.25">
      <c r="B82" s="71">
        <f t="shared" si="6"/>
        <v>0.8500000000000002</v>
      </c>
      <c r="C82" s="4">
        <f t="shared" si="7"/>
        <v>8.4538739477327859E-2</v>
      </c>
      <c r="D82" s="4">
        <f t="shared" si="8"/>
        <v>2.175509031172658E-33</v>
      </c>
    </row>
    <row r="83" spans="2:4" x14ac:dyDescent="0.25">
      <c r="B83" s="71">
        <f t="shared" si="6"/>
        <v>0.90000000000000024</v>
      </c>
      <c r="C83" s="4">
        <f t="shared" si="7"/>
        <v>8.5735963754845976E-2</v>
      </c>
      <c r="D83" s="4">
        <f t="shared" si="8"/>
        <v>2.9412220977274581E-33</v>
      </c>
    </row>
    <row r="84" spans="2:4" x14ac:dyDescent="0.25">
      <c r="B84" s="71">
        <f t="shared" si="6"/>
        <v>0.95000000000000029</v>
      </c>
      <c r="C84" s="4">
        <f t="shared" si="7"/>
        <v>8.6895816073087023E-2</v>
      </c>
      <c r="D84" s="4">
        <f t="shared" si="8"/>
        <v>3.9739583938259801E-33</v>
      </c>
    </row>
    <row r="85" spans="2:4" x14ac:dyDescent="0.25">
      <c r="B85" s="71">
        <f t="shared" si="6"/>
        <v>1.0000000000000002</v>
      </c>
      <c r="C85" s="4">
        <f t="shared" si="7"/>
        <v>8.8016331691074881E-2</v>
      </c>
      <c r="D85" s="4">
        <f t="shared" si="8"/>
        <v>5.3659593391576512E-33</v>
      </c>
    </row>
    <row r="86" spans="2:4" x14ac:dyDescent="0.25">
      <c r="B86" s="71">
        <f t="shared" si="6"/>
        <v>1.0500000000000003</v>
      </c>
      <c r="C86" s="4">
        <f t="shared" si="7"/>
        <v>8.9095594130045822E-2</v>
      </c>
      <c r="D86" s="4">
        <f t="shared" si="8"/>
        <v>7.2410243013600497E-33</v>
      </c>
    </row>
    <row r="87" spans="2:4" x14ac:dyDescent="0.25">
      <c r="B87" s="71">
        <f t="shared" si="6"/>
        <v>1.1000000000000003</v>
      </c>
      <c r="C87" s="4">
        <f t="shared" si="7"/>
        <v>9.0131740615412001E-2</v>
      </c>
      <c r="D87" s="4">
        <f t="shared" si="8"/>
        <v>9.7652012601917889E-33</v>
      </c>
    </row>
    <row r="88" spans="2:4" x14ac:dyDescent="0.25">
      <c r="B88" s="71">
        <f t="shared" si="6"/>
        <v>1.1500000000000004</v>
      </c>
      <c r="C88" s="4">
        <f t="shared" si="7"/>
        <v>9.1122967418376624E-2</v>
      </c>
      <c r="D88" s="4">
        <f t="shared" si="8"/>
        <v>1.3161062694240911E-32</v>
      </c>
    </row>
    <row r="89" spans="2:4" x14ac:dyDescent="0.25">
      <c r="B89" s="71">
        <f t="shared" si="6"/>
        <v>1.2000000000000004</v>
      </c>
      <c r="C89" s="4">
        <f t="shared" si="7"/>
        <v>9.2067535075830848E-2</v>
      </c>
      <c r="D89" s="4">
        <f t="shared" si="8"/>
        <v>1.7726756671070151E-32</v>
      </c>
    </row>
    <row r="90" spans="2:4" x14ac:dyDescent="0.25">
      <c r="B90" s="71">
        <f t="shared" si="6"/>
        <v>1.2500000000000004</v>
      </c>
      <c r="C90" s="4">
        <f t="shared" si="7"/>
        <v>9.2963773467442251E-2</v>
      </c>
      <c r="D90" s="4">
        <f t="shared" si="8"/>
        <v>2.3861413933219777E-32</v>
      </c>
    </row>
    <row r="91" spans="2:4" x14ac:dyDescent="0.25">
      <c r="B91" s="71">
        <f t="shared" si="6"/>
        <v>1.3000000000000005</v>
      </c>
      <c r="C91" s="4">
        <f t="shared" si="7"/>
        <v>9.3810086729234493E-2</v>
      </c>
      <c r="D91" s="4">
        <f t="shared" si="8"/>
        <v>3.20990095486903E-32</v>
      </c>
    </row>
    <row r="92" spans="2:4" x14ac:dyDescent="0.25">
      <c r="B92" s="71">
        <f t="shared" si="6"/>
        <v>1.3500000000000005</v>
      </c>
      <c r="C92" s="4">
        <f t="shared" si="7"/>
        <v>9.4604957983454863E-2</v>
      </c>
      <c r="D92" s="4">
        <f t="shared" si="8"/>
        <v>4.3153463226344033E-32</v>
      </c>
    </row>
    <row r="93" spans="2:4" x14ac:dyDescent="0.25">
      <c r="B93" s="71">
        <f t="shared" si="6"/>
        <v>1.4000000000000006</v>
      </c>
      <c r="C93" s="4">
        <f t="shared" si="7"/>
        <v>9.5346953865131034E-2</v>
      </c>
      <c r="D93" s="4">
        <f t="shared" si="8"/>
        <v>5.7978669431403745E-32</v>
      </c>
    </row>
    <row r="94" spans="2:4" x14ac:dyDescent="0.25">
      <c r="B94" s="71">
        <f t="shared" si="6"/>
        <v>1.4500000000000006</v>
      </c>
      <c r="C94" s="4">
        <f t="shared" si="7"/>
        <v>9.6034728826426205E-2</v>
      </c>
      <c r="D94" s="4">
        <f t="shared" si="8"/>
        <v>7.7848347744620119E-32</v>
      </c>
    </row>
    <row r="95" spans="2:4" x14ac:dyDescent="0.25">
      <c r="B95" s="71">
        <f t="shared" si="6"/>
        <v>1.5000000000000007</v>
      </c>
      <c r="C95" s="4">
        <f t="shared" si="7"/>
        <v>9.6667029200712309E-2</v>
      </c>
      <c r="D95" s="4">
        <f t="shared" si="8"/>
        <v>1.0446218861356616E-31</v>
      </c>
    </row>
    <row r="96" spans="2:4" x14ac:dyDescent="0.25">
      <c r="B96" s="71">
        <f t="shared" si="6"/>
        <v>1.5500000000000007</v>
      </c>
      <c r="C96" s="4">
        <f t="shared" si="7"/>
        <v>9.7242697009187376E-2</v>
      </c>
      <c r="D96" s="4">
        <f t="shared" si="8"/>
        <v>1.4008686219718639E-31</v>
      </c>
    </row>
    <row r="97" spans="2:4" x14ac:dyDescent="0.25">
      <c r="B97" s="71">
        <f t="shared" si="6"/>
        <v>1.6000000000000008</v>
      </c>
      <c r="C97" s="4">
        <f t="shared" si="7"/>
        <v>9.7760673493863984E-2</v>
      </c>
      <c r="D97" s="4">
        <f t="shared" si="8"/>
        <v>1.877432193124132E-31</v>
      </c>
    </row>
    <row r="98" spans="2:4" x14ac:dyDescent="0.25">
      <c r="B98" s="71">
        <f t="shared" si="6"/>
        <v>1.6500000000000008</v>
      </c>
      <c r="C98" s="4">
        <f t="shared" si="7"/>
        <v>9.8220002361844833E-2</v>
      </c>
      <c r="D98" s="4">
        <f t="shared" si="8"/>
        <v>2.5145465485053048E-31</v>
      </c>
    </row>
    <row r="99" spans="2:4" x14ac:dyDescent="0.25">
      <c r="B99" s="71">
        <f t="shared" si="6"/>
        <v>1.7000000000000008</v>
      </c>
      <c r="C99" s="4">
        <f t="shared" si="7"/>
        <v>9.8619832726972237E-2</v>
      </c>
      <c r="D99" s="4">
        <f t="shared" si="8"/>
        <v>3.3657640271748641E-31</v>
      </c>
    </row>
    <row r="100" spans="2:4" x14ac:dyDescent="0.25">
      <c r="B100" s="71">
        <f t="shared" si="6"/>
        <v>1.7500000000000009</v>
      </c>
      <c r="C100" s="4">
        <f t="shared" si="7"/>
        <v>9.8959421736187381E-2</v>
      </c>
      <c r="D100" s="4">
        <f t="shared" si="8"/>
        <v>4.5023185097869333E-31</v>
      </c>
    </row>
    <row r="101" spans="2:4" x14ac:dyDescent="0.25">
      <c r="B101" s="71">
        <f t="shared" si="6"/>
        <v>1.8000000000000009</v>
      </c>
      <c r="C101" s="4">
        <f t="shared" si="7"/>
        <v>9.9238136869252952E-2</v>
      </c>
      <c r="D101" s="4">
        <f t="shared" si="8"/>
        <v>6.0189028295982523E-31</v>
      </c>
    </row>
    <row r="102" spans="2:4" x14ac:dyDescent="0.25">
      <c r="B102" s="71">
        <f t="shared" si="6"/>
        <v>1.850000000000001</v>
      </c>
      <c r="C102" s="4">
        <f t="shared" si="7"/>
        <v>9.9455457901874281E-2</v>
      </c>
      <c r="D102" s="4">
        <f t="shared" si="8"/>
        <v>8.0413138859569636E-31</v>
      </c>
    </row>
    <row r="103" spans="2:4" x14ac:dyDescent="0.25">
      <c r="B103" s="71">
        <f t="shared" si="6"/>
        <v>1.900000000000001</v>
      </c>
      <c r="C103" s="4">
        <f t="shared" si="7"/>
        <v>9.961097852369101E-2</v>
      </c>
      <c r="D103" s="4">
        <f t="shared" si="8"/>
        <v>1.0736562669840033E-30</v>
      </c>
    </row>
    <row r="104" spans="2:4" x14ac:dyDescent="0.25">
      <c r="B104" s="71">
        <f t="shared" si="6"/>
        <v>1.9500000000000011</v>
      </c>
      <c r="C104" s="4">
        <f t="shared" si="7"/>
        <v>9.9704407604095449E-2</v>
      </c>
      <c r="D104" s="4">
        <f t="shared" si="8"/>
        <v>1.432623523912918E-30</v>
      </c>
    </row>
    <row r="105" spans="2:4" x14ac:dyDescent="0.25">
      <c r="B105" s="71">
        <f t="shared" si="6"/>
        <v>2.0000000000000009</v>
      </c>
      <c r="C105" s="4">
        <f t="shared" si="7"/>
        <v>9.9735570100358176E-2</v>
      </c>
      <c r="D105" s="4">
        <f t="shared" si="8"/>
        <v>1.9104138528968008E-30</v>
      </c>
    </row>
    <row r="106" spans="2:4" x14ac:dyDescent="0.25">
      <c r="B106" s="71">
        <f t="shared" si="6"/>
        <v>2.0500000000000007</v>
      </c>
      <c r="C106" s="4">
        <f t="shared" si="7"/>
        <v>9.9704407604095449E-2</v>
      </c>
      <c r="D106" s="4">
        <f t="shared" si="8"/>
        <v>2.5459589979207811E-30</v>
      </c>
    </row>
    <row r="107" spans="2:4" x14ac:dyDescent="0.25">
      <c r="B107" s="71">
        <f t="shared" si="6"/>
        <v>2.1000000000000005</v>
      </c>
      <c r="C107" s="4">
        <f t="shared" si="7"/>
        <v>9.9610978523690996E-2</v>
      </c>
      <c r="D107" s="4">
        <f t="shared" si="8"/>
        <v>3.3908136098328346E-30</v>
      </c>
    </row>
    <row r="108" spans="2:4" x14ac:dyDescent="0.25">
      <c r="B108" s="71">
        <f t="shared" si="6"/>
        <v>2.1500000000000004</v>
      </c>
      <c r="C108" s="4">
        <f t="shared" si="7"/>
        <v>9.9455457901874281E-2</v>
      </c>
      <c r="D108" s="4">
        <f t="shared" si="8"/>
        <v>4.513204329129616E-30</v>
      </c>
    </row>
    <row r="109" spans="2:4" x14ac:dyDescent="0.25">
      <c r="B109" s="71">
        <f t="shared" si="6"/>
        <v>2.2000000000000002</v>
      </c>
      <c r="C109" s="4">
        <f t="shared" si="7"/>
        <v>9.9238136869252952E-2</v>
      </c>
      <c r="D109" s="4">
        <f t="shared" si="8"/>
        <v>6.0033635000213398E-30</v>
      </c>
    </row>
    <row r="110" spans="2:4" x14ac:dyDescent="0.25">
      <c r="B110" s="71">
        <f t="shared" si="6"/>
        <v>2.25</v>
      </c>
      <c r="C110" s="4">
        <f t="shared" si="7"/>
        <v>9.8959421736187381E-2</v>
      </c>
      <c r="D110" s="4">
        <f t="shared" si="8"/>
        <v>7.9805505115880541E-30</v>
      </c>
    </row>
    <row r="111" spans="2:4" x14ac:dyDescent="0.25">
      <c r="B111" s="71">
        <f t="shared" si="6"/>
        <v>2.2999999999999998</v>
      </c>
      <c r="C111" s="4">
        <f t="shared" si="7"/>
        <v>9.8619832726972237E-2</v>
      </c>
      <c r="D111" s="4">
        <f t="shared" si="8"/>
        <v>1.0602288727467986E-29</v>
      </c>
    </row>
    <row r="112" spans="2:4" x14ac:dyDescent="0.25">
      <c r="B112" s="71">
        <f t="shared" si="6"/>
        <v>2.3499999999999996</v>
      </c>
      <c r="C112" s="4">
        <f t="shared" si="7"/>
        <v>9.8220002361844819E-2</v>
      </c>
      <c r="D112" s="4">
        <f t="shared" si="8"/>
        <v>1.4076509223114322E-29</v>
      </c>
    </row>
    <row r="113" spans="2:4" x14ac:dyDescent="0.25">
      <c r="B113" s="71">
        <f t="shared" si="6"/>
        <v>2.3999999999999995</v>
      </c>
      <c r="C113" s="4">
        <f t="shared" si="7"/>
        <v>9.7760673493863984E-2</v>
      </c>
      <c r="D113" s="4">
        <f t="shared" si="8"/>
        <v>1.8677505689708678E-29</v>
      </c>
    </row>
    <row r="114" spans="2:4" x14ac:dyDescent="0.25">
      <c r="B114" s="71">
        <f t="shared" si="6"/>
        <v>2.4499999999999993</v>
      </c>
      <c r="C114" s="4">
        <f t="shared" si="7"/>
        <v>9.7242697009187376E-2</v>
      </c>
      <c r="D114" s="4">
        <f t="shared" si="8"/>
        <v>2.476688294107127E-29</v>
      </c>
    </row>
    <row r="115" spans="2:4" x14ac:dyDescent="0.25">
      <c r="B115" s="71">
        <f t="shared" si="6"/>
        <v>2.4999999999999991</v>
      </c>
      <c r="C115" s="4">
        <f t="shared" si="7"/>
        <v>9.6667029200712323E-2</v>
      </c>
      <c r="D115" s="4">
        <f t="shared" si="8"/>
        <v>3.2821044015385071E-29</v>
      </c>
    </row>
    <row r="116" spans="2:4" x14ac:dyDescent="0.25">
      <c r="B116" s="71">
        <f t="shared" si="6"/>
        <v>2.5499999999999989</v>
      </c>
      <c r="C116" s="4">
        <f t="shared" si="7"/>
        <v>9.6034728826426205E-2</v>
      </c>
      <c r="D116" s="4">
        <f t="shared" si="8"/>
        <v>4.3467233244117398E-29</v>
      </c>
    </row>
    <row r="117" spans="2:4" x14ac:dyDescent="0.25">
      <c r="B117" s="71">
        <f t="shared" si="6"/>
        <v>2.5999999999999988</v>
      </c>
      <c r="C117" s="4">
        <f t="shared" si="7"/>
        <v>9.5346953865131048E-2</v>
      </c>
      <c r="D117" s="4">
        <f t="shared" si="8"/>
        <v>5.7530767721202659E-29</v>
      </c>
    </row>
    <row r="118" spans="2:4" x14ac:dyDescent="0.25">
      <c r="B118" s="71">
        <f t="shared" si="6"/>
        <v>2.6499999999999986</v>
      </c>
      <c r="C118" s="4">
        <f t="shared" si="7"/>
        <v>9.460495798345489E-2</v>
      </c>
      <c r="D118" s="4">
        <f t="shared" si="8"/>
        <v>7.6096889904433519E-29</v>
      </c>
    </row>
    <row r="119" spans="2:4" x14ac:dyDescent="0.25">
      <c r="B119" s="71">
        <f t="shared" si="6"/>
        <v>2.6999999999999984</v>
      </c>
      <c r="C119" s="4">
        <f t="shared" si="7"/>
        <v>9.3810086729234493E-2</v>
      </c>
      <c r="D119" s="4">
        <f t="shared" si="8"/>
        <v>1.0059171470701731E-28</v>
      </c>
    </row>
    <row r="120" spans="2:4" x14ac:dyDescent="0.25">
      <c r="B120" s="71">
        <f t="shared" si="6"/>
        <v>2.7499999999999982</v>
      </c>
      <c r="C120" s="4">
        <f t="shared" si="7"/>
        <v>9.2963773467442265E-2</v>
      </c>
      <c r="D120" s="4">
        <f t="shared" si="8"/>
        <v>1.3288809665054483E-28</v>
      </c>
    </row>
    <row r="121" spans="2:4" x14ac:dyDescent="0.25">
      <c r="B121" s="71">
        <f t="shared" si="6"/>
        <v>2.799999999999998</v>
      </c>
      <c r="C121" s="4">
        <f t="shared" si="7"/>
        <v>9.2067535075830861E-2</v>
      </c>
      <c r="D121" s="4">
        <f t="shared" si="8"/>
        <v>1.7544399856652897E-28</v>
      </c>
    </row>
    <row r="122" spans="2:4" x14ac:dyDescent="0.25">
      <c r="B122" s="71">
        <f t="shared" si="6"/>
        <v>2.8499999999999979</v>
      </c>
      <c r="C122" s="4">
        <f t="shared" si="7"/>
        <v>9.1122967418376666E-2</v>
      </c>
      <c r="D122" s="4">
        <f t="shared" si="8"/>
        <v>2.3148322194419921E-28</v>
      </c>
    </row>
    <row r="123" spans="2:4" x14ac:dyDescent="0.25">
      <c r="B123" s="71">
        <f t="shared" si="6"/>
        <v>2.8999999999999977</v>
      </c>
      <c r="C123" s="4">
        <f t="shared" si="7"/>
        <v>9.0131740615412029E-2</v>
      </c>
      <c r="D123" s="4">
        <f t="shared" si="8"/>
        <v>3.0523131393191425E-28</v>
      </c>
    </row>
    <row r="124" spans="2:4" x14ac:dyDescent="0.25">
      <c r="B124" s="71">
        <f t="shared" si="6"/>
        <v>2.9499999999999975</v>
      </c>
      <c r="C124" s="4">
        <f t="shared" si="7"/>
        <v>8.9095594130045863E-2</v>
      </c>
      <c r="D124" s="4">
        <f t="shared" si="8"/>
        <v>4.0222329535784524E-28</v>
      </c>
    </row>
    <row r="125" spans="2:4" x14ac:dyDescent="0.25">
      <c r="B125" s="71">
        <f t="shared" si="6"/>
        <v>2.9999999999999973</v>
      </c>
      <c r="C125" s="4">
        <f t="shared" si="7"/>
        <v>8.8016331691074937E-2</v>
      </c>
      <c r="D125" s="4">
        <f t="shared" si="8"/>
        <v>5.2970481337732714E-28</v>
      </c>
    </row>
    <row r="126" spans="2:4" x14ac:dyDescent="0.25">
      <c r="B126" s="71">
        <f t="shared" si="6"/>
        <v>3.0499999999999972</v>
      </c>
      <c r="C126" s="4">
        <f t="shared" si="7"/>
        <v>8.6895816073087093E-2</v>
      </c>
      <c r="D126" s="4">
        <f t="shared" si="8"/>
        <v>6.9715474053556179E-28</v>
      </c>
    </row>
    <row r="127" spans="2:4" x14ac:dyDescent="0.25">
      <c r="B127" s="71">
        <f t="shared" si="6"/>
        <v>3.099999999999997</v>
      </c>
      <c r="C127" s="4">
        <f t="shared" si="7"/>
        <v>8.5735963754846045E-2</v>
      </c>
      <c r="D127" s="4">
        <f t="shared" si="8"/>
        <v>9.1696554275878565E-28</v>
      </c>
    </row>
    <row r="128" spans="2:4" x14ac:dyDescent="0.25">
      <c r="B128" s="71">
        <f t="shared" si="6"/>
        <v>3.1499999999999968</v>
      </c>
      <c r="C128" s="4">
        <f t="shared" si="7"/>
        <v>8.4538739477327929E-2</v>
      </c>
      <c r="D128" s="4">
        <f t="shared" si="8"/>
        <v>1.205328466994048E-27</v>
      </c>
    </row>
    <row r="129" spans="2:4" x14ac:dyDescent="0.25">
      <c r="B129" s="71">
        <f t="shared" si="6"/>
        <v>3.1999999999999966</v>
      </c>
      <c r="C129" s="4">
        <f t="shared" si="7"/>
        <v>8.3306150722950001E-2</v>
      </c>
      <c r="D129" s="4">
        <f t="shared" si="8"/>
        <v>1.5833844554576176E-27</v>
      </c>
    </row>
    <row r="130" spans="2:4" x14ac:dyDescent="0.25">
      <c r="B130" s="71">
        <f t="shared" ref="B130:B193" si="9">B129+$A$65</f>
        <v>3.2499999999999964</v>
      </c>
      <c r="C130" s="4">
        <f t="shared" ref="C130:C193" si="10">_xlfn.NORM.DIST(B130,$C$57,C$58,FALSE)*C$59</f>
        <v>8.2040242137593852E-2</v>
      </c>
      <c r="D130" s="4">
        <f t="shared" ref="D130:D193" si="11">_xlfn.NORM.DIST(B130,$D$57,D$58,FALSE)*D$59</f>
        <v>2.0787195776948475E-27</v>
      </c>
    </row>
    <row r="131" spans="2:4" x14ac:dyDescent="0.25">
      <c r="B131" s="71">
        <f t="shared" si="9"/>
        <v>3.2999999999999963</v>
      </c>
      <c r="C131" s="4">
        <f t="shared" si="10"/>
        <v>8.0743089916978678E-2</v>
      </c>
      <c r="D131" s="4">
        <f t="shared" si="11"/>
        <v>2.7273068392611652E-27</v>
      </c>
    </row>
    <row r="132" spans="2:4" x14ac:dyDescent="0.25">
      <c r="B132" s="71">
        <f t="shared" si="9"/>
        <v>3.3499999999999961</v>
      </c>
      <c r="C132" s="4">
        <f t="shared" si="10"/>
        <v>7.9416796178787163E-2</v>
      </c>
      <c r="D132" s="4">
        <f t="shared" si="11"/>
        <v>3.5760259590054747E-27</v>
      </c>
    </row>
    <row r="133" spans="2:4" x14ac:dyDescent="0.25">
      <c r="B133" s="71">
        <f t="shared" si="9"/>
        <v>3.3999999999999959</v>
      </c>
      <c r="C133" s="4">
        <f t="shared" si="10"/>
        <v>7.8063483341690429E-2</v>
      </c>
      <c r="D133" s="4">
        <f t="shared" si="11"/>
        <v>4.6859310058543912E-27</v>
      </c>
    </row>
    <row r="134" spans="2:4" x14ac:dyDescent="0.25">
      <c r="B134" s="71">
        <f t="shared" si="9"/>
        <v>3.4499999999999957</v>
      </c>
      <c r="C134" s="4">
        <f t="shared" si="10"/>
        <v>7.6685288532060109E-2</v>
      </c>
      <c r="D134" s="4">
        <f t="shared" si="11"/>
        <v>6.1364850850046231E-27</v>
      </c>
    </row>
    <row r="135" spans="2:4" x14ac:dyDescent="0.25">
      <c r="B135" s="71">
        <f t="shared" si="9"/>
        <v>3.4999999999999956</v>
      </c>
      <c r="C135" s="4">
        <f t="shared" si="10"/>
        <v>7.5284358038701232E-2</v>
      </c>
      <c r="D135" s="4">
        <f t="shared" si="11"/>
        <v>8.0310446790534289E-27</v>
      </c>
    </row>
    <row r="136" spans="2:4" x14ac:dyDescent="0.25">
      <c r="B136" s="71">
        <f t="shared" si="9"/>
        <v>3.5499999999999954</v>
      </c>
      <c r="C136" s="4">
        <f t="shared" si="10"/>
        <v>7.3862841835390866E-2</v>
      </c>
      <c r="D136" s="4">
        <f t="shared" si="11"/>
        <v>1.0503957768901613E-26</v>
      </c>
    </row>
    <row r="137" spans="2:4" x14ac:dyDescent="0.25">
      <c r="B137" s="71">
        <f t="shared" si="9"/>
        <v>3.5999999999999952</v>
      </c>
      <c r="C137" s="4">
        <f t="shared" si="10"/>
        <v>7.2422888190370835E-2</v>
      </c>
      <c r="D137" s="4">
        <f t="shared" si="11"/>
        <v>1.3729744579544054E-26</v>
      </c>
    </row>
    <row r="138" spans="2:4" x14ac:dyDescent="0.25">
      <c r="B138" s="71">
        <f t="shared" si="9"/>
        <v>3.649999999999995</v>
      </c>
      <c r="C138" s="4">
        <f t="shared" si="10"/>
        <v>7.0966638381221969E-2</v>
      </c>
      <c r="D138" s="4">
        <f t="shared" si="11"/>
        <v>1.7934964229223342E-26</v>
      </c>
    </row>
    <row r="139" spans="2:4" x14ac:dyDescent="0.25">
      <c r="B139" s="71">
        <f t="shared" si="9"/>
        <v>3.6999999999999948</v>
      </c>
      <c r="C139" s="4">
        <f t="shared" si="10"/>
        <v>6.9496221532749272E-2</v>
      </c>
      <c r="D139" s="4">
        <f t="shared" si="11"/>
        <v>2.3413543020711713E-26</v>
      </c>
    </row>
    <row r="140" spans="2:4" x14ac:dyDescent="0.25">
      <c r="B140" s="71">
        <f t="shared" si="9"/>
        <v>3.7499999999999947</v>
      </c>
      <c r="C140" s="4">
        <f t="shared" si="10"/>
        <v>6.8013749594636033E-2</v>
      </c>
      <c r="D140" s="4">
        <f t="shared" si="11"/>
        <v>3.05465612074588E-26</v>
      </c>
    </row>
    <row r="141" spans="2:4" x14ac:dyDescent="0.25">
      <c r="B141" s="71">
        <f t="shared" si="9"/>
        <v>3.7999999999999945</v>
      </c>
      <c r="C141" s="4">
        <f t="shared" si="10"/>
        <v>6.6521312474688871E-2</v>
      </c>
      <c r="D141" s="4">
        <f t="shared" si="11"/>
        <v>3.9827778317522752E-26</v>
      </c>
    </row>
    <row r="142" spans="2:4" x14ac:dyDescent="0.25">
      <c r="B142" s="71">
        <f t="shared" si="9"/>
        <v>3.8499999999999943</v>
      </c>
      <c r="C142" s="4">
        <f t="shared" si="10"/>
        <v>6.5020973342499094E-2</v>
      </c>
      <c r="D142" s="4">
        <f t="shared" si="11"/>
        <v>5.1896539752546272E-26</v>
      </c>
    </row>
    <row r="143" spans="2:4" x14ac:dyDescent="0.25">
      <c r="B143" s="71">
        <f t="shared" si="9"/>
        <v>3.8999999999999941</v>
      </c>
      <c r="C143" s="4">
        <f t="shared" si="10"/>
        <v>6.3514764117297437E-2</v>
      </c>
      <c r="D143" s="4">
        <f t="shared" si="11"/>
        <v>6.7580171330959231E-26</v>
      </c>
    </row>
    <row r="144" spans="2:4" x14ac:dyDescent="0.25">
      <c r="B144" s="71">
        <f t="shared" si="9"/>
        <v>3.949999999999994</v>
      </c>
      <c r="C144" s="4">
        <f t="shared" si="10"/>
        <v>6.2004681152684461E-2</v>
      </c>
      <c r="D144" s="4">
        <f t="shared" si="11"/>
        <v>8.794856161863057E-26</v>
      </c>
    </row>
    <row r="145" spans="2:4" x14ac:dyDescent="0.25">
      <c r="B145" s="71">
        <f t="shared" si="9"/>
        <v>3.9999999999999938</v>
      </c>
      <c r="C145" s="4">
        <f t="shared" si="10"/>
        <v>6.0492681129786029E-2</v>
      </c>
      <c r="D145" s="4">
        <f t="shared" si="11"/>
        <v>1.1438438976301607E-25</v>
      </c>
    </row>
    <row r="146" spans="2:4" x14ac:dyDescent="0.25">
      <c r="B146" s="71">
        <f t="shared" si="9"/>
        <v>4.0499999999999936</v>
      </c>
      <c r="C146" s="4">
        <f t="shared" si="10"/>
        <v>5.8980677169218329E-2</v>
      </c>
      <c r="D146" s="4">
        <f t="shared" si="11"/>
        <v>1.486734241904265E-25</v>
      </c>
    </row>
    <row r="147" spans="2:4" x14ac:dyDescent="0.25">
      <c r="B147" s="71">
        <f t="shared" si="9"/>
        <v>4.0999999999999934</v>
      </c>
      <c r="C147" s="4">
        <f t="shared" si="10"/>
        <v>5.7470535171058448E-2</v>
      </c>
      <c r="D147" s="4">
        <f t="shared" si="11"/>
        <v>1.931205521628153E-25</v>
      </c>
    </row>
    <row r="148" spans="2:4" x14ac:dyDescent="0.25">
      <c r="B148" s="71">
        <f t="shared" si="9"/>
        <v>4.1499999999999932</v>
      </c>
      <c r="C148" s="4">
        <f t="shared" si="10"/>
        <v>5.596407039081007E-2</v>
      </c>
      <c r="D148" s="4">
        <f t="shared" si="11"/>
        <v>2.5069877441853516E-25</v>
      </c>
    </row>
    <row r="149" spans="2:4" x14ac:dyDescent="0.25">
      <c r="B149" s="71">
        <f t="shared" si="9"/>
        <v>4.1999999999999931</v>
      </c>
      <c r="C149" s="4">
        <f t="shared" si="10"/>
        <v>5.4463044258137847E-2</v>
      </c>
      <c r="D149" s="4">
        <f t="shared" si="11"/>
        <v>3.2524040498096667E-25</v>
      </c>
    </row>
    <row r="150" spans="2:4" x14ac:dyDescent="0.25">
      <c r="B150" s="71">
        <f t="shared" si="9"/>
        <v>4.2499999999999929</v>
      </c>
      <c r="C150" s="4">
        <f t="shared" si="10"/>
        <v>5.2969161443925078E-2</v>
      </c>
      <c r="D150" s="4">
        <f t="shared" si="11"/>
        <v>4.2168227031760436E-25</v>
      </c>
    </row>
    <row r="151" spans="2:4" x14ac:dyDescent="0.25">
      <c r="B151" s="71">
        <f t="shared" si="9"/>
        <v>4.2999999999999927</v>
      </c>
      <c r="C151" s="4">
        <f t="shared" si="10"/>
        <v>5.1484067179993903E-2</v>
      </c>
      <c r="D151" s="4">
        <f t="shared" si="11"/>
        <v>5.4637995200000442E-25</v>
      </c>
    </row>
    <row r="152" spans="2:4" x14ac:dyDescent="0.25">
      <c r="B152" s="71">
        <f t="shared" si="9"/>
        <v>4.3499999999999925</v>
      </c>
      <c r="C152" s="4">
        <f t="shared" si="10"/>
        <v>5.0009344834622153E-2</v>
      </c>
      <c r="D152" s="4">
        <f t="shared" si="11"/>
        <v>7.0751024962479544E-25</v>
      </c>
    </row>
    <row r="153" spans="2:4" x14ac:dyDescent="0.25">
      <c r="B153" s="71">
        <f t="shared" si="9"/>
        <v>4.3999999999999924</v>
      </c>
      <c r="C153" s="4">
        <f t="shared" si="10"/>
        <v>4.854651374580346E-2</v>
      </c>
      <c r="D153" s="4">
        <f t="shared" si="11"/>
        <v>9.1558629213881209E-25</v>
      </c>
    </row>
    <row r="154" spans="2:4" x14ac:dyDescent="0.25">
      <c r="B154" s="71">
        <f t="shared" si="9"/>
        <v>4.4499999999999922</v>
      </c>
      <c r="C154" s="4">
        <f t="shared" si="10"/>
        <v>4.7097027313031808E-2</v>
      </c>
      <c r="D154" s="4">
        <f t="shared" si="11"/>
        <v>1.1841163941884311E-24</v>
      </c>
    </row>
    <row r="155" spans="2:4" x14ac:dyDescent="0.25">
      <c r="B155" s="71">
        <f t="shared" si="9"/>
        <v>4.499999999999992</v>
      </c>
      <c r="C155" s="4">
        <f t="shared" si="10"/>
        <v>4.5662271347255708E-2</v>
      </c>
      <c r="D155" s="4">
        <f t="shared" si="11"/>
        <v>1.530446216311726E-24</v>
      </c>
    </row>
    <row r="156" spans="2:4" x14ac:dyDescent="0.25">
      <c r="B156" s="71">
        <f t="shared" si="9"/>
        <v>4.5499999999999918</v>
      </c>
      <c r="C156" s="4">
        <f t="shared" si="10"/>
        <v>4.4243562677545152E-2</v>
      </c>
      <c r="D156" s="4">
        <f t="shared" si="11"/>
        <v>1.9768345188671312E-24</v>
      </c>
    </row>
    <row r="157" spans="2:4" x14ac:dyDescent="0.25">
      <c r="B157" s="71">
        <f t="shared" si="9"/>
        <v>4.5999999999999917</v>
      </c>
      <c r="C157" s="4">
        <f t="shared" si="10"/>
        <v>4.2842148011952075E-2</v>
      </c>
      <c r="D157" s="4">
        <f t="shared" si="11"/>
        <v>2.5518263985763985E-24</v>
      </c>
    </row>
    <row r="158" spans="2:4" x14ac:dyDescent="0.25">
      <c r="B158" s="71">
        <f t="shared" si="9"/>
        <v>4.6499999999999915</v>
      </c>
      <c r="C158" s="4">
        <f t="shared" si="10"/>
        <v>4.1459203049026415E-2</v>
      </c>
      <c r="D158" s="4">
        <f t="shared" si="11"/>
        <v>3.2920051181345377E-24</v>
      </c>
    </row>
    <row r="159" spans="2:4" x14ac:dyDescent="0.25">
      <c r="B159" s="71">
        <f t="shared" si="9"/>
        <v>4.6999999999999913</v>
      </c>
      <c r="C159" s="4">
        <f t="shared" si="10"/>
        <v>4.0095831835480135E-2</v>
      </c>
      <c r="D159" s="4">
        <f t="shared" si="11"/>
        <v>4.2442254336046326E-24</v>
      </c>
    </row>
    <row r="160" spans="2:4" x14ac:dyDescent="0.25">
      <c r="B160" s="71">
        <f t="shared" si="9"/>
        <v>4.7499999999999911</v>
      </c>
      <c r="C160" s="4">
        <f t="shared" si="10"/>
        <v>3.8753066364573541E-2</v>
      </c>
      <c r="D160" s="4">
        <f t="shared" si="11"/>
        <v>5.4684588865462092E-24</v>
      </c>
    </row>
    <row r="161" spans="2:4" x14ac:dyDescent="0.25">
      <c r="B161" s="71">
        <f t="shared" si="9"/>
        <v>4.7999999999999909</v>
      </c>
      <c r="C161" s="4">
        <f t="shared" si="10"/>
        <v>3.7431866408936448E-2</v>
      </c>
      <c r="D161" s="4">
        <f t="shared" si="11"/>
        <v>7.041416360690205E-24</v>
      </c>
    </row>
    <row r="162" spans="2:4" x14ac:dyDescent="0.25">
      <c r="B162" s="71">
        <f t="shared" si="9"/>
        <v>4.8499999999999908</v>
      </c>
      <c r="C162" s="4">
        <f t="shared" si="10"/>
        <v>3.613311958073346E-2</v>
      </c>
      <c r="D162" s="4">
        <f t="shared" si="11"/>
        <v>9.0611571942424305E-24</v>
      </c>
    </row>
    <row r="163" spans="2:4" x14ac:dyDescent="0.25">
      <c r="B163" s="71">
        <f t="shared" si="9"/>
        <v>4.8999999999999906</v>
      </c>
      <c r="C163" s="4">
        <f t="shared" si="10"/>
        <v>3.4857641611340306E-2</v>
      </c>
      <c r="D163" s="4">
        <f t="shared" si="11"/>
        <v>1.165294965846547E-23</v>
      </c>
    </row>
    <row r="164" spans="2:4" x14ac:dyDescent="0.25">
      <c r="B164" s="71">
        <f t="shared" si="9"/>
        <v>4.9499999999999904</v>
      </c>
      <c r="C164" s="4">
        <f t="shared" si="10"/>
        <v>3.3606176842020004E-2</v>
      </c>
      <c r="D164" s="4">
        <f t="shared" si="11"/>
        <v>1.4976717634125057E-23</v>
      </c>
    </row>
    <row r="165" spans="2:4" x14ac:dyDescent="0.25">
      <c r="B165" s="71">
        <f t="shared" si="9"/>
        <v>4.9999999999999902</v>
      </c>
      <c r="C165" s="4">
        <f t="shared" si="10"/>
        <v>3.2379398916473172E-2</v>
      </c>
      <c r="D165" s="4">
        <f t="shared" si="11"/>
        <v>1.9236496566764957E-23</v>
      </c>
    </row>
    <row r="166" spans="2:4" x14ac:dyDescent="0.25">
      <c r="B166" s="71">
        <f t="shared" si="9"/>
        <v>5.0499999999999901</v>
      </c>
      <c r="C166" s="4">
        <f t="shared" si="10"/>
        <v>3.1177911665589534E-2</v>
      </c>
      <c r="D166" s="4">
        <f t="shared" si="11"/>
        <v>2.4692432928651856E-23</v>
      </c>
    </row>
    <row r="167" spans="2:4" x14ac:dyDescent="0.25">
      <c r="B167" s="71">
        <f t="shared" si="9"/>
        <v>5.0999999999999899</v>
      </c>
      <c r="C167" s="4">
        <f t="shared" si="10"/>
        <v>3.0002250174246632E-2</v>
      </c>
      <c r="D167" s="4">
        <f t="shared" si="11"/>
        <v>3.1676001304554501E-23</v>
      </c>
    </row>
    <row r="168" spans="2:4" x14ac:dyDescent="0.25">
      <c r="B168" s="71">
        <f t="shared" si="9"/>
        <v>5.1499999999999897</v>
      </c>
      <c r="C168" s="4">
        <f t="shared" si="10"/>
        <v>2.8852882019587731E-2</v>
      </c>
      <c r="D168" s="4">
        <f t="shared" si="11"/>
        <v>4.0609289162051711E-23</v>
      </c>
    </row>
    <row r="169" spans="2:4" x14ac:dyDescent="0.25">
      <c r="B169" s="71">
        <f t="shared" si="9"/>
        <v>5.1999999999999895</v>
      </c>
      <c r="C169" s="4">
        <f t="shared" si="10"/>
        <v>2.7730208669864125E-2</v>
      </c>
      <c r="D169" s="4">
        <f t="shared" si="11"/>
        <v>5.2029420505067657E-23</v>
      </c>
    </row>
    <row r="170" spans="2:4" x14ac:dyDescent="0.25">
      <c r="B170" s="71">
        <f t="shared" si="9"/>
        <v>5.2499999999999893</v>
      </c>
      <c r="C170" s="4">
        <f t="shared" si="10"/>
        <v>2.6634567032646501E-2</v>
      </c>
      <c r="D170" s="4">
        <f t="shared" si="11"/>
        <v>6.6619467359703494E-23</v>
      </c>
    </row>
    <row r="171" spans="2:4" x14ac:dyDescent="0.25">
      <c r="B171" s="71">
        <f t="shared" si="9"/>
        <v>5.2999999999999892</v>
      </c>
      <c r="C171" s="4">
        <f t="shared" si="10"/>
        <v>2.5566231140994735E-2</v>
      </c>
      <c r="D171" s="4">
        <f t="shared" si="11"/>
        <v>8.5247546656997428E-23</v>
      </c>
    </row>
    <row r="172" spans="2:4" x14ac:dyDescent="0.25">
      <c r="B172" s="71">
        <f t="shared" si="9"/>
        <v>5.349999999999989</v>
      </c>
      <c r="C172" s="4">
        <f t="shared" si="10"/>
        <v>2.4525413966024683E-2</v>
      </c>
      <c r="D172" s="4">
        <f t="shared" si="11"/>
        <v>1.0901623733735119E-22</v>
      </c>
    </row>
    <row r="173" spans="2:4" x14ac:dyDescent="0.25">
      <c r="B173" s="71">
        <f t="shared" si="9"/>
        <v>5.3999999999999888</v>
      </c>
      <c r="C173" s="4">
        <f t="shared" si="10"/>
        <v>2.3512269344221955E-2</v>
      </c>
      <c r="D173" s="4">
        <f t="shared" si="11"/>
        <v>1.3932500056801034E-22</v>
      </c>
    </row>
    <row r="174" spans="2:4" x14ac:dyDescent="0.25">
      <c r="B174" s="71">
        <f t="shared" si="9"/>
        <v>5.4499999999999886</v>
      </c>
      <c r="C174" s="4">
        <f t="shared" si="10"/>
        <v>2.2526894007824746E-2</v>
      </c>
      <c r="D174" s="4">
        <f t="shared" si="11"/>
        <v>1.7794897244426515E-22</v>
      </c>
    </row>
    <row r="175" spans="2:4" x14ac:dyDescent="0.25">
      <c r="B175" s="71">
        <f t="shared" si="9"/>
        <v>5.4999999999999885</v>
      </c>
      <c r="C175" s="4">
        <f t="shared" si="10"/>
        <v>2.1569329706628101E-2</v>
      </c>
      <c r="D175" s="4">
        <f t="shared" si="11"/>
        <v>2.2713835779940535E-22</v>
      </c>
    </row>
    <row r="176" spans="2:4" x14ac:dyDescent="0.25">
      <c r="B176" s="71">
        <f t="shared" si="9"/>
        <v>5.5499999999999883</v>
      </c>
      <c r="C176" s="4">
        <f t="shared" si="10"/>
        <v>2.0639565409648116E-2</v>
      </c>
      <c r="D176" s="4">
        <f t="shared" si="11"/>
        <v>2.8974372851970434E-22</v>
      </c>
    </row>
    <row r="177" spans="2:4" x14ac:dyDescent="0.25">
      <c r="B177" s="71">
        <f t="shared" si="9"/>
        <v>5.5999999999999881</v>
      </c>
      <c r="C177" s="4">
        <f t="shared" si="10"/>
        <v>1.9737539575223752E-2</v>
      </c>
      <c r="D177" s="4">
        <f t="shared" si="11"/>
        <v>3.6937387317604265E-22</v>
      </c>
    </row>
    <row r="178" spans="2:4" x14ac:dyDescent="0.25">
      <c r="B178" s="71">
        <f t="shared" si="9"/>
        <v>5.6499999999999879</v>
      </c>
      <c r="C178" s="4">
        <f t="shared" si="10"/>
        <v>1.8863142478322763E-2</v>
      </c>
      <c r="D178" s="4">
        <f t="shared" si="11"/>
        <v>4.7059452283104723E-22</v>
      </c>
    </row>
    <row r="179" spans="2:4" x14ac:dyDescent="0.25">
      <c r="B179" s="71">
        <f t="shared" si="9"/>
        <v>5.6999999999999877</v>
      </c>
      <c r="C179" s="4">
        <f t="shared" si="10"/>
        <v>1.8016218584054704E-2</v>
      </c>
      <c r="D179" s="4">
        <f t="shared" si="11"/>
        <v>5.9917837246373741E-22</v>
      </c>
    </row>
    <row r="180" spans="2:4" x14ac:dyDescent="0.25">
      <c r="B180" s="71">
        <f t="shared" si="9"/>
        <v>5.7499999999999876</v>
      </c>
      <c r="C180" s="4">
        <f t="shared" si="10"/>
        <v>1.7196568956673174E-2</v>
      </c>
      <c r="D180" s="4">
        <f t="shared" si="11"/>
        <v>7.6241943015832849E-22</v>
      </c>
    </row>
    <row r="181" spans="2:4" x14ac:dyDescent="0.25">
      <c r="B181" s="71">
        <f t="shared" si="9"/>
        <v>5.7999999999999874</v>
      </c>
      <c r="C181" s="4">
        <f t="shared" si="10"/>
        <v>1.6403953693669347E-2</v>
      </c>
      <c r="D181" s="4">
        <f t="shared" si="11"/>
        <v>9.6952798293667829E-22</v>
      </c>
    </row>
    <row r="182" spans="2:4" x14ac:dyDescent="0.25">
      <c r="B182" s="71">
        <f t="shared" si="9"/>
        <v>5.8499999999999872</v>
      </c>
      <c r="C182" s="4">
        <f t="shared" si="10"/>
        <v>1.5638094374915187E-2</v>
      </c>
      <c r="D182" s="4">
        <f t="shared" si="11"/>
        <v>1.2321265248133807E-21</v>
      </c>
    </row>
    <row r="183" spans="2:4" x14ac:dyDescent="0.25">
      <c r="B183" s="71">
        <f t="shared" si="9"/>
        <v>5.899999999999987</v>
      </c>
      <c r="C183" s="4">
        <f t="shared" si="10"/>
        <v>1.4898676517204204E-2</v>
      </c>
      <c r="D183" s="4">
        <f t="shared" si="11"/>
        <v>1.5648720423149477E-21</v>
      </c>
    </row>
    <row r="184" spans="2:4" x14ac:dyDescent="0.25">
      <c r="B184" s="71">
        <f t="shared" si="9"/>
        <v>5.9499999999999869</v>
      </c>
      <c r="C184" s="4">
        <f t="shared" si="10"/>
        <v>1.418535202495619E-2</v>
      </c>
      <c r="D184" s="4">
        <f t="shared" si="11"/>
        <v>1.9862363340144992E-21</v>
      </c>
    </row>
    <row r="185" spans="2:4" x14ac:dyDescent="0.25">
      <c r="B185" s="71">
        <f t="shared" si="9"/>
        <v>5.9999999999999867</v>
      </c>
      <c r="C185" s="4">
        <f t="shared" si="10"/>
        <v>1.3497741628297194E-2</v>
      </c>
      <c r="D185" s="4">
        <f t="shared" si="11"/>
        <v>2.5194838485748238E-21</v>
      </c>
    </row>
    <row r="186" spans="2:4" x14ac:dyDescent="0.25">
      <c r="B186" s="71">
        <f t="shared" si="9"/>
        <v>6.0499999999999865</v>
      </c>
      <c r="C186" s="4">
        <f t="shared" si="10"/>
        <v>1.2835437300192541E-2</v>
      </c>
      <c r="D186" s="4">
        <f t="shared" si="11"/>
        <v>3.1938962246573871E-21</v>
      </c>
    </row>
    <row r="187" spans="2:4" x14ac:dyDescent="0.25">
      <c r="B187" s="71">
        <f t="shared" si="9"/>
        <v>6.0999999999999863</v>
      </c>
      <c r="C187" s="4">
        <f t="shared" si="10"/>
        <v>1.2198004644795859E-2</v>
      </c>
      <c r="D187" s="4">
        <f t="shared" si="11"/>
        <v>4.046304755407058E-21</v>
      </c>
    </row>
    <row r="188" spans="2:4" x14ac:dyDescent="0.25">
      <c r="B188" s="71">
        <f t="shared" si="9"/>
        <v>6.1499999999999861</v>
      </c>
      <c r="C188" s="4">
        <f t="shared" si="10"/>
        <v>1.1584985249677474E-2</v>
      </c>
      <c r="D188" s="4">
        <f t="shared" si="11"/>
        <v>5.1230069344629328E-21</v>
      </c>
    </row>
    <row r="189" spans="2:4" x14ac:dyDescent="0.25">
      <c r="B189" s="71">
        <f t="shared" si="9"/>
        <v>6.199999999999986</v>
      </c>
      <c r="C189" s="4">
        <f t="shared" si="10"/>
        <v>1.0995898995106961E-2</v>
      </c>
      <c r="D189" s="4">
        <f t="shared" si="11"/>
        <v>6.4821617527505117E-21</v>
      </c>
    </row>
    <row r="190" spans="2:4" x14ac:dyDescent="0.25">
      <c r="B190" s="71">
        <f t="shared" si="9"/>
        <v>6.2499999999999858</v>
      </c>
      <c r="C190" s="4">
        <f t="shared" si="10"/>
        <v>1.0430246314084811E-2</v>
      </c>
      <c r="D190" s="4">
        <f t="shared" si="11"/>
        <v>8.1967813469530697E-21</v>
      </c>
    </row>
    <row r="191" spans="2:4" x14ac:dyDescent="0.25">
      <c r="B191" s="71">
        <f t="shared" si="9"/>
        <v>6.2999999999999856</v>
      </c>
      <c r="C191" s="4">
        <f t="shared" si="10"/>
        <v>9.8875103973427043E-3</v>
      </c>
      <c r="D191" s="4">
        <f t="shared" si="11"/>
        <v>1.0358464986739415E-20</v>
      </c>
    </row>
    <row r="192" spans="2:4" x14ac:dyDescent="0.25">
      <c r="B192" s="71">
        <f t="shared" si="9"/>
        <v>6.3499999999999854</v>
      </c>
      <c r="C192" s="4">
        <f t="shared" si="10"/>
        <v>9.3671593380585966E-3</v>
      </c>
      <c r="D192" s="4">
        <f t="shared" si="11"/>
        <v>1.3082056501428001E-20</v>
      </c>
    </row>
    <row r="193" spans="2:4" x14ac:dyDescent="0.25">
      <c r="B193" s="71">
        <f t="shared" si="9"/>
        <v>6.3999999999999853</v>
      </c>
      <c r="C193" s="4">
        <f t="shared" si="10"/>
        <v>8.8686482115580018E-3</v>
      </c>
      <c r="D193" s="4">
        <f t="shared" si="11"/>
        <v>1.6511449651847097E-20</v>
      </c>
    </row>
    <row r="194" spans="2:4" x14ac:dyDescent="0.25">
      <c r="B194" s="71">
        <f t="shared" ref="B194:B257" si="12">B193+$A$65</f>
        <v>6.4499999999999851</v>
      </c>
      <c r="C194" s="4">
        <f t="shared" ref="C194:C257" si="13">_xlfn.NORM.DIST(B194,$C$57,C$58,FALSE)*C$59</f>
        <v>8.3914210857945273E-3</v>
      </c>
      <c r="D194" s="4">
        <f t="shared" ref="D194:D257" si="14">_xlfn.NORM.DIST(B194,$D$57,D$58,FALSE)*D$59</f>
        <v>2.0826819570096053E-20</v>
      </c>
    </row>
    <row r="195" spans="2:4" x14ac:dyDescent="0.25">
      <c r="B195" s="71">
        <f t="shared" si="12"/>
        <v>6.4999999999999849</v>
      </c>
      <c r="C195" s="4">
        <f t="shared" si="13"/>
        <v>7.934912958916988E-3</v>
      </c>
      <c r="D195" s="4">
        <f t="shared" si="14"/>
        <v>2.6253624574924248E-20</v>
      </c>
    </row>
    <row r="196" spans="2:4" x14ac:dyDescent="0.25">
      <c r="B196" s="71">
        <f t="shared" si="12"/>
        <v>6.5499999999999847</v>
      </c>
      <c r="C196" s="4">
        <f t="shared" si="13"/>
        <v>7.4985516207364536E-3</v>
      </c>
      <c r="D196" s="4">
        <f t="shared" si="14"/>
        <v>3.3073804312380964E-20</v>
      </c>
    </row>
    <row r="197" spans="2:4" x14ac:dyDescent="0.25">
      <c r="B197" s="71">
        <f t="shared" si="12"/>
        <v>6.5999999999999845</v>
      </c>
      <c r="C197" s="4">
        <f t="shared" si="13"/>
        <v>7.0817594354004188E-3</v>
      </c>
      <c r="D197" s="4">
        <f t="shared" si="14"/>
        <v>4.1639700809494674E-20</v>
      </c>
    </row>
    <row r="198" spans="2:4" x14ac:dyDescent="0.25">
      <c r="B198" s="71">
        <f t="shared" si="12"/>
        <v>6.6499999999999844</v>
      </c>
      <c r="C198" s="4">
        <f t="shared" si="13"/>
        <v>6.6839550430621807E-3</v>
      </c>
      <c r="D198" s="4">
        <f t="shared" si="14"/>
        <v>5.239135299604142E-20</v>
      </c>
    </row>
    <row r="199" spans="2:4" x14ac:dyDescent="0.25">
      <c r="B199" s="71">
        <f t="shared" si="12"/>
        <v>6.6999999999999842</v>
      </c>
      <c r="C199" s="4">
        <f t="shared" si="13"/>
        <v>6.3045549787987161E-3</v>
      </c>
      <c r="D199" s="4">
        <f t="shared" si="14"/>
        <v>6.5877967846852477E-20</v>
      </c>
    </row>
    <row r="200" spans="2:4" x14ac:dyDescent="0.25">
      <c r="B200" s="71">
        <f t="shared" si="12"/>
        <v>6.749999999999984</v>
      </c>
      <c r="C200" s="4">
        <f t="shared" si="13"/>
        <v>5.9429752074785644E-3</v>
      </c>
      <c r="D200" s="4">
        <f t="shared" si="14"/>
        <v>8.2784559004714478E-20</v>
      </c>
    </row>
    <row r="201" spans="2:4" x14ac:dyDescent="0.25">
      <c r="B201" s="71">
        <f t="shared" si="12"/>
        <v>6.7999999999999838</v>
      </c>
      <c r="C201" s="4">
        <f t="shared" si="13"/>
        <v>5.5986325737108324E-3</v>
      </c>
      <c r="D201" s="4">
        <f t="shared" si="14"/>
        <v>1.0396497447787015E-19</v>
      </c>
    </row>
    <row r="202" spans="2:4" x14ac:dyDescent="0.25">
      <c r="B202" s="71">
        <f t="shared" si="12"/>
        <v>6.8499999999999837</v>
      </c>
      <c r="C202" s="4">
        <f t="shared" si="13"/>
        <v>5.2709461664161321E-3</v>
      </c>
      <c r="D202" s="4">
        <f t="shared" si="14"/>
        <v>1.3048281842943673E-19</v>
      </c>
    </row>
    <row r="203" spans="2:4" x14ac:dyDescent="0.25">
      <c r="B203" s="71">
        <f t="shared" si="12"/>
        <v>6.8999999999999835</v>
      </c>
      <c r="C203" s="4">
        <f t="shared" si="13"/>
        <v>4.9593385979489315E-3</v>
      </c>
      <c r="D203" s="4">
        <f t="shared" si="14"/>
        <v>1.6366211997553547E-19</v>
      </c>
    </row>
    <row r="204" spans="2:4" x14ac:dyDescent="0.25">
      <c r="B204" s="71">
        <f t="shared" si="12"/>
        <v>6.9499999999999833</v>
      </c>
      <c r="C204" s="4">
        <f t="shared" si="13"/>
        <v>4.6632371980675743E-3</v>
      </c>
      <c r="D204" s="4">
        <f t="shared" si="14"/>
        <v>2.051500286516848E-19</v>
      </c>
    </row>
    <row r="205" spans="2:4" x14ac:dyDescent="0.25">
      <c r="B205" s="71">
        <f t="shared" si="12"/>
        <v>6.9999999999999831</v>
      </c>
      <c r="C205" s="4">
        <f t="shared" si="13"/>
        <v>4.3820751233922288E-3</v>
      </c>
      <c r="D205" s="4">
        <f t="shared" si="14"/>
        <v>2.5699433929170279E-19</v>
      </c>
    </row>
    <row r="206" spans="2:4" x14ac:dyDescent="0.25">
      <c r="B206" s="71">
        <f t="shared" si="12"/>
        <v>7.0499999999999829</v>
      </c>
      <c r="C206" s="4">
        <f t="shared" si="13"/>
        <v>4.1152923833119043E-3</v>
      </c>
      <c r="D206" s="4">
        <f t="shared" si="14"/>
        <v>3.2173928978809775E-19</v>
      </c>
    </row>
    <row r="207" spans="2:4" x14ac:dyDescent="0.25">
      <c r="B207" s="71">
        <f t="shared" si="12"/>
        <v>7.0999999999999828</v>
      </c>
      <c r="C207" s="4">
        <f t="shared" si="13"/>
        <v>3.8623367835988777E-3</v>
      </c>
      <c r="D207" s="4">
        <f t="shared" si="14"/>
        <v>4.0254385947036841E-19</v>
      </c>
    </row>
    <row r="208" spans="2:4" x14ac:dyDescent="0.25">
      <c r="B208" s="71">
        <f t="shared" si="12"/>
        <v>7.1499999999999826</v>
      </c>
      <c r="C208" s="4">
        <f t="shared" si="13"/>
        <v>3.6226647892621932E-3</v>
      </c>
      <c r="D208" s="4">
        <f t="shared" si="14"/>
        <v>5.0332775512700759E-19</v>
      </c>
    </row>
    <row r="209" spans="2:4" x14ac:dyDescent="0.25">
      <c r="B209" s="71">
        <f t="shared" si="12"/>
        <v>7.1999999999999824</v>
      </c>
      <c r="C209" s="4">
        <f t="shared" si="13"/>
        <v>3.3957423084214817E-3</v>
      </c>
      <c r="D209" s="4">
        <f t="shared" si="14"/>
        <v>6.2895144423780197E-19</v>
      </c>
    </row>
    <row r="210" spans="2:4" x14ac:dyDescent="0.25">
      <c r="B210" s="71">
        <f t="shared" si="12"/>
        <v>7.2499999999999822</v>
      </c>
      <c r="C210" s="4">
        <f t="shared" si="13"/>
        <v>3.1810453992079314E-3</v>
      </c>
      <c r="D210" s="4">
        <f t="shared" si="14"/>
        <v>7.8543802716615525E-19</v>
      </c>
    </row>
    <row r="211" spans="2:4" x14ac:dyDescent="0.25">
      <c r="B211" s="71">
        <f t="shared" si="12"/>
        <v>7.2999999999999821</v>
      </c>
      <c r="C211" s="4">
        <f t="shared" si="13"/>
        <v>2.978060901901365E-3</v>
      </c>
      <c r="D211" s="4">
        <f t="shared" si="14"/>
        <v>9.8024648814095908E-19</v>
      </c>
    </row>
    <row r="212" spans="2:4" x14ac:dyDescent="0.25">
      <c r="B212" s="71">
        <f t="shared" si="12"/>
        <v>7.3499999999999819</v>
      </c>
      <c r="C212" s="4">
        <f t="shared" si="13"/>
        <v>2.7862869986912684E-3</v>
      </c>
      <c r="D212" s="4">
        <f t="shared" si="14"/>
        <v>1.2226079969985698E-18</v>
      </c>
    </row>
    <row r="213" spans="2:4" x14ac:dyDescent="0.25">
      <c r="B213" s="71">
        <f t="shared" si="12"/>
        <v>7.3999999999999817</v>
      </c>
      <c r="C213" s="4">
        <f t="shared" si="13"/>
        <v>2.6052337036057134E-3</v>
      </c>
      <c r="D213" s="4">
        <f t="shared" si="14"/>
        <v>1.5239395323904855E-18</v>
      </c>
    </row>
    <row r="214" spans="2:4" x14ac:dyDescent="0.25">
      <c r="B214" s="71">
        <f t="shared" si="12"/>
        <v>7.4499999999999815</v>
      </c>
      <c r="C214" s="4">
        <f t="shared" si="13"/>
        <v>2.4344232852860615E-3</v>
      </c>
      <c r="D214" s="4">
        <f t="shared" si="14"/>
        <v>1.898352262349388E-18</v>
      </c>
    </row>
    <row r="215" spans="2:4" x14ac:dyDescent="0.25">
      <c r="B215" s="71">
        <f t="shared" si="12"/>
        <v>7.4999999999999813</v>
      </c>
      <c r="C215" s="4">
        <f t="shared" si="13"/>
        <v>2.2733906253978222E-3</v>
      </c>
      <c r="D215" s="4">
        <f t="shared" si="14"/>
        <v>2.3632759704755284E-18</v>
      </c>
    </row>
    <row r="216" spans="2:4" x14ac:dyDescent="0.25">
      <c r="B216" s="71">
        <f t="shared" si="12"/>
        <v>7.5499999999999812</v>
      </c>
      <c r="C216" s="4">
        <f t="shared" si="13"/>
        <v>2.1216835155597347E-3</v>
      </c>
      <c r="D216" s="4">
        <f t="shared" si="14"/>
        <v>2.9402255014073847E-18</v>
      </c>
    </row>
    <row r="217" spans="2:4" x14ac:dyDescent="0.25">
      <c r="B217" s="71">
        <f t="shared" si="12"/>
        <v>7.599999999999981</v>
      </c>
      <c r="C217" s="4">
        <f t="shared" si="13"/>
        <v>1.9788628957450437E-3</v>
      </c>
      <c r="D217" s="4">
        <f t="shared" si="14"/>
        <v>3.6557408937513073E-18</v>
      </c>
    </row>
    <row r="218" spans="2:4" x14ac:dyDescent="0.25">
      <c r="B218" s="71">
        <f t="shared" si="12"/>
        <v>7.6499999999999808</v>
      </c>
      <c r="C218" s="4">
        <f t="shared" si="13"/>
        <v>1.844503037161748E-3</v>
      </c>
      <c r="D218" s="4">
        <f t="shared" si="14"/>
        <v>4.5425397846610642E-18</v>
      </c>
    </row>
    <row r="219" spans="2:4" x14ac:dyDescent="0.25">
      <c r="B219" s="71">
        <f t="shared" si="12"/>
        <v>7.6999999999999806</v>
      </c>
      <c r="C219" s="4">
        <f t="shared" si="13"/>
        <v>1.7181916726535401E-3</v>
      </c>
      <c r="D219" s="4">
        <f t="shared" si="14"/>
        <v>5.6409290638011428E-18</v>
      </c>
    </row>
    <row r="220" spans="2:4" x14ac:dyDescent="0.25">
      <c r="B220" s="71">
        <f t="shared" si="12"/>
        <v>7.7499999999999805</v>
      </c>
      <c r="C220" s="4">
        <f t="shared" si="13"/>
        <v>1.5995300776809344E-3</v>
      </c>
      <c r="D220" s="4">
        <f t="shared" si="14"/>
        <v>7.0005329338759809E-18</v>
      </c>
    </row>
    <row r="221" spans="2:4" x14ac:dyDescent="0.25">
      <c r="B221" s="71">
        <f t="shared" si="12"/>
        <v>7.7999999999999803</v>
      </c>
      <c r="C221" s="4">
        <f t="shared" si="13"/>
        <v>1.4881331049440057E-3</v>
      </c>
      <c r="D221" s="4">
        <f t="shared" si="14"/>
        <v>8.6824068714147177E-18</v>
      </c>
    </row>
    <row r="222" spans="2:4" x14ac:dyDescent="0.25">
      <c r="B222" s="71">
        <f t="shared" si="12"/>
        <v>7.8499999999999801</v>
      </c>
      <c r="C222" s="4">
        <f t="shared" si="13"/>
        <v>1.3836291756951649E-3</v>
      </c>
      <c r="D222" s="4">
        <f t="shared" si="14"/>
        <v>1.0761621921448448E-17</v>
      </c>
    </row>
    <row r="223" spans="2:4" x14ac:dyDescent="0.25">
      <c r="B223" s="71">
        <f t="shared" si="12"/>
        <v>7.8999999999999799</v>
      </c>
      <c r="C223" s="4">
        <f t="shared" si="13"/>
        <v>1.2856602307635236E-3</v>
      </c>
      <c r="D223" s="4">
        <f t="shared" si="14"/>
        <v>1.3330421839557481E-17</v>
      </c>
    </row>
    <row r="224" spans="2:4" x14ac:dyDescent="0.25">
      <c r="B224" s="71">
        <f t="shared" si="12"/>
        <v>7.9499999999999797</v>
      </c>
      <c r="C224" s="4">
        <f t="shared" si="13"/>
        <v>1.1938816442729257E-3</v>
      </c>
      <c r="D224" s="4">
        <f t="shared" si="14"/>
        <v>1.6502077458689076E-17</v>
      </c>
    </row>
    <row r="225" spans="2:4" x14ac:dyDescent="0.25">
      <c r="B225" s="71">
        <f t="shared" si="12"/>
        <v>7.9999999999999796</v>
      </c>
      <c r="C225" s="4">
        <f t="shared" si="13"/>
        <v>1.1079621029845355E-3</v>
      </c>
      <c r="D225" s="4">
        <f t="shared" si="14"/>
        <v>2.041558907917199E-17</v>
      </c>
    </row>
    <row r="226" spans="2:4" x14ac:dyDescent="0.25">
      <c r="B226" s="71">
        <f t="shared" si="12"/>
        <v>8.0499999999999794</v>
      </c>
      <c r="C226" s="4">
        <f t="shared" si="13"/>
        <v>1.0275834541331721E-3</v>
      </c>
      <c r="D226" s="4">
        <f t="shared" si="14"/>
        <v>2.5241419585353555E-17</v>
      </c>
    </row>
    <row r="227" spans="2:4" x14ac:dyDescent="0.25">
      <c r="B227" s="71">
        <f t="shared" si="12"/>
        <v>8.0999999999999801</v>
      </c>
      <c r="C227" s="4">
        <f t="shared" si="13"/>
        <v>9.5244052455548047E-4</v>
      </c>
      <c r="D227" s="4">
        <f t="shared" si="14"/>
        <v>3.1188479491765956E-17</v>
      </c>
    </row>
    <row r="228" spans="2:4" x14ac:dyDescent="0.25">
      <c r="B228" s="71">
        <f t="shared" si="12"/>
        <v>8.1499999999999808</v>
      </c>
      <c r="C228" s="4">
        <f t="shared" si="13"/>
        <v>8.8224091382846641E-4</v>
      </c>
      <c r="D228" s="4">
        <f t="shared" si="14"/>
        <v>3.8512631545267848E-17</v>
      </c>
    </row>
    <row r="229" spans="2:4" x14ac:dyDescent="0.25">
      <c r="B229" s="71">
        <f t="shared" si="12"/>
        <v>8.1999999999999815</v>
      </c>
      <c r="C229" s="4">
        <f t="shared" si="13"/>
        <v>8.1670476405000362E-4</v>
      </c>
      <c r="D229" s="4">
        <f t="shared" si="14"/>
        <v>4.7527038447695388E-17</v>
      </c>
    </row>
    <row r="230" spans="2:4" x14ac:dyDescent="0.25">
      <c r="B230" s="71">
        <f t="shared" si="12"/>
        <v>8.2499999999999822</v>
      </c>
      <c r="C230" s="4">
        <f t="shared" si="13"/>
        <v>7.5556450879970996E-4</v>
      </c>
      <c r="D230" s="4">
        <f t="shared" si="14"/>
        <v>5.8614744617603634E-17</v>
      </c>
    </row>
    <row r="231" spans="2:4" x14ac:dyDescent="0.25">
      <c r="B231" s="71">
        <f t="shared" si="12"/>
        <v>8.2999999999999829</v>
      </c>
      <c r="C231" s="4">
        <f t="shared" si="13"/>
        <v>6.9856460371988045E-4</v>
      </c>
      <c r="D231" s="4">
        <f t="shared" si="14"/>
        <v>7.2243963950742266E-17</v>
      </c>
    </row>
    <row r="232" spans="2:4" x14ac:dyDescent="0.25">
      <c r="B232" s="71">
        <f t="shared" si="12"/>
        <v>8.3499999999999837</v>
      </c>
      <c r="C232" s="4">
        <f t="shared" si="13"/>
        <v>6.4546124105307112E-4</v>
      </c>
      <c r="D232" s="4">
        <f t="shared" si="14"/>
        <v>8.8986642977812538E-17</v>
      </c>
    </row>
    <row r="233" spans="2:4" x14ac:dyDescent="0.25">
      <c r="B233" s="71">
        <f t="shared" si="12"/>
        <v>8.3999999999999844</v>
      </c>
      <c r="C233" s="4">
        <f t="shared" si="13"/>
        <v>5.9602205036622538E-4</v>
      </c>
      <c r="D233" s="4">
        <f t="shared" si="14"/>
        <v>1.0954098588772693E-16</v>
      </c>
    </row>
    <row r="234" spans="2:4" x14ac:dyDescent="0.25">
      <c r="B234" s="71">
        <f t="shared" si="12"/>
        <v>8.4499999999999851</v>
      </c>
      <c r="C234" s="4">
        <f t="shared" si="13"/>
        <v>5.50025787581796E-4</v>
      </c>
      <c r="D234" s="4">
        <f t="shared" si="14"/>
        <v>1.3475876843800967E-16</v>
      </c>
    </row>
    <row r="235" spans="2:4" x14ac:dyDescent="0.25">
      <c r="B235" s="71">
        <f t="shared" si="12"/>
        <v>8.4999999999999858</v>
      </c>
      <c r="C235" s="4">
        <f t="shared" si="13"/>
        <v>5.0726201432495374E-4</v>
      </c>
      <c r="D235" s="4">
        <f t="shared" si="14"/>
        <v>1.6567843639920939E-16</v>
      </c>
    </row>
    <row r="236" spans="2:4" x14ac:dyDescent="0.25">
      <c r="B236" s="71">
        <f t="shared" si="12"/>
        <v>8.5499999999999865</v>
      </c>
      <c r="C236" s="4">
        <f t="shared" si="13"/>
        <v>4.6753076948342258E-4</v>
      </c>
      <c r="D236" s="4">
        <f t="shared" si="14"/>
        <v>2.0356518633672037E-16</v>
      </c>
    </row>
    <row r="237" spans="2:4" x14ac:dyDescent="0.25">
      <c r="B237" s="71">
        <f t="shared" si="12"/>
        <v>8.5999999999999872</v>
      </c>
      <c r="C237" s="4">
        <f t="shared" si="13"/>
        <v>4.3064223476342909E-4</v>
      </c>
      <c r="D237" s="4">
        <f t="shared" si="14"/>
        <v>2.4995946871241528E-16</v>
      </c>
    </row>
    <row r="238" spans="2:4" x14ac:dyDescent="0.25">
      <c r="B238" s="71">
        <f t="shared" si="12"/>
        <v>8.6499999999999879</v>
      </c>
      <c r="C238" s="4">
        <f t="shared" si="13"/>
        <v>3.9641639591237192E-4</v>
      </c>
      <c r="D238" s="4">
        <f t="shared" si="14"/>
        <v>3.0673564320198348E-16</v>
      </c>
    </row>
    <row r="239" spans="2:4" x14ac:dyDescent="0.25">
      <c r="B239" s="71">
        <f t="shared" si="12"/>
        <v>8.6999999999999886</v>
      </c>
      <c r="C239" s="4">
        <f t="shared" si="13"/>
        <v>3.6468270116669362E-4</v>
      </c>
      <c r="D239" s="4">
        <f t="shared" si="14"/>
        <v>3.7617286292703071E-16</v>
      </c>
    </row>
    <row r="240" spans="2:4" x14ac:dyDescent="0.25">
      <c r="B240" s="71">
        <f t="shared" si="12"/>
        <v>8.7499999999999893</v>
      </c>
      <c r="C240" s="4">
        <f t="shared" si="13"/>
        <v>3.3527971837260041E-4</v>
      </c>
      <c r="D240" s="4">
        <f t="shared" si="14"/>
        <v>4.6104067885414765E-16</v>
      </c>
    </row>
    <row r="241" spans="2:4" x14ac:dyDescent="0.25">
      <c r="B241" s="71">
        <f t="shared" si="12"/>
        <v>8.7999999999999901</v>
      </c>
      <c r="C241" s="4">
        <f t="shared" si="13"/>
        <v>3.0805479211825992E-4</v>
      </c>
      <c r="D241" s="4">
        <f t="shared" si="14"/>
        <v>5.6470235078855173E-16</v>
      </c>
    </row>
    <row r="242" spans="2:4" x14ac:dyDescent="0.25">
      <c r="B242" s="71">
        <f t="shared" si="12"/>
        <v>8.8499999999999908</v>
      </c>
      <c r="C242" s="4">
        <f t="shared" si="13"/>
        <v>2.8286370210930663E-4</v>
      </c>
      <c r="D242" s="4">
        <f t="shared" si="14"/>
        <v>6.9123944243389826E-16</v>
      </c>
    </row>
    <row r="243" spans="2:4" x14ac:dyDescent="0.25">
      <c r="B243" s="71">
        <f t="shared" si="12"/>
        <v>8.8999999999999915</v>
      </c>
      <c r="C243" s="4">
        <f t="shared" si="13"/>
        <v>2.5957032391535649E-4</v>
      </c>
      <c r="D243" s="4">
        <f t="shared" si="14"/>
        <v>8.4560198294463979E-16</v>
      </c>
    </row>
    <row r="244" spans="2:4" x14ac:dyDescent="0.25">
      <c r="B244" s="71">
        <f t="shared" si="12"/>
        <v>8.9499999999999922</v>
      </c>
      <c r="C244" s="4">
        <f t="shared" si="13"/>
        <v>2.3804629311407075E-4</v>
      </c>
      <c r="D244" s="4">
        <f t="shared" si="14"/>
        <v>1.0337893175995332E-15</v>
      </c>
    </row>
    <row r="245" spans="2:4" x14ac:dyDescent="0.25">
      <c r="B245" s="71">
        <f t="shared" si="12"/>
        <v>8.9999999999999929</v>
      </c>
      <c r="C245" s="4">
        <f t="shared" si="13"/>
        <v>2.1817067376144275E-4</v>
      </c>
      <c r="D245" s="4">
        <f t="shared" si="14"/>
        <v>1.2630677708841873E-15</v>
      </c>
    </row>
    <row r="246" spans="2:4" x14ac:dyDescent="0.25">
      <c r="B246" s="71">
        <f t="shared" si="12"/>
        <v>9.0499999999999936</v>
      </c>
      <c r="C246" s="4">
        <f t="shared" si="13"/>
        <v>1.9982963202269083E-4</v>
      </c>
      <c r="D246" s="4">
        <f t="shared" si="14"/>
        <v>1.5422324361527078E-15</v>
      </c>
    </row>
    <row r="247" spans="2:4" x14ac:dyDescent="0.25">
      <c r="B247" s="71">
        <f t="shared" si="12"/>
        <v>9.0999999999999943</v>
      </c>
      <c r="C247" s="4">
        <f t="shared" si="13"/>
        <v>1.8291611570757951E-4</v>
      </c>
      <c r="D247" s="4">
        <f t="shared" si="14"/>
        <v>1.8819218222577066E-15</v>
      </c>
    </row>
    <row r="248" spans="2:4" x14ac:dyDescent="0.25">
      <c r="B248" s="71">
        <f t="shared" si="12"/>
        <v>9.149999999999995</v>
      </c>
      <c r="C248" s="4">
        <f t="shared" si="13"/>
        <v>1.6732954036741585E-4</v>
      </c>
      <c r="D248" s="4">
        <f t="shared" si="14"/>
        <v>2.2949957704877925E-15</v>
      </c>
    </row>
    <row r="249" spans="2:4" x14ac:dyDescent="0.25">
      <c r="B249" s="71">
        <f t="shared" si="12"/>
        <v>9.1999999999999957</v>
      </c>
      <c r="C249" s="4">
        <f t="shared" si="13"/>
        <v>1.5297548252844422E-4</v>
      </c>
      <c r="D249" s="4">
        <f t="shared" si="14"/>
        <v>2.796989053587914E-15</v>
      </c>
    </row>
    <row r="250" spans="2:4" x14ac:dyDescent="0.25">
      <c r="B250" s="71">
        <f t="shared" si="12"/>
        <v>9.2499999999999964</v>
      </c>
      <c r="C250" s="4">
        <f t="shared" si="13"/>
        <v>1.3976538055804208E-4</v>
      </c>
      <c r="D250" s="4">
        <f t="shared" si="14"/>
        <v>3.4066554399424641E-15</v>
      </c>
    </row>
    <row r="251" spans="2:4" x14ac:dyDescent="0.25">
      <c r="B251" s="71">
        <f t="shared" si="12"/>
        <v>9.2999999999999972</v>
      </c>
      <c r="C251" s="4">
        <f t="shared" si="13"/>
        <v>1.2761624358604708E-4</v>
      </c>
      <c r="D251" s="4">
        <f t="shared" si="14"/>
        <v>4.1466198176557314E-15</v>
      </c>
    </row>
    <row r="252" spans="2:4" x14ac:dyDescent="0.25">
      <c r="B252" s="71">
        <f t="shared" si="12"/>
        <v>9.3499999999999979</v>
      </c>
      <c r="C252" s="4">
        <f t="shared" si="13"/>
        <v>1.1645036883375967E-4</v>
      </c>
      <c r="D252" s="4">
        <f t="shared" si="14"/>
        <v>5.0441593045620753E-15</v>
      </c>
    </row>
    <row r="253" spans="2:4" x14ac:dyDescent="0.25">
      <c r="B253" s="71">
        <f t="shared" si="12"/>
        <v>9.3999999999999986</v>
      </c>
      <c r="C253" s="4">
        <f t="shared" si="13"/>
        <v>1.0619506763768822E-4</v>
      </c>
      <c r="D253" s="4">
        <f t="shared" si="14"/>
        <v>6.1321382142410383E-15</v>
      </c>
    </row>
    <row r="254" spans="2:4" x14ac:dyDescent="0.25">
      <c r="B254" s="71">
        <f t="shared" si="12"/>
        <v>9.4499999999999993</v>
      </c>
      <c r="C254" s="4">
        <f t="shared" si="13"/>
        <v>9.6782400393897422E-5</v>
      </c>
      <c r="D254" s="4">
        <f t="shared" si="14"/>
        <v>7.4501264141226692E-15</v>
      </c>
    </row>
    <row r="255" spans="2:4" x14ac:dyDescent="0.25">
      <c r="B255" s="71">
        <f t="shared" si="12"/>
        <v>9.5</v>
      </c>
      <c r="C255" s="4">
        <f t="shared" si="13"/>
        <v>8.8148920591861352E-5</v>
      </c>
      <c r="D255" s="4">
        <f t="shared" si="14"/>
        <v>9.0457361277812933E-15</v>
      </c>
    </row>
    <row r="256" spans="2:4" x14ac:dyDescent="0.25">
      <c r="B256" s="71">
        <f t="shared" si="12"/>
        <v>9.5500000000000007</v>
      </c>
      <c r="C256" s="4">
        <f t="shared" si="13"/>
        <v>8.0235428053934997E-5</v>
      </c>
      <c r="D256" s="4">
        <f t="shared" si="14"/>
        <v>1.0976218749497862E-14</v>
      </c>
    </row>
    <row r="257" spans="2:4" x14ac:dyDescent="0.25">
      <c r="B257" s="71">
        <f t="shared" si="12"/>
        <v>9.6000000000000014</v>
      </c>
      <c r="C257" s="4">
        <f t="shared" si="13"/>
        <v>7.2986731447864878E-5</v>
      </c>
      <c r="D257" s="4">
        <f t="shared" si="14"/>
        <v>1.3310370930632453E-14</v>
      </c>
    </row>
    <row r="258" spans="2:4" x14ac:dyDescent="0.25">
      <c r="B258" s="71">
        <f t="shared" ref="B258:B321" si="15">B257+$A$65</f>
        <v>9.6500000000000021</v>
      </c>
      <c r="C258" s="4">
        <f t="shared" ref="C258:C321" si="16">_xlfn.NORM.DIST(B258,$C$57,C$58,FALSE)*C$59</f>
        <v>6.6351420095056901E-5</v>
      </c>
      <c r="D258" s="4">
        <f t="shared" ref="D258:D321" si="17">_xlfn.NORM.DIST(B258,$D$57,D$58,FALSE)*D$59</f>
        <v>1.6130808269532948E-14</v>
      </c>
    </row>
    <row r="259" spans="2:4" x14ac:dyDescent="0.25">
      <c r="B259" s="71">
        <f t="shared" si="15"/>
        <v>9.7000000000000028</v>
      </c>
      <c r="C259" s="4">
        <f t="shared" si="16"/>
        <v>6.0281645056498038E-5</v>
      </c>
      <c r="D259" s="4">
        <f t="shared" si="17"/>
        <v>1.9536675629425269E-14</v>
      </c>
    </row>
    <row r="260" spans="2:4" x14ac:dyDescent="0.25">
      <c r="B260" s="71">
        <f t="shared" si="15"/>
        <v>9.7500000000000036</v>
      </c>
      <c r="C260" s="4">
        <f t="shared" si="16"/>
        <v>5.4732909441152632E-5</v>
      </c>
      <c r="D260" s="4">
        <f t="shared" si="17"/>
        <v>2.3646875701966643E-14</v>
      </c>
    </row>
    <row r="261" spans="2:4" x14ac:dyDescent="0.25">
      <c r="B261" s="71">
        <f t="shared" si="15"/>
        <v>9.8000000000000043</v>
      </c>
      <c r="C261" s="4">
        <f t="shared" si="16"/>
        <v>4.9663867848192732E-5</v>
      </c>
      <c r="D261" s="4">
        <f t="shared" si="17"/>
        <v>2.8603912254503834E-14</v>
      </c>
    </row>
    <row r="262" spans="2:4" x14ac:dyDescent="0.25">
      <c r="B262" s="71">
        <f t="shared" si="15"/>
        <v>9.850000000000005</v>
      </c>
      <c r="C262" s="4">
        <f t="shared" si="16"/>
        <v>4.5036134824421722E-5</v>
      </c>
      <c r="D262" s="4">
        <f t="shared" si="17"/>
        <v>3.4578461927252638E-14</v>
      </c>
    </row>
    <row r="263" spans="2:4" x14ac:dyDescent="0.25">
      <c r="B263" s="71">
        <f t="shared" si="15"/>
        <v>9.9000000000000057</v>
      </c>
      <c r="C263" s="4">
        <f t="shared" si="16"/>
        <v>4.081410219156007E-5</v>
      </c>
      <c r="D263" s="4">
        <f t="shared" si="17"/>
        <v>4.1774808925960274E-14</v>
      </c>
    </row>
    <row r="264" spans="2:4" x14ac:dyDescent="0.25">
      <c r="B264" s="71">
        <f t="shared" si="15"/>
        <v>9.9500000000000064</v>
      </c>
      <c r="C264" s="4">
        <f t="shared" si="16"/>
        <v>3.696476507451794E-5</v>
      </c>
      <c r="D264" s="4">
        <f t="shared" si="17"/>
        <v>5.0437301002059783E-14</v>
      </c>
    </row>
    <row r="265" spans="2:4" x14ac:dyDescent="0.25">
      <c r="B265" s="71">
        <f t="shared" si="15"/>
        <v>10.000000000000007</v>
      </c>
      <c r="C265" s="4">
        <f t="shared" si="16"/>
        <v>3.3457556441220868E-5</v>
      </c>
      <c r="D265" s="4">
        <f t="shared" si="17"/>
        <v>6.0858013325726982E-14</v>
      </c>
    </row>
    <row r="266" spans="2:4" x14ac:dyDescent="0.25">
      <c r="B266" s="71">
        <f t="shared" si="15"/>
        <v>10.050000000000008</v>
      </c>
      <c r="C266" s="4">
        <f t="shared" si="16"/>
        <v>3.0264189946810671E-5</v>
      </c>
      <c r="D266" s="4">
        <f t="shared" si="17"/>
        <v>7.3385839934511249E-14</v>
      </c>
    </row>
    <row r="267" spans="2:4" x14ac:dyDescent="0.25">
      <c r="B267" s="71">
        <f t="shared" si="15"/>
        <v>10.100000000000009</v>
      </c>
      <c r="C267" s="4">
        <f t="shared" si="16"/>
        <v>2.7358510859949651E-5</v>
      </c>
      <c r="D267" s="4">
        <f t="shared" si="17"/>
        <v>8.8437271190250158E-14</v>
      </c>
    </row>
    <row r="268" spans="2:4" x14ac:dyDescent="0.25">
      <c r="B268" s="71">
        <f t="shared" si="15"/>
        <v>10.150000000000009</v>
      </c>
      <c r="C268" s="4">
        <f t="shared" si="16"/>
        <v>2.4716354836341813E-5</v>
      </c>
      <c r="D268" s="4">
        <f t="shared" si="17"/>
        <v>1.0650916103799576E-13</v>
      </c>
    </row>
    <row r="269" spans="2:4" x14ac:dyDescent="0.25">
      <c r="B269" s="71">
        <f t="shared" si="15"/>
        <v>10.20000000000001</v>
      </c>
      <c r="C269" s="4">
        <f t="shared" si="16"/>
        <v>2.2315414294282754E-5</v>
      </c>
      <c r="D269" s="4">
        <f t="shared" si="17"/>
        <v>1.281938409199216E-13</v>
      </c>
    </row>
    <row r="270" spans="2:4" x14ac:dyDescent="0.25">
      <c r="B270" s="71">
        <f t="shared" si="15"/>
        <v>10.250000000000011</v>
      </c>
      <c r="C270" s="4">
        <f t="shared" si="16"/>
        <v>2.0135112138898105E-5</v>
      </c>
      <c r="D270" s="4">
        <f t="shared" si="17"/>
        <v>1.5419699921345746E-13</v>
      </c>
    </row>
    <row r="271" spans="2:4" x14ac:dyDescent="0.25">
      <c r="B271" s="71">
        <f t="shared" si="15"/>
        <v>10.300000000000011</v>
      </c>
      <c r="C271" s="4">
        <f t="shared" si="16"/>
        <v>1.8156482575562695E-5</v>
      </c>
      <c r="D271" s="4">
        <f t="shared" si="17"/>
        <v>1.8535881749261628E-13</v>
      </c>
    </row>
    <row r="272" spans="2:4" x14ac:dyDescent="0.25">
      <c r="B272" s="71">
        <f t="shared" si="15"/>
        <v>10.350000000000012</v>
      </c>
      <c r="C272" s="4">
        <f t="shared" si="16"/>
        <v>1.6362058748654789E-5</v>
      </c>
      <c r="D272" s="4">
        <f t="shared" si="17"/>
        <v>2.2267893943800086E-13</v>
      </c>
    </row>
    <row r="273" spans="2:4" x14ac:dyDescent="0.25">
      <c r="B273" s="71">
        <f t="shared" si="15"/>
        <v>10.400000000000013</v>
      </c>
      <c r="C273" s="4">
        <f t="shared" si="16"/>
        <v>1.4735766939134571E-5</v>
      </c>
      <c r="D273" s="4">
        <f t="shared" si="17"/>
        <v>2.6734594678855331E-13</v>
      </c>
    </row>
    <row r="274" spans="2:4" x14ac:dyDescent="0.25">
      <c r="B274" s="71">
        <f t="shared" si="15"/>
        <v>10.450000000000014</v>
      </c>
      <c r="C274" s="4">
        <f t="shared" si="16"/>
        <v>1.3262827053298188E-5</v>
      </c>
      <c r="D274" s="4">
        <f t="shared" si="17"/>
        <v>3.2077213158025204E-13</v>
      </c>
    </row>
    <row r="275" spans="2:4" x14ac:dyDescent="0.25">
      <c r="B275" s="71">
        <f t="shared" si="15"/>
        <v>10.500000000000014</v>
      </c>
      <c r="C275" s="4">
        <f t="shared" si="16"/>
        <v>1.1929659135300875E-5</v>
      </c>
      <c r="D275" s="4">
        <f t="shared" si="17"/>
        <v>3.8463448764033794E-13</v>
      </c>
    </row>
    <row r="276" spans="2:4" x14ac:dyDescent="0.25">
      <c r="B276" s="71">
        <f t="shared" si="15"/>
        <v>10.550000000000015</v>
      </c>
      <c r="C276" s="4">
        <f t="shared" si="16"/>
        <v>1.0723795637531459E-5</v>
      </c>
      <c r="D276" s="4">
        <f t="shared" si="17"/>
        <v>4.6092299988009318E-13</v>
      </c>
    </row>
    <row r="277" spans="2:4" x14ac:dyDescent="0.25">
      <c r="B277" s="71">
        <f t="shared" si="15"/>
        <v>10.600000000000016</v>
      </c>
      <c r="C277" s="4">
        <f t="shared" si="16"/>
        <v>9.6337991855214571E-6</v>
      </c>
      <c r="D277" s="4">
        <f t="shared" si="17"/>
        <v>5.5199749078431621E-13</v>
      </c>
    </row>
    <row r="278" spans="2:4" x14ac:dyDescent="0.25">
      <c r="B278" s="71">
        <f t="shared" si="15"/>
        <v>10.650000000000016</v>
      </c>
      <c r="C278" s="4">
        <f t="shared" si="16"/>
        <v>8.6491855776619272E-6</v>
      </c>
      <c r="D278" s="4">
        <f t="shared" si="17"/>
        <v>6.6065449357553404E-13</v>
      </c>
    </row>
    <row r="279" spans="2:4" x14ac:dyDescent="0.25">
      <c r="B279" s="71">
        <f t="shared" si="15"/>
        <v>10.700000000000017</v>
      </c>
      <c r="C279" s="4">
        <f t="shared" si="16"/>
        <v>7.7603517644622634E-6</v>
      </c>
      <c r="D279" s="4">
        <f t="shared" si="17"/>
        <v>7.9020586536731371E-13</v>
      </c>
    </row>
    <row r="280" spans="2:4" x14ac:dyDescent="0.25">
      <c r="B280" s="71">
        <f t="shared" si="15"/>
        <v>10.750000000000018</v>
      </c>
      <c r="C280" s="4">
        <f t="shared" si="16"/>
        <v>6.9585085573034478E-6</v>
      </c>
      <c r="D280" s="4">
        <f t="shared" si="17"/>
        <v>9.4457113641608294E-13</v>
      </c>
    </row>
    <row r="281" spans="2:4" x14ac:dyDescent="0.25">
      <c r="B281" s="71">
        <f t="shared" si="15"/>
        <v>10.800000000000018</v>
      </c>
      <c r="C281" s="4">
        <f t="shared" si="16"/>
        <v>6.2356178225131399E-6</v>
      </c>
      <c r="D281" s="4">
        <f t="shared" si="17"/>
        <v>1.1283859193014517E-12</v>
      </c>
    </row>
    <row r="282" spans="2:4" x14ac:dyDescent="0.25">
      <c r="B282" s="71">
        <f t="shared" si="15"/>
        <v>10.850000000000019</v>
      </c>
      <c r="C282" s="4">
        <f t="shared" si="16"/>
        <v>5.5843339230187605E-6</v>
      </c>
      <c r="D282" s="4">
        <f t="shared" si="17"/>
        <v>1.3471290813492956E-12</v>
      </c>
    </row>
    <row r="283" spans="2:4" x14ac:dyDescent="0.25">
      <c r="B283" s="71">
        <f t="shared" si="15"/>
        <v>10.90000000000002</v>
      </c>
      <c r="C283" s="4">
        <f t="shared" si="16"/>
        <v>4.9979491767304843E-6</v>
      </c>
      <c r="D283" s="4">
        <f t="shared" si="17"/>
        <v>1.6072718226885257E-12</v>
      </c>
    </row>
    <row r="284" spans="2:4" x14ac:dyDescent="0.25">
      <c r="B284" s="71">
        <f t="shared" si="15"/>
        <v>10.950000000000021</v>
      </c>
      <c r="C284" s="4">
        <f t="shared" si="16"/>
        <v>4.4703431080808776E-6</v>
      </c>
      <c r="D284" s="4">
        <f t="shared" si="17"/>
        <v>1.9164523099581072E-12</v>
      </c>
    </row>
    <row r="285" spans="2:4" x14ac:dyDescent="0.25">
      <c r="B285" s="71">
        <f t="shared" si="15"/>
        <v>11.000000000000021</v>
      </c>
      <c r="C285" s="4">
        <f t="shared" si="16"/>
        <v>3.9959352767261772E-6</v>
      </c>
      <c r="D285" s="4">
        <f t="shared" si="17"/>
        <v>2.2836801020913189E-12</v>
      </c>
    </row>
    <row r="286" spans="2:4" x14ac:dyDescent="0.25">
      <c r="B286" s="71">
        <f t="shared" si="15"/>
        <v>11.050000000000022</v>
      </c>
      <c r="C286" s="4">
        <f t="shared" si="16"/>
        <v>3.5696414752217722E-6</v>
      </c>
      <c r="D286" s="4">
        <f t="shared" si="17"/>
        <v>2.7195752814881496E-12</v>
      </c>
    </row>
    <row r="287" spans="2:4" x14ac:dyDescent="0.25">
      <c r="B287" s="71">
        <f t="shared" si="15"/>
        <v>11.100000000000023</v>
      </c>
      <c r="C287" s="4">
        <f t="shared" si="16"/>
        <v>3.1868330954581961E-6</v>
      </c>
      <c r="D287" s="4">
        <f t="shared" si="17"/>
        <v>3.2366479845800585E-12</v>
      </c>
    </row>
    <row r="288" spans="2:4" x14ac:dyDescent="0.25">
      <c r="B288" s="71">
        <f t="shared" si="15"/>
        <v>11.150000000000023</v>
      </c>
      <c r="C288" s="4">
        <f t="shared" si="16"/>
        <v>2.8432994717215173E-6</v>
      </c>
      <c r="D288" s="4">
        <f t="shared" si="17"/>
        <v>3.849624925493275E-12</v>
      </c>
    </row>
    <row r="289" spans="2:4" x14ac:dyDescent="0.25">
      <c r="B289" s="71">
        <f t="shared" si="15"/>
        <v>11.200000000000024</v>
      </c>
      <c r="C289" s="4">
        <f t="shared" si="16"/>
        <v>2.535213016371546E-6</v>
      </c>
      <c r="D289" s="4">
        <f t="shared" si="17"/>
        <v>4.5758305425393194E-12</v>
      </c>
    </row>
    <row r="290" spans="2:4" x14ac:dyDescent="0.25">
      <c r="B290" s="71">
        <f t="shared" si="15"/>
        <v>11.250000000000025</v>
      </c>
      <c r="C290" s="4">
        <f t="shared" si="16"/>
        <v>2.259096972262715E-6</v>
      </c>
      <c r="D290" s="4">
        <f t="shared" si="17"/>
        <v>5.4356315892978803E-12</v>
      </c>
    </row>
    <row r="291" spans="2:4" x14ac:dyDescent="0.25">
      <c r="B291" s="71">
        <f t="shared" si="15"/>
        <v>11.300000000000026</v>
      </c>
      <c r="C291" s="4">
        <f t="shared" si="16"/>
        <v>2.0117956141229556E-6</v>
      </c>
      <c r="D291" s="4">
        <f t="shared" si="17"/>
        <v>6.4529553624972322E-12</v>
      </c>
    </row>
    <row r="292" spans="2:4" x14ac:dyDescent="0.25">
      <c r="B292" s="71">
        <f t="shared" si="15"/>
        <v>11.350000000000026</v>
      </c>
      <c r="C292" s="4">
        <f t="shared" si="16"/>
        <v>1.7904467391168707E-6</v>
      </c>
      <c r="D292" s="4">
        <f t="shared" si="17"/>
        <v>7.6558933331664693E-12</v>
      </c>
    </row>
    <row r="293" spans="2:4" x14ac:dyDescent="0.25">
      <c r="B293" s="71">
        <f t="shared" si="15"/>
        <v>11.400000000000027</v>
      </c>
      <c r="C293" s="4">
        <f t="shared" si="16"/>
        <v>1.5924562947166734E-6</v>
      </c>
      <c r="D293" s="4">
        <f t="shared" si="17"/>
        <v>9.0774037544803073E-12</v>
      </c>
    </row>
    <row r="294" spans="2:4" x14ac:dyDescent="0.25">
      <c r="B294" s="71">
        <f t="shared" si="15"/>
        <v>11.450000000000028</v>
      </c>
      <c r="C294" s="4">
        <f t="shared" si="16"/>
        <v>1.4154749997586191E-6</v>
      </c>
      <c r="D294" s="4">
        <f t="shared" si="17"/>
        <v>1.0756128892044149E-11</v>
      </c>
    </row>
    <row r="295" spans="2:4" x14ac:dyDescent="0.25">
      <c r="B295" s="71">
        <f t="shared" si="15"/>
        <v>11.500000000000028</v>
      </c>
      <c r="C295" s="4">
        <f t="shared" si="16"/>
        <v>1.2573768221480266E-6</v>
      </c>
      <c r="D295" s="4">
        <f t="shared" si="17"/>
        <v>1.2737344897110432E-11</v>
      </c>
    </row>
    <row r="296" spans="2:4" x14ac:dyDescent="0.25">
      <c r="B296" s="71">
        <f t="shared" si="15"/>
        <v>11.550000000000029</v>
      </c>
      <c r="C296" s="4">
        <f t="shared" si="16"/>
        <v>1.1162391840710824E-6</v>
      </c>
      <c r="D296" s="4">
        <f t="shared" si="17"/>
        <v>1.5074065062280025E-11</v>
      </c>
    </row>
    <row r="297" spans="2:4" x14ac:dyDescent="0.25">
      <c r="B297" s="71">
        <f t="shared" si="15"/>
        <v>11.60000000000003</v>
      </c>
      <c r="C297" s="4">
        <f t="shared" si="16"/>
        <v>9.9032477275794662E-7</v>
      </c>
      <c r="D297" s="4">
        <f t="shared" si="17"/>
        <v>1.7828320309991962E-11</v>
      </c>
    </row>
    <row r="298" spans="2:4" x14ac:dyDescent="0.25">
      <c r="B298" s="71">
        <f t="shared" si="15"/>
        <v>11.650000000000031</v>
      </c>
      <c r="C298" s="4">
        <f t="shared" si="16"/>
        <v>8.7806484180450708E-7</v>
      </c>
      <c r="D298" s="4">
        <f t="shared" si="17"/>
        <v>2.1072644320032362E-11</v>
      </c>
    </row>
    <row r="299" spans="2:4" x14ac:dyDescent="0.25">
      <c r="B299" s="71">
        <f t="shared" si="15"/>
        <v>11.700000000000031</v>
      </c>
      <c r="C299" s="4">
        <f t="shared" si="16"/>
        <v>7.7804389478717672E-7</v>
      </c>
      <c r="D299" s="4">
        <f t="shared" si="17"/>
        <v>2.4891794763745168E-11</v>
      </c>
    </row>
    <row r="300" spans="2:4" x14ac:dyDescent="0.25">
      <c r="B300" s="71">
        <f t="shared" si="15"/>
        <v>11.750000000000032</v>
      </c>
      <c r="C300" s="4">
        <f t="shared" si="16"/>
        <v>6.8898564938743914E-7</v>
      </c>
      <c r="D300" s="4">
        <f t="shared" si="17"/>
        <v>2.9384746747628882E-11</v>
      </c>
    </row>
    <row r="301" spans="2:4" x14ac:dyDescent="0.25">
      <c r="B301" s="71">
        <f t="shared" si="15"/>
        <v>11.800000000000033</v>
      </c>
      <c r="C301" s="4">
        <f t="shared" si="16"/>
        <v>6.097401864732904E-7</v>
      </c>
      <c r="D301" s="4">
        <f t="shared" si="17"/>
        <v>3.4666999854136627E-11</v>
      </c>
    </row>
    <row r="302" spans="2:4" x14ac:dyDescent="0.25">
      <c r="B302" s="71">
        <f t="shared" si="15"/>
        <v>11.850000000000033</v>
      </c>
      <c r="C302" s="4">
        <f t="shared" si="16"/>
        <v>5.3927219455906684E-7</v>
      </c>
      <c r="D302" s="4">
        <f t="shared" si="17"/>
        <v>4.0873246188931571E-11</v>
      </c>
    </row>
    <row r="303" spans="2:4" x14ac:dyDescent="0.25">
      <c r="B303" s="71">
        <f t="shared" si="15"/>
        <v>11.900000000000034</v>
      </c>
      <c r="C303" s="4">
        <f t="shared" si="16"/>
        <v>4.7665022578066293E-7</v>
      </c>
      <c r="D303" s="4">
        <f t="shared" si="17"/>
        <v>4.8160453698403113E-11</v>
      </c>
    </row>
    <row r="304" spans="2:4" x14ac:dyDescent="0.25">
      <c r="B304" s="71">
        <f t="shared" si="15"/>
        <v>11.950000000000035</v>
      </c>
      <c r="C304" s="4">
        <f t="shared" si="16"/>
        <v>4.2103688497918225E-7</v>
      </c>
      <c r="D304" s="4">
        <f t="shared" si="17"/>
        <v>5.6711426817626489E-11</v>
      </c>
    </row>
    <row r="305" spans="2:4" x14ac:dyDescent="0.25">
      <c r="B305" s="71">
        <f t="shared" si="15"/>
        <v>12.000000000000036</v>
      </c>
      <c r="C305" s="4">
        <f t="shared" si="16"/>
        <v>3.7167987868354144E-7</v>
      </c>
      <c r="D305" s="4">
        <f t="shared" si="17"/>
        <v>6.6738915369078885E-11</v>
      </c>
    </row>
    <row r="306" spans="2:4" x14ac:dyDescent="0.25">
      <c r="B306" s="71">
        <f t="shared" si="15"/>
        <v>12.050000000000036</v>
      </c>
      <c r="C306" s="4">
        <f t="shared" si="16"/>
        <v>3.2790385572373097E-7</v>
      </c>
      <c r="D306" s="4">
        <f t="shared" si="17"/>
        <v>7.8490352692890207E-11</v>
      </c>
    </row>
    <row r="307" spans="2:4" x14ac:dyDescent="0.25">
      <c r="B307" s="71">
        <f t="shared" si="15"/>
        <v>12.100000000000037</v>
      </c>
      <c r="C307" s="4">
        <f t="shared" si="16"/>
        <v>2.8910297589491859E-7</v>
      </c>
      <c r="D307" s="4">
        <f t="shared" si="17"/>
        <v>9.2253315403124997E-11</v>
      </c>
    </row>
    <row r="308" spans="2:4" x14ac:dyDescent="0.25">
      <c r="B308" s="71">
        <f t="shared" si="15"/>
        <v>12.150000000000038</v>
      </c>
      <c r="C308" s="4">
        <f t="shared" si="16"/>
        <v>2.5473414753294499E-7</v>
      </c>
      <c r="D308" s="4">
        <f t="shared" si="17"/>
        <v>1.0836181010251647E-10</v>
      </c>
    </row>
    <row r="309" spans="2:4" x14ac:dyDescent="0.25">
      <c r="B309" s="71">
        <f t="shared" si="15"/>
        <v>12.200000000000038</v>
      </c>
      <c r="C309" s="4">
        <f t="shared" si="16"/>
        <v>2.2431087905956112E-7</v>
      </c>
      <c r="D309" s="4">
        <f t="shared" si="17"/>
        <v>1.2720350704114226E-10</v>
      </c>
    </row>
    <row r="310" spans="2:4" x14ac:dyDescent="0.25">
      <c r="B310" s="71">
        <f t="shared" si="15"/>
        <v>12.250000000000039</v>
      </c>
      <c r="C310" s="4">
        <f t="shared" si="16"/>
        <v>1.9739769351733022E-7</v>
      </c>
      <c r="D310" s="4">
        <f t="shared" si="17"/>
        <v>1.4922805728587661E-10</v>
      </c>
    </row>
    <row r="311" spans="2:4" x14ac:dyDescent="0.25">
      <c r="B311" s="71">
        <f t="shared" si="15"/>
        <v>12.30000000000004</v>
      </c>
      <c r="C311" s="4">
        <f t="shared" si="16"/>
        <v>1.736050588463662E-7</v>
      </c>
      <c r="D311" s="4">
        <f t="shared" si="17"/>
        <v>1.7495664871451684E-10</v>
      </c>
    </row>
    <row r="312" spans="2:4" x14ac:dyDescent="0.25">
      <c r="B312" s="71">
        <f t="shared" si="15"/>
        <v>12.350000000000041</v>
      </c>
      <c r="C312" s="4">
        <f t="shared" si="16"/>
        <v>1.525847901655556E-7</v>
      </c>
      <c r="D312" s="4">
        <f t="shared" si="17"/>
        <v>2.0499297732575966E-10</v>
      </c>
    </row>
    <row r="313" spans="2:4" x14ac:dyDescent="0.25">
      <c r="B313" s="71">
        <f t="shared" si="15"/>
        <v>12.400000000000041</v>
      </c>
      <c r="C313" s="4">
        <f t="shared" si="16"/>
        <v>1.3402588361742607E-7</v>
      </c>
      <c r="D313" s="4">
        <f t="shared" si="17"/>
        <v>2.4003583425783906E-10</v>
      </c>
    </row>
    <row r="314" spans="2:4" x14ac:dyDescent="0.25">
      <c r="B314" s="71">
        <f t="shared" si="15"/>
        <v>12.450000000000042</v>
      </c>
      <c r="C314" s="4">
        <f t="shared" si="16"/>
        <v>1.1765074442665544E-7</v>
      </c>
      <c r="D314" s="4">
        <f t="shared" si="17"/>
        <v>2.8089353586142003E-10</v>
      </c>
    </row>
    <row r="315" spans="2:4" x14ac:dyDescent="0.25">
      <c r="B315" s="71">
        <f t="shared" si="15"/>
        <v>12.500000000000043</v>
      </c>
      <c r="C315" s="4">
        <f t="shared" si="16"/>
        <v>1.0321177471573841E-7</v>
      </c>
      <c r="D315" s="4">
        <f t="shared" si="17"/>
        <v>3.2850045453901536E-10</v>
      </c>
    </row>
    <row r="316" spans="2:4" x14ac:dyDescent="0.25">
      <c r="B316" s="71">
        <f t="shared" si="15"/>
        <v>12.550000000000043</v>
      </c>
      <c r="C316" s="4">
        <f t="shared" si="16"/>
        <v>9.0488289326128939E-8</v>
      </c>
      <c r="D316" s="4">
        <f t="shared" si="17"/>
        <v>3.8393594224585273E-10</v>
      </c>
    </row>
    <row r="317" spans="2:4" x14ac:dyDescent="0.25">
      <c r="B317" s="71">
        <f t="shared" si="15"/>
        <v>12.600000000000044</v>
      </c>
      <c r="C317" s="4">
        <f t="shared" si="16"/>
        <v>7.9283730417890094E-8</v>
      </c>
      <c r="D317" s="4">
        <f t="shared" si="17"/>
        <v>4.48445976991082E-10</v>
      </c>
    </row>
    <row r="318" spans="2:4" x14ac:dyDescent="0.25">
      <c r="B318" s="71">
        <f t="shared" si="15"/>
        <v>12.650000000000045</v>
      </c>
      <c r="C318" s="4">
        <f t="shared" si="16"/>
        <v>6.9423153974142548E-8</v>
      </c>
      <c r="D318" s="4">
        <f t="shared" si="17"/>
        <v>5.2346790587599805E-10</v>
      </c>
    </row>
    <row r="319" spans="2:4" x14ac:dyDescent="0.25">
      <c r="B319" s="71">
        <f t="shared" si="15"/>
        <v>12.700000000000045</v>
      </c>
      <c r="C319" s="4">
        <f t="shared" si="16"/>
        <v>6.0750963527005831E-8</v>
      </c>
      <c r="D319" s="4">
        <f t="shared" si="17"/>
        <v>6.1065870670184786E-10</v>
      </c>
    </row>
    <row r="320" spans="2:4" x14ac:dyDescent="0.25">
      <c r="B320" s="71">
        <f t="shared" si="15"/>
        <v>12.750000000000046</v>
      </c>
      <c r="C320" s="4">
        <f t="shared" si="16"/>
        <v>5.3128868457750597E-8</v>
      </c>
      <c r="D320" s="4">
        <f t="shared" si="17"/>
        <v>7.1192724457430646E-10</v>
      </c>
    </row>
    <row r="321" spans="2:4" x14ac:dyDescent="0.25">
      <c r="B321" s="71">
        <f t="shared" si="15"/>
        <v>12.800000000000047</v>
      </c>
      <c r="C321" s="4">
        <f t="shared" si="16"/>
        <v>4.6434046113876465E-8</v>
      </c>
      <c r="D321" s="4">
        <f t="shared" si="17"/>
        <v>8.294710608869412E-10</v>
      </c>
    </row>
    <row r="322" spans="2:4" x14ac:dyDescent="0.25">
      <c r="B322" s="71">
        <f t="shared" ref="B322:B385" si="18">B321+$A$65</f>
        <v>12.850000000000048</v>
      </c>
      <c r="C322" s="4">
        <f t="shared" ref="C322:C385" si="19">_xlfn.NORM.DIST(B322,$C$57,C$58,FALSE)*C$59</f>
        <v>4.0557488737966643E-8</v>
      </c>
      <c r="D322" s="4">
        <f t="shared" ref="D322:D385" si="20">_xlfn.NORM.DIST(B322,$D$57,D$58,FALSE)*D$59</f>
        <v>9.6581830031083458E-10</v>
      </c>
    </row>
    <row r="323" spans="2:4" x14ac:dyDescent="0.25">
      <c r="B323" s="71">
        <f t="shared" si="18"/>
        <v>12.900000000000048</v>
      </c>
      <c r="C323" s="4">
        <f t="shared" si="19"/>
        <v>3.5402517825398287E-8</v>
      </c>
      <c r="D323" s="4">
        <f t="shared" si="20"/>
        <v>1.123875457753475E-9</v>
      </c>
    </row>
    <row r="324" spans="2:4" x14ac:dyDescent="0.25">
      <c r="B324" s="71">
        <f t="shared" si="18"/>
        <v>12.950000000000049</v>
      </c>
      <c r="C324" s="4">
        <f t="shared" si="19"/>
        <v>3.0883450028034094E-8</v>
      </c>
      <c r="D324" s="4">
        <f t="shared" si="20"/>
        <v>1.3069817125576823E-9</v>
      </c>
    </row>
    <row r="325" spans="2:4" x14ac:dyDescent="0.25">
      <c r="B325" s="71">
        <f t="shared" si="18"/>
        <v>13.00000000000005</v>
      </c>
      <c r="C325" s="4">
        <f t="shared" si="19"/>
        <v>2.6924400106354511E-8</v>
      </c>
      <c r="D325" s="4">
        <f t="shared" si="20"/>
        <v>1.5189707124560482E-9</v>
      </c>
    </row>
    <row r="326" spans="2:4" x14ac:dyDescent="0.25">
      <c r="B326" s="71">
        <f t="shared" si="18"/>
        <v>13.05000000000005</v>
      </c>
      <c r="C326" s="4">
        <f t="shared" si="19"/>
        <v>2.3458207710305932E-8</v>
      </c>
      <c r="D326" s="4">
        <f t="shared" si="20"/>
        <v>1.7642407760367629E-9</v>
      </c>
    </row>
    <row r="327" spans="2:4" x14ac:dyDescent="0.25">
      <c r="B327" s="71">
        <f t="shared" si="18"/>
        <v>13.100000000000051</v>
      </c>
      <c r="C327" s="4">
        <f t="shared" si="19"/>
        <v>2.0425475946355146E-8</v>
      </c>
      <c r="D327" s="4">
        <f t="shared" si="20"/>
        <v>2.0478346008701061E-9</v>
      </c>
    </row>
    <row r="328" spans="2:4" x14ac:dyDescent="0.25">
      <c r="B328" s="71">
        <f t="shared" si="18"/>
        <v>13.150000000000052</v>
      </c>
      <c r="C328" s="4">
        <f t="shared" si="19"/>
        <v>1.7773710771479803E-8</v>
      </c>
      <c r="D328" s="4">
        <f t="shared" si="20"/>
        <v>2.3755296962568674E-9</v>
      </c>
    </row>
    <row r="329" spans="2:4" x14ac:dyDescent="0.25">
      <c r="B329" s="71">
        <f t="shared" si="18"/>
        <v>13.200000000000053</v>
      </c>
      <c r="C329" s="4">
        <f t="shared" si="19"/>
        <v>1.5456551250412334E-8</v>
      </c>
      <c r="D329" s="4">
        <f t="shared" si="20"/>
        <v>2.7539409061710076E-9</v>
      </c>
    </row>
    <row r="330" spans="2:4" x14ac:dyDescent="0.25">
      <c r="B330" s="71">
        <f t="shared" si="18"/>
        <v>13.250000000000053</v>
      </c>
      <c r="C330" s="4">
        <f t="shared" si="19"/>
        <v>1.3433081626420872E-8</v>
      </c>
      <c r="D330" s="4">
        <f t="shared" si="20"/>
        <v>3.1906365508846091E-9</v>
      </c>
    </row>
    <row r="331" spans="2:4" x14ac:dyDescent="0.25">
      <c r="B331" s="71">
        <f t="shared" si="18"/>
        <v>13.300000000000054</v>
      </c>
      <c r="C331" s="4">
        <f t="shared" si="19"/>
        <v>1.1667216993983878E-8</v>
      </c>
      <c r="D331" s="4">
        <f t="shared" si="20"/>
        <v>3.6942698966205911E-9</v>
      </c>
    </row>
    <row r="332" spans="2:4" x14ac:dyDescent="0.25">
      <c r="B332" s="71">
        <f t="shared" si="18"/>
        <v>13.350000000000055</v>
      </c>
      <c r="C332" s="4">
        <f t="shared" si="19"/>
        <v>1.0127155129324087E-8</v>
      </c>
      <c r="D332" s="4">
        <f t="shared" si="20"/>
        <v>4.2747278631594678E-9</v>
      </c>
    </row>
    <row r="333" spans="2:4" x14ac:dyDescent="0.25">
      <c r="B333" s="71">
        <f t="shared" si="18"/>
        <v>13.400000000000055</v>
      </c>
      <c r="C333" s="4">
        <f t="shared" si="19"/>
        <v>8.784887737049712E-9</v>
      </c>
      <c r="D333" s="4">
        <f t="shared" si="20"/>
        <v>4.9432991015619579E-9</v>
      </c>
    </row>
    <row r="334" spans="2:4" x14ac:dyDescent="0.25">
      <c r="B334" s="71">
        <f t="shared" si="18"/>
        <v>13.450000000000056</v>
      </c>
      <c r="C334" s="4">
        <f t="shared" si="19"/>
        <v>7.6157650129553091E-9</v>
      </c>
      <c r="D334" s="4">
        <f t="shared" si="20"/>
        <v>5.7128638201547164E-9</v>
      </c>
    </row>
    <row r="335" spans="2:4" x14ac:dyDescent="0.25">
      <c r="B335" s="71">
        <f t="shared" si="18"/>
        <v>13.500000000000057</v>
      </c>
      <c r="C335" s="4">
        <f t="shared" si="19"/>
        <v>6.5981080089253552E-9</v>
      </c>
      <c r="D335" s="4">
        <f t="shared" si="20"/>
        <v>6.5981080089275125E-9</v>
      </c>
    </row>
    <row r="336" spans="2:4" x14ac:dyDescent="0.25">
      <c r="B336" s="71">
        <f t="shared" si="18"/>
        <v>13.550000000000058</v>
      </c>
      <c r="C336" s="4">
        <f t="shared" si="19"/>
        <v>5.7128638201528288E-9</v>
      </c>
      <c r="D336" s="4">
        <f t="shared" si="20"/>
        <v>7.6157650129577989E-9</v>
      </c>
    </row>
    <row r="337" spans="2:4" x14ac:dyDescent="0.25">
      <c r="B337" s="71">
        <f t="shared" si="18"/>
        <v>13.600000000000058</v>
      </c>
      <c r="C337" s="4">
        <f t="shared" si="19"/>
        <v>4.9432991015603424E-9</v>
      </c>
      <c r="D337" s="4">
        <f t="shared" si="20"/>
        <v>8.7848877370525509E-9</v>
      </c>
    </row>
    <row r="338" spans="2:4" x14ac:dyDescent="0.25">
      <c r="B338" s="71">
        <f t="shared" si="18"/>
        <v>13.650000000000059</v>
      </c>
      <c r="C338" s="4">
        <f t="shared" si="19"/>
        <v>4.274727863158055E-9</v>
      </c>
      <c r="D338" s="4">
        <f t="shared" si="20"/>
        <v>1.0127155129327361E-8</v>
      </c>
    </row>
    <row r="339" spans="2:4" x14ac:dyDescent="0.25">
      <c r="B339" s="71">
        <f t="shared" si="18"/>
        <v>13.70000000000006</v>
      </c>
      <c r="C339" s="4">
        <f t="shared" si="19"/>
        <v>3.6942698966193574E-9</v>
      </c>
      <c r="D339" s="4">
        <f t="shared" si="20"/>
        <v>1.166721699398763E-8</v>
      </c>
    </row>
    <row r="340" spans="2:4" x14ac:dyDescent="0.25">
      <c r="B340" s="71">
        <f t="shared" si="18"/>
        <v>13.75000000000006</v>
      </c>
      <c r="C340" s="4">
        <f t="shared" si="19"/>
        <v>3.1906365508835437E-9</v>
      </c>
      <c r="D340" s="4">
        <f t="shared" si="20"/>
        <v>1.3433081626425166E-8</v>
      </c>
    </row>
    <row r="341" spans="2:4" x14ac:dyDescent="0.25">
      <c r="B341" s="71">
        <f t="shared" si="18"/>
        <v>13.800000000000061</v>
      </c>
      <c r="C341" s="4">
        <f t="shared" si="19"/>
        <v>2.7539409061700878E-9</v>
      </c>
      <c r="D341" s="4">
        <f t="shared" si="20"/>
        <v>1.5456551250417251E-8</v>
      </c>
    </row>
    <row r="342" spans="2:4" x14ac:dyDescent="0.25">
      <c r="B342" s="71">
        <f t="shared" si="18"/>
        <v>13.850000000000062</v>
      </c>
      <c r="C342" s="4">
        <f t="shared" si="19"/>
        <v>2.3755296962560659E-9</v>
      </c>
      <c r="D342" s="4">
        <f t="shared" si="20"/>
        <v>1.7773710771485425E-8</v>
      </c>
    </row>
    <row r="343" spans="2:4" x14ac:dyDescent="0.25">
      <c r="B343" s="71">
        <f t="shared" si="18"/>
        <v>13.900000000000063</v>
      </c>
      <c r="C343" s="4">
        <f t="shared" si="19"/>
        <v>2.047834600869415E-9</v>
      </c>
      <c r="D343" s="4">
        <f t="shared" si="20"/>
        <v>2.0425475946361568E-8</v>
      </c>
    </row>
    <row r="344" spans="2:4" x14ac:dyDescent="0.25">
      <c r="B344" s="71">
        <f t="shared" si="18"/>
        <v>13.950000000000063</v>
      </c>
      <c r="C344" s="4">
        <f t="shared" si="19"/>
        <v>1.7642407760361613E-9</v>
      </c>
      <c r="D344" s="4">
        <f t="shared" si="20"/>
        <v>2.3458207710313307E-8</v>
      </c>
    </row>
    <row r="345" spans="2:4" x14ac:dyDescent="0.25">
      <c r="B345" s="71">
        <f t="shared" si="18"/>
        <v>14.000000000000064</v>
      </c>
      <c r="C345" s="4">
        <f t="shared" si="19"/>
        <v>1.5189707124555301E-9</v>
      </c>
      <c r="D345" s="4">
        <f t="shared" si="20"/>
        <v>2.6924400106362925E-8</v>
      </c>
    </row>
    <row r="346" spans="2:4" x14ac:dyDescent="0.25">
      <c r="B346" s="71">
        <f t="shared" si="18"/>
        <v>14.050000000000065</v>
      </c>
      <c r="C346" s="4">
        <f t="shared" si="19"/>
        <v>1.3069817125572364E-9</v>
      </c>
      <c r="D346" s="4">
        <f t="shared" si="20"/>
        <v>3.088345002804369E-8</v>
      </c>
    </row>
    <row r="347" spans="2:4" x14ac:dyDescent="0.25">
      <c r="B347" s="71">
        <f t="shared" si="18"/>
        <v>14.100000000000065</v>
      </c>
      <c r="C347" s="4">
        <f t="shared" si="19"/>
        <v>1.1238754577530876E-9</v>
      </c>
      <c r="D347" s="4">
        <f t="shared" si="20"/>
        <v>3.5402517825409233E-8</v>
      </c>
    </row>
    <row r="348" spans="2:4" x14ac:dyDescent="0.25">
      <c r="B348" s="71">
        <f t="shared" si="18"/>
        <v>14.150000000000066</v>
      </c>
      <c r="C348" s="4">
        <f t="shared" si="19"/>
        <v>9.6581830031050164E-10</v>
      </c>
      <c r="D348" s="4">
        <f t="shared" si="20"/>
        <v>4.0557488737979176E-8</v>
      </c>
    </row>
    <row r="349" spans="2:4" x14ac:dyDescent="0.25">
      <c r="B349" s="71">
        <f t="shared" si="18"/>
        <v>14.200000000000067</v>
      </c>
      <c r="C349" s="4">
        <f t="shared" si="19"/>
        <v>8.2947106088665521E-10</v>
      </c>
      <c r="D349" s="4">
        <f t="shared" si="20"/>
        <v>4.6434046113890739E-8</v>
      </c>
    </row>
    <row r="350" spans="2:4" x14ac:dyDescent="0.25">
      <c r="B350" s="71">
        <f t="shared" si="18"/>
        <v>14.250000000000068</v>
      </c>
      <c r="C350" s="4">
        <f t="shared" si="19"/>
        <v>7.1192724457405862E-10</v>
      </c>
      <c r="D350" s="4">
        <f t="shared" si="20"/>
        <v>5.312886845776683E-8</v>
      </c>
    </row>
    <row r="351" spans="2:4" x14ac:dyDescent="0.25">
      <c r="B351" s="71">
        <f t="shared" si="18"/>
        <v>14.300000000000068</v>
      </c>
      <c r="C351" s="4">
        <f t="shared" si="19"/>
        <v>6.1065870670163528E-10</v>
      </c>
      <c r="D351" s="4">
        <f t="shared" si="20"/>
        <v>6.0750963527024281E-8</v>
      </c>
    </row>
    <row r="352" spans="2:4" x14ac:dyDescent="0.25">
      <c r="B352" s="71">
        <f t="shared" si="18"/>
        <v>14.350000000000069</v>
      </c>
      <c r="C352" s="4">
        <f t="shared" si="19"/>
        <v>5.23467905875814E-10</v>
      </c>
      <c r="D352" s="4">
        <f t="shared" si="20"/>
        <v>6.9423153974163512E-8</v>
      </c>
    </row>
    <row r="353" spans="2:4" x14ac:dyDescent="0.25">
      <c r="B353" s="71">
        <f t="shared" si="18"/>
        <v>14.40000000000007</v>
      </c>
      <c r="C353" s="4">
        <f t="shared" si="19"/>
        <v>4.4844597699092431E-10</v>
      </c>
      <c r="D353" s="4">
        <f t="shared" si="20"/>
        <v>7.9283730417914036E-8</v>
      </c>
    </row>
    <row r="354" spans="2:4" x14ac:dyDescent="0.25">
      <c r="B354" s="71">
        <f t="shared" si="18"/>
        <v>14.45000000000007</v>
      </c>
      <c r="C354" s="4">
        <f t="shared" si="19"/>
        <v>3.8393594224571624E-10</v>
      </c>
      <c r="D354" s="4">
        <f t="shared" si="20"/>
        <v>9.0488289326156097E-8</v>
      </c>
    </row>
    <row r="355" spans="2:4" x14ac:dyDescent="0.25">
      <c r="B355" s="71">
        <f t="shared" si="18"/>
        <v>14.500000000000071</v>
      </c>
      <c r="C355" s="4">
        <f t="shared" si="19"/>
        <v>3.2850045453889862E-10</v>
      </c>
      <c r="D355" s="4">
        <f t="shared" si="20"/>
        <v>1.0321177471576922E-7</v>
      </c>
    </row>
    <row r="356" spans="2:4" x14ac:dyDescent="0.25">
      <c r="B356" s="71">
        <f t="shared" si="18"/>
        <v>14.550000000000072</v>
      </c>
      <c r="C356" s="4">
        <f t="shared" si="19"/>
        <v>2.8089353586132025E-10</v>
      </c>
      <c r="D356" s="4">
        <f t="shared" si="20"/>
        <v>1.1765074442669054E-7</v>
      </c>
    </row>
    <row r="357" spans="2:4" x14ac:dyDescent="0.25">
      <c r="B357" s="71">
        <f t="shared" si="18"/>
        <v>14.600000000000072</v>
      </c>
      <c r="C357" s="4">
        <f t="shared" si="19"/>
        <v>2.4003583425775293E-10</v>
      </c>
      <c r="D357" s="4">
        <f t="shared" si="20"/>
        <v>1.3402588361746583E-7</v>
      </c>
    </row>
    <row r="358" spans="2:4" x14ac:dyDescent="0.25">
      <c r="B358" s="71">
        <f t="shared" si="18"/>
        <v>14.650000000000073</v>
      </c>
      <c r="C358" s="4">
        <f t="shared" si="19"/>
        <v>2.0499297732568612E-10</v>
      </c>
      <c r="D358" s="4">
        <f t="shared" si="20"/>
        <v>1.5258479016560057E-7</v>
      </c>
    </row>
    <row r="359" spans="2:4" x14ac:dyDescent="0.25">
      <c r="B359" s="71">
        <f t="shared" si="18"/>
        <v>14.700000000000074</v>
      </c>
      <c r="C359" s="4">
        <f t="shared" si="19"/>
        <v>1.7495664871445405E-10</v>
      </c>
      <c r="D359" s="4">
        <f t="shared" si="20"/>
        <v>1.7360505884641678E-7</v>
      </c>
    </row>
    <row r="360" spans="2:4" x14ac:dyDescent="0.25">
      <c r="B360" s="71">
        <f t="shared" si="18"/>
        <v>14.750000000000075</v>
      </c>
      <c r="C360" s="4">
        <f t="shared" si="19"/>
        <v>1.4922805728582254E-10</v>
      </c>
      <c r="D360" s="4">
        <f t="shared" si="20"/>
        <v>1.9739769351738771E-7</v>
      </c>
    </row>
    <row r="361" spans="2:4" x14ac:dyDescent="0.25">
      <c r="B361" s="71">
        <f t="shared" si="18"/>
        <v>14.800000000000075</v>
      </c>
      <c r="C361" s="4">
        <f t="shared" si="19"/>
        <v>1.272035070410957E-10</v>
      </c>
      <c r="D361" s="4">
        <f t="shared" si="20"/>
        <v>2.2431087905962647E-7</v>
      </c>
    </row>
    <row r="362" spans="2:4" x14ac:dyDescent="0.25">
      <c r="B362" s="71">
        <f t="shared" si="18"/>
        <v>14.850000000000076</v>
      </c>
      <c r="C362" s="4">
        <f t="shared" si="19"/>
        <v>1.0836181010247683E-10</v>
      </c>
      <c r="D362" s="4">
        <f t="shared" si="20"/>
        <v>2.5473414753301831E-7</v>
      </c>
    </row>
    <row r="363" spans="2:4" x14ac:dyDescent="0.25">
      <c r="B363" s="71">
        <f t="shared" si="18"/>
        <v>14.900000000000077</v>
      </c>
      <c r="C363" s="4">
        <f t="shared" si="19"/>
        <v>9.2253315403091238E-11</v>
      </c>
      <c r="D363" s="4">
        <f t="shared" si="20"/>
        <v>2.8910297589500128E-7</v>
      </c>
    </row>
    <row r="364" spans="2:4" x14ac:dyDescent="0.25">
      <c r="B364" s="71">
        <f t="shared" si="18"/>
        <v>14.950000000000077</v>
      </c>
      <c r="C364" s="4">
        <f t="shared" si="19"/>
        <v>7.8490352692861204E-11</v>
      </c>
      <c r="D364" s="4">
        <f t="shared" si="20"/>
        <v>3.2790385572382414E-7</v>
      </c>
    </row>
    <row r="365" spans="2:4" x14ac:dyDescent="0.25">
      <c r="B365" s="71">
        <f t="shared" si="18"/>
        <v>15.000000000000078</v>
      </c>
      <c r="C365" s="4">
        <f t="shared" si="19"/>
        <v>6.6738915369054224E-11</v>
      </c>
      <c r="D365" s="4">
        <f t="shared" si="20"/>
        <v>3.7167987868364711E-7</v>
      </c>
    </row>
    <row r="366" spans="2:4" x14ac:dyDescent="0.25">
      <c r="B366" s="71">
        <f t="shared" si="18"/>
        <v>15.050000000000079</v>
      </c>
      <c r="C366" s="4">
        <f t="shared" si="19"/>
        <v>5.6711426817605531E-11</v>
      </c>
      <c r="D366" s="4">
        <f t="shared" si="20"/>
        <v>4.210368849793011E-7</v>
      </c>
    </row>
    <row r="367" spans="2:4" x14ac:dyDescent="0.25">
      <c r="B367" s="71">
        <f t="shared" si="18"/>
        <v>15.10000000000008</v>
      </c>
      <c r="C367" s="4">
        <f t="shared" si="19"/>
        <v>4.8160453698385155E-11</v>
      </c>
      <c r="D367" s="4">
        <f t="shared" si="20"/>
        <v>4.7665022578079671E-7</v>
      </c>
    </row>
    <row r="368" spans="2:4" x14ac:dyDescent="0.25">
      <c r="B368" s="71">
        <f t="shared" si="18"/>
        <v>15.15000000000008</v>
      </c>
      <c r="C368" s="4">
        <f t="shared" si="19"/>
        <v>4.0873246188916319E-11</v>
      </c>
      <c r="D368" s="4">
        <f t="shared" si="20"/>
        <v>5.3927219455921814E-7</v>
      </c>
    </row>
    <row r="369" spans="2:4" x14ac:dyDescent="0.25">
      <c r="B369" s="71">
        <f t="shared" si="18"/>
        <v>15.200000000000081</v>
      </c>
      <c r="C369" s="4">
        <f t="shared" si="19"/>
        <v>3.4666999854123566E-11</v>
      </c>
      <c r="D369" s="4">
        <f t="shared" si="20"/>
        <v>6.0974018647346044E-7</v>
      </c>
    </row>
    <row r="370" spans="2:4" x14ac:dyDescent="0.25">
      <c r="B370" s="71">
        <f t="shared" si="18"/>
        <v>15.250000000000082</v>
      </c>
      <c r="C370" s="4">
        <f t="shared" si="19"/>
        <v>2.9384746747617812E-11</v>
      </c>
      <c r="D370" s="4">
        <f t="shared" si="20"/>
        <v>6.8898564938763015E-7</v>
      </c>
    </row>
    <row r="371" spans="2:4" x14ac:dyDescent="0.25">
      <c r="B371" s="71">
        <f t="shared" si="18"/>
        <v>15.300000000000082</v>
      </c>
      <c r="C371" s="4">
        <f t="shared" si="19"/>
        <v>2.48917947637357E-11</v>
      </c>
      <c r="D371" s="4">
        <f t="shared" si="20"/>
        <v>7.7804389478739091E-7</v>
      </c>
    </row>
    <row r="372" spans="2:4" x14ac:dyDescent="0.25">
      <c r="B372" s="71">
        <f t="shared" si="18"/>
        <v>15.350000000000083</v>
      </c>
      <c r="C372" s="4">
        <f t="shared" si="19"/>
        <v>2.1072644320024352E-11</v>
      </c>
      <c r="D372" s="4">
        <f t="shared" si="20"/>
        <v>8.7806484180474732E-7</v>
      </c>
    </row>
    <row r="373" spans="2:4" x14ac:dyDescent="0.25">
      <c r="B373" s="71">
        <f t="shared" si="18"/>
        <v>15.400000000000084</v>
      </c>
      <c r="C373" s="4">
        <f t="shared" si="19"/>
        <v>1.7828320309985186E-11</v>
      </c>
      <c r="D373" s="4">
        <f t="shared" si="20"/>
        <v>9.9032477275821767E-7</v>
      </c>
    </row>
    <row r="374" spans="2:4" x14ac:dyDescent="0.25">
      <c r="B374" s="71">
        <f t="shared" si="18"/>
        <v>15.450000000000085</v>
      </c>
      <c r="C374" s="4">
        <f t="shared" si="19"/>
        <v>1.5074065062274241E-11</v>
      </c>
      <c r="D374" s="4">
        <f t="shared" si="20"/>
        <v>1.1162391840713859E-6</v>
      </c>
    </row>
    <row r="375" spans="2:4" x14ac:dyDescent="0.25">
      <c r="B375" s="71">
        <f t="shared" si="18"/>
        <v>15.500000000000085</v>
      </c>
      <c r="C375" s="4">
        <f t="shared" si="19"/>
        <v>1.2737344897105543E-11</v>
      </c>
      <c r="D375" s="4">
        <f t="shared" si="20"/>
        <v>1.2573768221483661E-6</v>
      </c>
    </row>
    <row r="376" spans="2:4" x14ac:dyDescent="0.25">
      <c r="B376" s="71">
        <f t="shared" si="18"/>
        <v>15.550000000000086</v>
      </c>
      <c r="C376" s="4">
        <f t="shared" si="19"/>
        <v>1.0756128892040021E-11</v>
      </c>
      <c r="D376" s="4">
        <f t="shared" si="20"/>
        <v>1.4154749997589988E-6</v>
      </c>
    </row>
    <row r="377" spans="2:4" x14ac:dyDescent="0.25">
      <c r="B377" s="71">
        <f t="shared" si="18"/>
        <v>15.600000000000087</v>
      </c>
      <c r="C377" s="4">
        <f t="shared" si="19"/>
        <v>9.0774037544767918E-12</v>
      </c>
      <c r="D377" s="4">
        <f t="shared" si="20"/>
        <v>1.5924562947171005E-6</v>
      </c>
    </row>
    <row r="378" spans="2:4" x14ac:dyDescent="0.25">
      <c r="B378" s="71">
        <f t="shared" si="18"/>
        <v>15.650000000000087</v>
      </c>
      <c r="C378" s="4">
        <f t="shared" si="19"/>
        <v>7.6558933331635047E-12</v>
      </c>
      <c r="D378" s="4">
        <f t="shared" si="20"/>
        <v>1.7904467391173474E-6</v>
      </c>
    </row>
    <row r="379" spans="2:4" x14ac:dyDescent="0.25">
      <c r="B379" s="71">
        <f t="shared" si="18"/>
        <v>15.700000000000088</v>
      </c>
      <c r="C379" s="4">
        <f t="shared" si="19"/>
        <v>6.4529553624947111E-12</v>
      </c>
      <c r="D379" s="4">
        <f t="shared" si="20"/>
        <v>2.011795614123488E-6</v>
      </c>
    </row>
    <row r="380" spans="2:4" x14ac:dyDescent="0.25">
      <c r="B380" s="71">
        <f t="shared" si="18"/>
        <v>15.750000000000089</v>
      </c>
      <c r="C380" s="4">
        <f t="shared" si="19"/>
        <v>5.4356315892957566E-12</v>
      </c>
      <c r="D380" s="4">
        <f t="shared" si="20"/>
        <v>2.2590969722633088E-6</v>
      </c>
    </row>
    <row r="381" spans="2:4" x14ac:dyDescent="0.25">
      <c r="B381" s="71">
        <f t="shared" si="18"/>
        <v>15.80000000000009</v>
      </c>
      <c r="C381" s="4">
        <f t="shared" si="19"/>
        <v>4.5758305425375301E-12</v>
      </c>
      <c r="D381" s="4">
        <f t="shared" si="20"/>
        <v>2.535213016372208E-6</v>
      </c>
    </row>
    <row r="382" spans="2:4" x14ac:dyDescent="0.25">
      <c r="B382" s="71">
        <f t="shared" si="18"/>
        <v>15.85000000000009</v>
      </c>
      <c r="C382" s="4">
        <f t="shared" si="19"/>
        <v>3.8496249254917572E-12</v>
      </c>
      <c r="D382" s="4">
        <f t="shared" si="20"/>
        <v>2.8432994717222551E-6</v>
      </c>
    </row>
    <row r="383" spans="2:4" x14ac:dyDescent="0.25">
      <c r="B383" s="71">
        <f t="shared" si="18"/>
        <v>15.900000000000091</v>
      </c>
      <c r="C383" s="4">
        <f t="shared" si="19"/>
        <v>3.2366479845787705E-12</v>
      </c>
      <c r="D383" s="4">
        <f t="shared" si="20"/>
        <v>3.1868330954590228E-6</v>
      </c>
    </row>
    <row r="384" spans="2:4" x14ac:dyDescent="0.25">
      <c r="B384" s="71">
        <f t="shared" si="18"/>
        <v>15.950000000000092</v>
      </c>
      <c r="C384" s="4">
        <f t="shared" si="19"/>
        <v>2.7195752814870772E-12</v>
      </c>
      <c r="D384" s="4">
        <f t="shared" si="20"/>
        <v>3.5696414752226912E-6</v>
      </c>
    </row>
    <row r="385" spans="2:4" x14ac:dyDescent="0.25">
      <c r="B385" s="71">
        <f t="shared" si="18"/>
        <v>16.000000000000092</v>
      </c>
      <c r="C385" s="4">
        <f t="shared" si="19"/>
        <v>2.2836801020904101E-12</v>
      </c>
      <c r="D385" s="4">
        <f t="shared" si="20"/>
        <v>3.9959352767271996E-6</v>
      </c>
    </row>
    <row r="386" spans="2:4" x14ac:dyDescent="0.25">
      <c r="B386" s="71">
        <f t="shared" ref="B386:B449" si="21">B385+$A$65</f>
        <v>16.050000000000093</v>
      </c>
      <c r="C386" s="4">
        <f t="shared" ref="C386:C449" si="22">_xlfn.NORM.DIST(B386,$C$57,C$58,FALSE)*C$59</f>
        <v>1.9164523099573442E-12</v>
      </c>
      <c r="D386" s="4">
        <f t="shared" ref="D386:D449" si="23">_xlfn.NORM.DIST(B386,$D$57,D$58,FALSE)*D$59</f>
        <v>4.470343108082021E-6</v>
      </c>
    </row>
    <row r="387" spans="2:4" x14ac:dyDescent="0.25">
      <c r="B387" s="71">
        <f t="shared" si="21"/>
        <v>16.100000000000094</v>
      </c>
      <c r="C387" s="4">
        <f t="shared" si="22"/>
        <v>1.6072718226878803E-12</v>
      </c>
      <c r="D387" s="4">
        <f t="shared" si="23"/>
        <v>4.9979491767317447E-6</v>
      </c>
    </row>
    <row r="388" spans="2:4" x14ac:dyDescent="0.25">
      <c r="B388" s="71">
        <f t="shared" si="21"/>
        <v>16.150000000000095</v>
      </c>
      <c r="C388" s="4">
        <f t="shared" si="22"/>
        <v>1.347129081348755E-12</v>
      </c>
      <c r="D388" s="4">
        <f t="shared" si="23"/>
        <v>5.5843339230201682E-6</v>
      </c>
    </row>
    <row r="389" spans="2:4" x14ac:dyDescent="0.25">
      <c r="B389" s="71">
        <f t="shared" si="21"/>
        <v>16.200000000000095</v>
      </c>
      <c r="C389" s="4">
        <f t="shared" si="22"/>
        <v>1.1283859193009944E-12</v>
      </c>
      <c r="D389" s="4">
        <f t="shared" si="23"/>
        <v>6.2356178225147018E-6</v>
      </c>
    </row>
    <row r="390" spans="2:4" x14ac:dyDescent="0.25">
      <c r="B390" s="71">
        <f t="shared" si="21"/>
        <v>16.250000000000096</v>
      </c>
      <c r="C390" s="4">
        <f t="shared" si="22"/>
        <v>9.4457113641570045E-13</v>
      </c>
      <c r="D390" s="4">
        <f t="shared" si="23"/>
        <v>6.9585085573051783E-6</v>
      </c>
    </row>
    <row r="391" spans="2:4" x14ac:dyDescent="0.25">
      <c r="B391" s="71">
        <f t="shared" si="21"/>
        <v>16.300000000000097</v>
      </c>
      <c r="C391" s="4">
        <f t="shared" si="22"/>
        <v>7.9020586536699372E-13</v>
      </c>
      <c r="D391" s="4">
        <f t="shared" si="23"/>
        <v>7.7603517644641793E-6</v>
      </c>
    </row>
    <row r="392" spans="2:4" x14ac:dyDescent="0.25">
      <c r="B392" s="71">
        <f t="shared" si="21"/>
        <v>16.350000000000097</v>
      </c>
      <c r="C392" s="4">
        <f t="shared" si="22"/>
        <v>6.6065449357526414E-13</v>
      </c>
      <c r="D392" s="4">
        <f t="shared" si="23"/>
        <v>8.6491855776640618E-6</v>
      </c>
    </row>
    <row r="393" spans="2:4" x14ac:dyDescent="0.25">
      <c r="B393" s="71">
        <f t="shared" si="21"/>
        <v>16.400000000000098</v>
      </c>
      <c r="C393" s="4">
        <f t="shared" si="22"/>
        <v>5.5199749078409064E-13</v>
      </c>
      <c r="D393" s="4">
        <f t="shared" si="23"/>
        <v>9.6337991855238017E-6</v>
      </c>
    </row>
    <row r="394" spans="2:4" x14ac:dyDescent="0.25">
      <c r="B394" s="71">
        <f t="shared" si="21"/>
        <v>16.450000000000099</v>
      </c>
      <c r="C394" s="4">
        <f t="shared" si="22"/>
        <v>4.6092299987990486E-13</v>
      </c>
      <c r="D394" s="4">
        <f t="shared" si="23"/>
        <v>1.0723795637534066E-5</v>
      </c>
    </row>
    <row r="395" spans="2:4" x14ac:dyDescent="0.25">
      <c r="B395" s="71">
        <f t="shared" si="21"/>
        <v>16.500000000000099</v>
      </c>
      <c r="C395" s="4">
        <f t="shared" si="22"/>
        <v>3.8463448764017936E-13</v>
      </c>
      <c r="D395" s="4">
        <f t="shared" si="23"/>
        <v>1.1929659135303759E-5</v>
      </c>
    </row>
    <row r="396" spans="2:4" x14ac:dyDescent="0.25">
      <c r="B396" s="71">
        <f t="shared" si="21"/>
        <v>16.5500000000001</v>
      </c>
      <c r="C396" s="4">
        <f t="shared" si="22"/>
        <v>3.2077213158011986E-13</v>
      </c>
      <c r="D396" s="4">
        <f t="shared" si="23"/>
        <v>1.3262827053301366E-5</v>
      </c>
    </row>
    <row r="397" spans="2:4" x14ac:dyDescent="0.25">
      <c r="B397" s="71">
        <f t="shared" si="21"/>
        <v>16.600000000000101</v>
      </c>
      <c r="C397" s="4">
        <f t="shared" si="22"/>
        <v>2.6734594678844224E-13</v>
      </c>
      <c r="D397" s="4">
        <f t="shared" si="23"/>
        <v>1.4735766939138077E-5</v>
      </c>
    </row>
    <row r="398" spans="2:4" x14ac:dyDescent="0.25">
      <c r="B398" s="71">
        <f t="shared" si="21"/>
        <v>16.650000000000102</v>
      </c>
      <c r="C398" s="4">
        <f t="shared" si="22"/>
        <v>2.2267893943790753E-13</v>
      </c>
      <c r="D398" s="4">
        <f t="shared" si="23"/>
        <v>1.6362058748658655E-5</v>
      </c>
    </row>
    <row r="399" spans="2:4" x14ac:dyDescent="0.25">
      <c r="B399" s="71">
        <f t="shared" si="21"/>
        <v>16.700000000000102</v>
      </c>
      <c r="C399" s="4">
        <f t="shared" si="22"/>
        <v>1.8535881749253858E-13</v>
      </c>
      <c r="D399" s="4">
        <f t="shared" si="23"/>
        <v>1.8156482575566984E-5</v>
      </c>
    </row>
    <row r="400" spans="2:4" x14ac:dyDescent="0.25">
      <c r="B400" s="71">
        <f t="shared" si="21"/>
        <v>16.750000000000103</v>
      </c>
      <c r="C400" s="4">
        <f t="shared" si="22"/>
        <v>1.5419699921339281E-13</v>
      </c>
      <c r="D400" s="4">
        <f t="shared" si="23"/>
        <v>2.0135112138902828E-5</v>
      </c>
    </row>
    <row r="401" spans="2:4" x14ac:dyDescent="0.25">
      <c r="B401" s="71">
        <f t="shared" si="21"/>
        <v>16.800000000000104</v>
      </c>
      <c r="C401" s="4">
        <f t="shared" si="22"/>
        <v>1.2819384091986785E-13</v>
      </c>
      <c r="D401" s="4">
        <f t="shared" si="23"/>
        <v>2.2315414294287948E-5</v>
      </c>
    </row>
    <row r="402" spans="2:4" x14ac:dyDescent="0.25">
      <c r="B402" s="71">
        <f t="shared" si="21"/>
        <v>16.850000000000104</v>
      </c>
      <c r="C402" s="4">
        <f t="shared" si="22"/>
        <v>1.0650916103795072E-13</v>
      </c>
      <c r="D402" s="4">
        <f t="shared" si="23"/>
        <v>2.4716354836347559E-5</v>
      </c>
    </row>
    <row r="403" spans="2:4" x14ac:dyDescent="0.25">
      <c r="B403" s="71">
        <f t="shared" si="21"/>
        <v>16.900000000000105</v>
      </c>
      <c r="C403" s="4">
        <f t="shared" si="22"/>
        <v>8.8437271190212456E-14</v>
      </c>
      <c r="D403" s="4">
        <f t="shared" si="23"/>
        <v>2.7358510859955969E-5</v>
      </c>
    </row>
    <row r="404" spans="2:4" x14ac:dyDescent="0.25">
      <c r="B404" s="71">
        <f t="shared" si="21"/>
        <v>16.950000000000106</v>
      </c>
      <c r="C404" s="4">
        <f t="shared" si="22"/>
        <v>7.3385839934480225E-14</v>
      </c>
      <c r="D404" s="4">
        <f t="shared" si="23"/>
        <v>3.0264189946817603E-5</v>
      </c>
    </row>
    <row r="405" spans="2:4" x14ac:dyDescent="0.25">
      <c r="B405" s="71">
        <f t="shared" si="21"/>
        <v>17.000000000000107</v>
      </c>
      <c r="C405" s="4">
        <f t="shared" si="22"/>
        <v>6.0858013325701032E-14</v>
      </c>
      <c r="D405" s="4">
        <f t="shared" si="23"/>
        <v>3.3457556441228471E-5</v>
      </c>
    </row>
    <row r="406" spans="2:4" x14ac:dyDescent="0.25">
      <c r="B406" s="71">
        <f t="shared" si="21"/>
        <v>17.050000000000107</v>
      </c>
      <c r="C406" s="4">
        <f t="shared" si="22"/>
        <v>5.0437301002038099E-14</v>
      </c>
      <c r="D406" s="4">
        <f t="shared" si="23"/>
        <v>3.6964765074526282E-5</v>
      </c>
    </row>
    <row r="407" spans="2:4" x14ac:dyDescent="0.25">
      <c r="B407" s="71">
        <f t="shared" si="21"/>
        <v>17.100000000000108</v>
      </c>
      <c r="C407" s="4">
        <f t="shared" si="22"/>
        <v>4.1774808925942319E-14</v>
      </c>
      <c r="D407" s="4">
        <f t="shared" si="23"/>
        <v>4.0814102191569239E-5</v>
      </c>
    </row>
    <row r="408" spans="2:4" x14ac:dyDescent="0.25">
      <c r="B408" s="71">
        <f t="shared" si="21"/>
        <v>17.150000000000109</v>
      </c>
      <c r="C408" s="4">
        <f t="shared" si="22"/>
        <v>3.4578461927237655E-14</v>
      </c>
      <c r="D408" s="4">
        <f t="shared" si="23"/>
        <v>4.5036134824431798E-5</v>
      </c>
    </row>
    <row r="409" spans="2:4" x14ac:dyDescent="0.25">
      <c r="B409" s="71">
        <f t="shared" si="21"/>
        <v>17.200000000000109</v>
      </c>
      <c r="C409" s="4">
        <f t="shared" si="22"/>
        <v>2.8603912254491534E-14</v>
      </c>
      <c r="D409" s="4">
        <f t="shared" si="23"/>
        <v>4.9663867848203764E-5</v>
      </c>
    </row>
    <row r="410" spans="2:4" x14ac:dyDescent="0.25">
      <c r="B410" s="71">
        <f t="shared" si="21"/>
        <v>17.25000000000011</v>
      </c>
      <c r="C410" s="4">
        <f t="shared" si="22"/>
        <v>2.3646875701956391E-14</v>
      </c>
      <c r="D410" s="4">
        <f t="shared" si="23"/>
        <v>5.4732909441164693E-5</v>
      </c>
    </row>
    <row r="411" spans="2:4" x14ac:dyDescent="0.25">
      <c r="B411" s="71">
        <f t="shared" si="21"/>
        <v>17.300000000000111</v>
      </c>
      <c r="C411" s="4">
        <f t="shared" si="22"/>
        <v>1.95366756294168E-14</v>
      </c>
      <c r="D411" s="4">
        <f t="shared" si="23"/>
        <v>6.0281645056511211E-5</v>
      </c>
    </row>
    <row r="412" spans="2:4" x14ac:dyDescent="0.25">
      <c r="B412" s="71">
        <f t="shared" si="21"/>
        <v>17.350000000000112</v>
      </c>
      <c r="C412" s="4">
        <f t="shared" si="22"/>
        <v>1.6130808269525956E-14</v>
      </c>
      <c r="D412" s="4">
        <f t="shared" si="23"/>
        <v>6.6351420095071281E-5</v>
      </c>
    </row>
    <row r="413" spans="2:4" x14ac:dyDescent="0.25">
      <c r="B413" s="71">
        <f t="shared" si="21"/>
        <v>17.400000000000112</v>
      </c>
      <c r="C413" s="4">
        <f t="shared" si="22"/>
        <v>1.3310370930626638E-14</v>
      </c>
      <c r="D413" s="4">
        <f t="shared" si="23"/>
        <v>7.2986731447880612E-5</v>
      </c>
    </row>
    <row r="414" spans="2:4" x14ac:dyDescent="0.25">
      <c r="B414" s="71">
        <f t="shared" si="21"/>
        <v>17.450000000000113</v>
      </c>
      <c r="C414" s="4">
        <f t="shared" si="22"/>
        <v>1.0976218749493065E-14</v>
      </c>
      <c r="D414" s="4">
        <f t="shared" si="23"/>
        <v>8.0235428053952235E-5</v>
      </c>
    </row>
    <row r="415" spans="2:4" x14ac:dyDescent="0.25">
      <c r="B415" s="71">
        <f t="shared" si="21"/>
        <v>17.500000000000114</v>
      </c>
      <c r="C415" s="4">
        <f t="shared" si="22"/>
        <v>9.0457361277773079E-15</v>
      </c>
      <c r="D415" s="4">
        <f t="shared" si="23"/>
        <v>8.8148920591880135E-5</v>
      </c>
    </row>
    <row r="416" spans="2:4" x14ac:dyDescent="0.25">
      <c r="B416" s="71">
        <f t="shared" si="21"/>
        <v>17.550000000000114</v>
      </c>
      <c r="C416" s="4">
        <f t="shared" si="22"/>
        <v>7.4501264141193607E-15</v>
      </c>
      <c r="D416" s="4">
        <f t="shared" si="23"/>
        <v>9.6782400393917968E-5</v>
      </c>
    </row>
    <row r="417" spans="2:4" x14ac:dyDescent="0.25">
      <c r="B417" s="71">
        <f t="shared" si="21"/>
        <v>17.600000000000115</v>
      </c>
      <c r="C417" s="4">
        <f t="shared" si="22"/>
        <v>6.1321382142383152E-15</v>
      </c>
      <c r="D417" s="4">
        <f t="shared" si="23"/>
        <v>1.061950676377105E-4</v>
      </c>
    </row>
    <row r="418" spans="2:4" x14ac:dyDescent="0.25">
      <c r="B418" s="71">
        <f t="shared" si="21"/>
        <v>17.650000000000116</v>
      </c>
      <c r="C418" s="4">
        <f t="shared" si="22"/>
        <v>5.044159304559835E-15</v>
      </c>
      <c r="D418" s="4">
        <f t="shared" si="23"/>
        <v>1.1645036883378397E-4</v>
      </c>
    </row>
    <row r="419" spans="2:4" x14ac:dyDescent="0.25">
      <c r="B419" s="71">
        <f t="shared" si="21"/>
        <v>17.700000000000117</v>
      </c>
      <c r="C419" s="4">
        <f t="shared" si="22"/>
        <v>4.1466198176538909E-15</v>
      </c>
      <c r="D419" s="4">
        <f t="shared" si="23"/>
        <v>1.2761624358607348E-4</v>
      </c>
    </row>
    <row r="420" spans="2:4" x14ac:dyDescent="0.25">
      <c r="B420" s="71">
        <f t="shared" si="21"/>
        <v>17.750000000000117</v>
      </c>
      <c r="C420" s="4">
        <f t="shared" si="22"/>
        <v>3.4066554399409392E-15</v>
      </c>
      <c r="D420" s="4">
        <f t="shared" si="23"/>
        <v>1.3976538055807087E-4</v>
      </c>
    </row>
    <row r="421" spans="2:4" x14ac:dyDescent="0.25">
      <c r="B421" s="71">
        <f t="shared" si="21"/>
        <v>17.800000000000118</v>
      </c>
      <c r="C421" s="4">
        <f t="shared" si="22"/>
        <v>2.7969890535866522E-15</v>
      </c>
      <c r="D421" s="4">
        <f t="shared" si="23"/>
        <v>1.5297548252847558E-4</v>
      </c>
    </row>
    <row r="422" spans="2:4" x14ac:dyDescent="0.25">
      <c r="B422" s="71">
        <f t="shared" si="21"/>
        <v>17.850000000000119</v>
      </c>
      <c r="C422" s="4">
        <f t="shared" si="22"/>
        <v>2.294995770486765E-15</v>
      </c>
      <c r="D422" s="4">
        <f t="shared" si="23"/>
        <v>1.6732954036744989E-4</v>
      </c>
    </row>
    <row r="423" spans="2:4" x14ac:dyDescent="0.25">
      <c r="B423" s="71">
        <f t="shared" si="21"/>
        <v>17.900000000000119</v>
      </c>
      <c r="C423" s="4">
        <f t="shared" si="22"/>
        <v>1.8819218222568574E-15</v>
      </c>
      <c r="D423" s="4">
        <f t="shared" si="23"/>
        <v>1.8291611570761638E-4</v>
      </c>
    </row>
    <row r="424" spans="2:4" x14ac:dyDescent="0.25">
      <c r="B424" s="71">
        <f t="shared" si="21"/>
        <v>17.95000000000012</v>
      </c>
      <c r="C424" s="4">
        <f t="shared" si="22"/>
        <v>1.5422324361520065E-15</v>
      </c>
      <c r="D424" s="4">
        <f t="shared" si="23"/>
        <v>1.9982963202273076E-4</v>
      </c>
    </row>
    <row r="425" spans="2:4" x14ac:dyDescent="0.25">
      <c r="B425" s="71">
        <f t="shared" si="21"/>
        <v>18.000000000000121</v>
      </c>
      <c r="C425" s="4">
        <f t="shared" si="22"/>
        <v>1.263067770883613E-15</v>
      </c>
      <c r="D425" s="4">
        <f t="shared" si="23"/>
        <v>2.1817067376148614E-4</v>
      </c>
    </row>
    <row r="426" spans="2:4" x14ac:dyDescent="0.25">
      <c r="B426" s="71">
        <f t="shared" si="21"/>
        <v>18.050000000000122</v>
      </c>
      <c r="C426" s="4">
        <f t="shared" si="22"/>
        <v>1.0337893175990633E-15</v>
      </c>
      <c r="D426" s="4">
        <f t="shared" si="23"/>
        <v>2.3804629311411767E-4</v>
      </c>
    </row>
    <row r="427" spans="2:4" x14ac:dyDescent="0.25">
      <c r="B427" s="71">
        <f t="shared" si="21"/>
        <v>18.100000000000122</v>
      </c>
      <c r="C427" s="4">
        <f t="shared" si="22"/>
        <v>8.456019829442492E-16</v>
      </c>
      <c r="D427" s="4">
        <f t="shared" si="23"/>
        <v>2.5957032391540745E-4</v>
      </c>
    </row>
    <row r="428" spans="2:4" x14ac:dyDescent="0.25">
      <c r="B428" s="71">
        <f t="shared" si="21"/>
        <v>18.150000000000123</v>
      </c>
      <c r="C428" s="4">
        <f t="shared" si="22"/>
        <v>6.9123944243357906E-16</v>
      </c>
      <c r="D428" s="4">
        <f t="shared" si="23"/>
        <v>2.8286370210936165E-4</v>
      </c>
    </row>
    <row r="429" spans="2:4" x14ac:dyDescent="0.25">
      <c r="B429" s="71">
        <f t="shared" si="21"/>
        <v>18.200000000000124</v>
      </c>
      <c r="C429" s="4">
        <f t="shared" si="22"/>
        <v>5.6470235078829091E-16</v>
      </c>
      <c r="D429" s="4">
        <f t="shared" si="23"/>
        <v>3.0805479211831955E-4</v>
      </c>
    </row>
    <row r="430" spans="2:4" x14ac:dyDescent="0.25">
      <c r="B430" s="71">
        <f t="shared" si="21"/>
        <v>18.250000000000124</v>
      </c>
      <c r="C430" s="4">
        <f t="shared" si="22"/>
        <v>4.6104067885393476E-16</v>
      </c>
      <c r="D430" s="4">
        <f t="shared" si="23"/>
        <v>3.352797183726647E-4</v>
      </c>
    </row>
    <row r="431" spans="2:4" x14ac:dyDescent="0.25">
      <c r="B431" s="71">
        <f t="shared" si="21"/>
        <v>18.300000000000125</v>
      </c>
      <c r="C431" s="4">
        <f t="shared" si="22"/>
        <v>3.7617286292685701E-16</v>
      </c>
      <c r="D431" s="4">
        <f t="shared" si="23"/>
        <v>3.646827011667629E-4</v>
      </c>
    </row>
    <row r="432" spans="2:4" x14ac:dyDescent="0.25">
      <c r="B432" s="71">
        <f t="shared" si="21"/>
        <v>18.350000000000126</v>
      </c>
      <c r="C432" s="4">
        <f t="shared" si="22"/>
        <v>3.0673564320183966E-16</v>
      </c>
      <c r="D432" s="4">
        <f t="shared" si="23"/>
        <v>3.9641639591244694E-4</v>
      </c>
    </row>
    <row r="433" spans="2:4" x14ac:dyDescent="0.25">
      <c r="B433" s="71">
        <f t="shared" si="21"/>
        <v>18.400000000000126</v>
      </c>
      <c r="C433" s="4">
        <f t="shared" si="22"/>
        <v>2.4995946871229981E-16</v>
      </c>
      <c r="D433" s="4">
        <f t="shared" si="23"/>
        <v>4.3064223476350981E-4</v>
      </c>
    </row>
    <row r="434" spans="2:4" x14ac:dyDescent="0.25">
      <c r="B434" s="71">
        <f t="shared" si="21"/>
        <v>18.450000000000127</v>
      </c>
      <c r="C434" s="4">
        <f t="shared" si="22"/>
        <v>2.0356518633662494E-16</v>
      </c>
      <c r="D434" s="4">
        <f t="shared" si="23"/>
        <v>4.6753076948350975E-4</v>
      </c>
    </row>
    <row r="435" spans="2:4" x14ac:dyDescent="0.25">
      <c r="B435" s="71">
        <f t="shared" si="21"/>
        <v>18.500000000000128</v>
      </c>
      <c r="C435" s="4">
        <f t="shared" si="22"/>
        <v>1.6567843639913169E-16</v>
      </c>
      <c r="D435" s="4">
        <f t="shared" si="23"/>
        <v>5.0726201432504741E-4</v>
      </c>
    </row>
    <row r="436" spans="2:4" x14ac:dyDescent="0.25">
      <c r="B436" s="71">
        <f t="shared" si="21"/>
        <v>18.550000000000129</v>
      </c>
      <c r="C436" s="4">
        <f t="shared" si="22"/>
        <v>1.3475876843794647E-16</v>
      </c>
      <c r="D436" s="4">
        <f t="shared" si="23"/>
        <v>5.5002578758189672E-4</v>
      </c>
    </row>
    <row r="437" spans="2:4" x14ac:dyDescent="0.25">
      <c r="B437" s="71">
        <f t="shared" si="21"/>
        <v>18.600000000000129</v>
      </c>
      <c r="C437" s="4">
        <f t="shared" si="22"/>
        <v>1.0954098588767557E-16</v>
      </c>
      <c r="D437" s="4">
        <f t="shared" si="23"/>
        <v>5.9602205036633391E-4</v>
      </c>
    </row>
    <row r="438" spans="2:4" x14ac:dyDescent="0.25">
      <c r="B438" s="71">
        <f t="shared" si="21"/>
        <v>18.65000000000013</v>
      </c>
      <c r="C438" s="4">
        <f t="shared" si="22"/>
        <v>8.8986642977770174E-17</v>
      </c>
      <c r="D438" s="4">
        <f t="shared" si="23"/>
        <v>6.4546124105318745E-4</v>
      </c>
    </row>
    <row r="439" spans="2:4" x14ac:dyDescent="0.25">
      <c r="B439" s="71">
        <f t="shared" si="21"/>
        <v>18.700000000000131</v>
      </c>
      <c r="C439" s="4">
        <f t="shared" si="22"/>
        <v>7.2243963950707876E-17</v>
      </c>
      <c r="D439" s="4">
        <f t="shared" si="23"/>
        <v>6.9856460372000567E-4</v>
      </c>
    </row>
    <row r="440" spans="2:4" x14ac:dyDescent="0.25">
      <c r="B440" s="71">
        <f t="shared" si="21"/>
        <v>18.750000000000131</v>
      </c>
      <c r="C440" s="4">
        <f t="shared" si="22"/>
        <v>5.8614744617575728E-17</v>
      </c>
      <c r="D440" s="4">
        <f t="shared" si="23"/>
        <v>7.5556450879984407E-4</v>
      </c>
    </row>
    <row r="441" spans="2:4" x14ac:dyDescent="0.25">
      <c r="B441" s="71">
        <f t="shared" si="21"/>
        <v>18.800000000000132</v>
      </c>
      <c r="C441" s="4">
        <f t="shared" si="22"/>
        <v>4.7527038447672758E-17</v>
      </c>
      <c r="D441" s="4">
        <f t="shared" si="23"/>
        <v>8.1670476405014728E-4</v>
      </c>
    </row>
    <row r="442" spans="2:4" x14ac:dyDescent="0.25">
      <c r="B442" s="71">
        <f t="shared" si="21"/>
        <v>18.850000000000133</v>
      </c>
      <c r="C442" s="4">
        <f t="shared" si="22"/>
        <v>3.8512631545249236E-17</v>
      </c>
      <c r="D442" s="4">
        <f t="shared" si="23"/>
        <v>8.8224091382862069E-4</v>
      </c>
    </row>
    <row r="443" spans="2:4" x14ac:dyDescent="0.25">
      <c r="B443" s="71">
        <f t="shared" si="21"/>
        <v>18.900000000000134</v>
      </c>
      <c r="C443" s="4">
        <f t="shared" si="22"/>
        <v>3.1188479491751116E-17</v>
      </c>
      <c r="D443" s="4">
        <f t="shared" si="23"/>
        <v>9.5244052455564548E-4</v>
      </c>
    </row>
    <row r="444" spans="2:4" x14ac:dyDescent="0.25">
      <c r="B444" s="71">
        <f t="shared" si="21"/>
        <v>18.950000000000134</v>
      </c>
      <c r="C444" s="4">
        <f t="shared" si="22"/>
        <v>2.5241419585341362E-17</v>
      </c>
      <c r="D444" s="4">
        <f t="shared" si="23"/>
        <v>1.0275834541333491E-3</v>
      </c>
    </row>
    <row r="445" spans="2:4" x14ac:dyDescent="0.25">
      <c r="B445" s="71">
        <f t="shared" si="21"/>
        <v>19.000000000000135</v>
      </c>
      <c r="C445" s="4">
        <f t="shared" si="22"/>
        <v>2.0415589079162126E-17</v>
      </c>
      <c r="D445" s="4">
        <f t="shared" si="23"/>
        <v>1.1079621029847263E-3</v>
      </c>
    </row>
    <row r="446" spans="2:4" x14ac:dyDescent="0.25">
      <c r="B446" s="71">
        <f t="shared" si="21"/>
        <v>19.050000000000136</v>
      </c>
      <c r="C446" s="4">
        <f t="shared" si="22"/>
        <v>1.6502077458680753E-17</v>
      </c>
      <c r="D446" s="4">
        <f t="shared" si="23"/>
        <v>1.1938816442731315E-3</v>
      </c>
    </row>
    <row r="447" spans="2:4" x14ac:dyDescent="0.25">
      <c r="B447" s="71">
        <f t="shared" si="21"/>
        <v>19.100000000000136</v>
      </c>
      <c r="C447" s="4">
        <f t="shared" si="22"/>
        <v>1.3330421839550756E-17</v>
      </c>
      <c r="D447" s="4">
        <f t="shared" si="23"/>
        <v>1.2856602307637439E-3</v>
      </c>
    </row>
    <row r="448" spans="2:4" x14ac:dyDescent="0.25">
      <c r="B448" s="71">
        <f t="shared" si="21"/>
        <v>19.150000000000137</v>
      </c>
      <c r="C448" s="4">
        <f t="shared" si="22"/>
        <v>1.0761621921443018E-17</v>
      </c>
      <c r="D448" s="4">
        <f t="shared" si="23"/>
        <v>1.383629175695402E-3</v>
      </c>
    </row>
    <row r="449" spans="2:4" x14ac:dyDescent="0.25">
      <c r="B449" s="71">
        <f t="shared" si="21"/>
        <v>19.200000000000138</v>
      </c>
      <c r="C449" s="4">
        <f t="shared" si="22"/>
        <v>8.6824068714103374E-18</v>
      </c>
      <c r="D449" s="4">
        <f t="shared" si="23"/>
        <v>1.488133104944261E-3</v>
      </c>
    </row>
    <row r="450" spans="2:4" x14ac:dyDescent="0.25">
      <c r="B450" s="71">
        <f t="shared" ref="B450:B513" si="24">B449+$A$65</f>
        <v>19.250000000000139</v>
      </c>
      <c r="C450" s="4">
        <f t="shared" ref="C450:C513" si="25">_xlfn.NORM.DIST(B450,$C$57,C$58,FALSE)*C$59</f>
        <v>7.000532933872448E-18</v>
      </c>
      <c r="D450" s="4">
        <f t="shared" ref="D450:D513" si="26">_xlfn.NORM.DIST(B450,$D$57,D$58,FALSE)*D$59</f>
        <v>1.5995300776812074E-3</v>
      </c>
    </row>
    <row r="451" spans="2:4" x14ac:dyDescent="0.25">
      <c r="B451" s="71">
        <f t="shared" si="24"/>
        <v>19.300000000000139</v>
      </c>
      <c r="C451" s="4">
        <f t="shared" si="25"/>
        <v>5.6409290637982169E-18</v>
      </c>
      <c r="D451" s="4">
        <f t="shared" si="26"/>
        <v>1.7181916726538345E-3</v>
      </c>
    </row>
    <row r="452" spans="2:4" x14ac:dyDescent="0.25">
      <c r="B452" s="71">
        <f t="shared" si="24"/>
        <v>19.35000000000014</v>
      </c>
      <c r="C452" s="4">
        <f t="shared" si="25"/>
        <v>4.5425397846586753E-18</v>
      </c>
      <c r="D452" s="4">
        <f t="shared" si="26"/>
        <v>1.8445030371620624E-3</v>
      </c>
    </row>
    <row r="453" spans="2:4" x14ac:dyDescent="0.25">
      <c r="B453" s="71">
        <f t="shared" si="24"/>
        <v>19.400000000000141</v>
      </c>
      <c r="C453" s="4">
        <f t="shared" si="25"/>
        <v>3.6557408937493852E-18</v>
      </c>
      <c r="D453" s="4">
        <f t="shared" si="26"/>
        <v>1.9788628957453803E-3</v>
      </c>
    </row>
    <row r="454" spans="2:4" x14ac:dyDescent="0.25">
      <c r="B454" s="71">
        <f t="shared" si="24"/>
        <v>19.450000000000141</v>
      </c>
      <c r="C454" s="4">
        <f t="shared" si="25"/>
        <v>2.940225501405797E-18</v>
      </c>
      <c r="D454" s="4">
        <f t="shared" si="26"/>
        <v>2.1216835155600956E-3</v>
      </c>
    </row>
    <row r="455" spans="2:4" x14ac:dyDescent="0.25">
      <c r="B455" s="71">
        <f t="shared" si="24"/>
        <v>19.500000000000142</v>
      </c>
      <c r="C455" s="4">
        <f t="shared" si="25"/>
        <v>2.3632759704742353E-18</v>
      </c>
      <c r="D455" s="4">
        <f t="shared" si="26"/>
        <v>2.2733906253982073E-3</v>
      </c>
    </row>
    <row r="456" spans="2:4" x14ac:dyDescent="0.25">
      <c r="B456" s="71">
        <f t="shared" si="24"/>
        <v>19.550000000000143</v>
      </c>
      <c r="C456" s="4">
        <f t="shared" si="25"/>
        <v>1.8983522623483491E-18</v>
      </c>
      <c r="D456" s="4">
        <f t="shared" si="26"/>
        <v>2.4344232852864735E-3</v>
      </c>
    </row>
    <row r="457" spans="2:4" x14ac:dyDescent="0.25">
      <c r="B457" s="71">
        <f t="shared" si="24"/>
        <v>19.600000000000144</v>
      </c>
      <c r="C457" s="4">
        <f t="shared" si="25"/>
        <v>1.5239395323896518E-18</v>
      </c>
      <c r="D457" s="4">
        <f t="shared" si="26"/>
        <v>2.6052337036061531E-3</v>
      </c>
    </row>
    <row r="458" spans="2:4" x14ac:dyDescent="0.25">
      <c r="B458" s="71">
        <f t="shared" si="24"/>
        <v>19.650000000000144</v>
      </c>
      <c r="C458" s="4">
        <f t="shared" si="25"/>
        <v>1.2226079969979009E-18</v>
      </c>
      <c r="D458" s="4">
        <f t="shared" si="26"/>
        <v>2.7862869986917389E-3</v>
      </c>
    </row>
    <row r="459" spans="2:4" x14ac:dyDescent="0.25">
      <c r="B459" s="71">
        <f t="shared" si="24"/>
        <v>19.700000000000145</v>
      </c>
      <c r="C459" s="4">
        <f t="shared" si="25"/>
        <v>9.8024648814040191E-19</v>
      </c>
      <c r="D459" s="4">
        <f t="shared" si="26"/>
        <v>2.9780609019018659E-3</v>
      </c>
    </row>
    <row r="460" spans="2:4" x14ac:dyDescent="0.25">
      <c r="B460" s="71">
        <f t="shared" si="24"/>
        <v>19.750000000000146</v>
      </c>
      <c r="C460" s="4">
        <f t="shared" si="25"/>
        <v>7.8543802716570891E-19</v>
      </c>
      <c r="D460" s="4">
        <f t="shared" si="26"/>
        <v>3.1810453992084657E-3</v>
      </c>
    </row>
    <row r="461" spans="2:4" x14ac:dyDescent="0.25">
      <c r="B461" s="71">
        <f t="shared" si="24"/>
        <v>19.800000000000146</v>
      </c>
      <c r="C461" s="4">
        <f t="shared" si="25"/>
        <v>6.2895144423744442E-19</v>
      </c>
      <c r="D461" s="4">
        <f t="shared" si="26"/>
        <v>3.3957423084220503E-3</v>
      </c>
    </row>
    <row r="462" spans="2:4" x14ac:dyDescent="0.25">
      <c r="B462" s="71">
        <f t="shared" si="24"/>
        <v>19.850000000000147</v>
      </c>
      <c r="C462" s="4">
        <f t="shared" si="25"/>
        <v>5.0332775512671437E-19</v>
      </c>
      <c r="D462" s="4">
        <f t="shared" si="26"/>
        <v>3.6226647892627982E-3</v>
      </c>
    </row>
    <row r="463" spans="2:4" x14ac:dyDescent="0.25">
      <c r="B463" s="71">
        <f t="shared" si="24"/>
        <v>19.900000000000148</v>
      </c>
      <c r="C463" s="4">
        <f t="shared" si="25"/>
        <v>4.0254385947013104E-19</v>
      </c>
      <c r="D463" s="4">
        <f t="shared" si="26"/>
        <v>3.8623367835995208E-3</v>
      </c>
    </row>
    <row r="464" spans="2:4" x14ac:dyDescent="0.25">
      <c r="B464" s="71">
        <f t="shared" si="24"/>
        <v>19.950000000000149</v>
      </c>
      <c r="C464" s="4">
        <f t="shared" si="25"/>
        <v>3.21739289787908E-19</v>
      </c>
      <c r="D464" s="4">
        <f t="shared" si="26"/>
        <v>4.1152923833125887E-3</v>
      </c>
    </row>
    <row r="465" spans="2:4" x14ac:dyDescent="0.25">
      <c r="B465" s="71">
        <f t="shared" si="24"/>
        <v>20.000000000000149</v>
      </c>
      <c r="C465" s="4">
        <f t="shared" si="25"/>
        <v>2.5699433929155126E-19</v>
      </c>
      <c r="D465" s="4">
        <f t="shared" si="26"/>
        <v>4.3820751233929521E-3</v>
      </c>
    </row>
    <row r="466" spans="2:4" x14ac:dyDescent="0.25">
      <c r="B466" s="71">
        <f t="shared" si="24"/>
        <v>20.05000000000015</v>
      </c>
      <c r="C466" s="4">
        <f t="shared" si="25"/>
        <v>2.0515002865156383E-19</v>
      </c>
      <c r="D466" s="4">
        <f t="shared" si="26"/>
        <v>4.6632371980683419E-3</v>
      </c>
    </row>
    <row r="467" spans="2:4" x14ac:dyDescent="0.25">
      <c r="B467" s="71">
        <f t="shared" si="24"/>
        <v>20.100000000000151</v>
      </c>
      <c r="C467" s="4">
        <f t="shared" si="25"/>
        <v>1.6366211997543546E-19</v>
      </c>
      <c r="D467" s="4">
        <f t="shared" si="26"/>
        <v>4.9593385979497468E-3</v>
      </c>
    </row>
    <row r="468" spans="2:4" x14ac:dyDescent="0.25">
      <c r="B468" s="71">
        <f t="shared" si="24"/>
        <v>20.150000000000151</v>
      </c>
      <c r="C468" s="4">
        <f t="shared" si="25"/>
        <v>1.3048281842935699E-19</v>
      </c>
      <c r="D468" s="4">
        <f t="shared" si="26"/>
        <v>5.2709461664169942E-3</v>
      </c>
    </row>
    <row r="469" spans="2:4" x14ac:dyDescent="0.25">
      <c r="B469" s="71">
        <f t="shared" si="24"/>
        <v>20.200000000000152</v>
      </c>
      <c r="C469" s="4">
        <f t="shared" si="25"/>
        <v>1.0396497447780661E-19</v>
      </c>
      <c r="D469" s="4">
        <f t="shared" si="26"/>
        <v>5.5986325737117475E-3</v>
      </c>
    </row>
    <row r="470" spans="2:4" x14ac:dyDescent="0.25">
      <c r="B470" s="71">
        <f t="shared" si="24"/>
        <v>20.250000000000153</v>
      </c>
      <c r="C470" s="4">
        <f t="shared" si="25"/>
        <v>8.2784559004662129E-20</v>
      </c>
      <c r="D470" s="4">
        <f t="shared" si="26"/>
        <v>5.942975207479528E-3</v>
      </c>
    </row>
    <row r="471" spans="2:4" x14ac:dyDescent="0.25">
      <c r="B471" s="71">
        <f t="shared" si="24"/>
        <v>20.300000000000153</v>
      </c>
      <c r="C471" s="4">
        <f t="shared" si="25"/>
        <v>6.5877967846810817E-20</v>
      </c>
      <c r="D471" s="4">
        <f t="shared" si="26"/>
        <v>6.3045549787997344E-3</v>
      </c>
    </row>
    <row r="472" spans="2:4" x14ac:dyDescent="0.25">
      <c r="B472" s="71">
        <f t="shared" si="24"/>
        <v>20.350000000000154</v>
      </c>
      <c r="C472" s="4">
        <f t="shared" si="25"/>
        <v>5.2391352996008282E-20</v>
      </c>
      <c r="D472" s="4">
        <f t="shared" si="26"/>
        <v>6.6839550430632562E-3</v>
      </c>
    </row>
    <row r="473" spans="2:4" x14ac:dyDescent="0.25">
      <c r="B473" s="71">
        <f t="shared" si="24"/>
        <v>20.400000000000155</v>
      </c>
      <c r="C473" s="4">
        <f t="shared" si="25"/>
        <v>4.1639700809468342E-20</v>
      </c>
      <c r="D473" s="4">
        <f t="shared" si="26"/>
        <v>7.0817594354015551E-3</v>
      </c>
    </row>
    <row r="474" spans="2:4" x14ac:dyDescent="0.25">
      <c r="B474" s="71">
        <f t="shared" si="24"/>
        <v>20.450000000000156</v>
      </c>
      <c r="C474" s="4">
        <f t="shared" si="25"/>
        <v>3.3073804312360055E-20</v>
      </c>
      <c r="D474" s="4">
        <f t="shared" si="26"/>
        <v>7.4985516207376523E-3</v>
      </c>
    </row>
    <row r="475" spans="2:4" x14ac:dyDescent="0.25">
      <c r="B475" s="71">
        <f t="shared" si="24"/>
        <v>20.500000000000156</v>
      </c>
      <c r="C475" s="4">
        <f t="shared" si="25"/>
        <v>2.62536245749069E-20</v>
      </c>
      <c r="D475" s="4">
        <f t="shared" si="26"/>
        <v>7.9349129589182509E-3</v>
      </c>
    </row>
    <row r="476" spans="2:4" x14ac:dyDescent="0.25">
      <c r="B476" s="71">
        <f t="shared" si="24"/>
        <v>20.550000000000157</v>
      </c>
      <c r="C476" s="4">
        <f t="shared" si="25"/>
        <v>2.0826819570082289E-20</v>
      </c>
      <c r="D476" s="4">
        <f t="shared" si="26"/>
        <v>8.3914210857958544E-3</v>
      </c>
    </row>
    <row r="477" spans="2:4" x14ac:dyDescent="0.25">
      <c r="B477" s="71">
        <f t="shared" si="24"/>
        <v>20.600000000000158</v>
      </c>
      <c r="C477" s="4">
        <f t="shared" si="25"/>
        <v>1.6511449651836189E-20</v>
      </c>
      <c r="D477" s="4">
        <f t="shared" si="26"/>
        <v>8.8686482115594E-3</v>
      </c>
    </row>
    <row r="478" spans="2:4" x14ac:dyDescent="0.25">
      <c r="B478" s="71">
        <f t="shared" si="24"/>
        <v>20.650000000000158</v>
      </c>
      <c r="C478" s="4">
        <f t="shared" si="25"/>
        <v>1.308205650141917E-20</v>
      </c>
      <c r="D478" s="4">
        <f t="shared" si="26"/>
        <v>9.367159338060059E-3</v>
      </c>
    </row>
    <row r="479" spans="2:4" x14ac:dyDescent="0.25">
      <c r="B479" s="71">
        <f t="shared" si="24"/>
        <v>20.700000000000159</v>
      </c>
      <c r="C479" s="4">
        <f t="shared" si="25"/>
        <v>1.0358464986732348E-20</v>
      </c>
      <c r="D479" s="4">
        <f t="shared" si="26"/>
        <v>9.8875103973442464E-3</v>
      </c>
    </row>
    <row r="480" spans="2:4" x14ac:dyDescent="0.25">
      <c r="B480" s="71">
        <f t="shared" si="24"/>
        <v>20.75000000000016</v>
      </c>
      <c r="C480" s="4">
        <f t="shared" si="25"/>
        <v>8.196781346947477E-21</v>
      </c>
      <c r="D480" s="4">
        <f t="shared" si="26"/>
        <v>1.0430246314086421E-2</v>
      </c>
    </row>
    <row r="481" spans="2:4" x14ac:dyDescent="0.25">
      <c r="B481" s="71">
        <f t="shared" si="24"/>
        <v>20.800000000000161</v>
      </c>
      <c r="C481" s="4">
        <f t="shared" si="25"/>
        <v>6.4821617527460903E-21</v>
      </c>
      <c r="D481" s="4">
        <f t="shared" si="26"/>
        <v>1.0995898995108654E-2</v>
      </c>
    </row>
    <row r="482" spans="2:4" x14ac:dyDescent="0.25">
      <c r="B482" s="71">
        <f t="shared" si="24"/>
        <v>20.850000000000161</v>
      </c>
      <c r="C482" s="4">
        <f t="shared" si="25"/>
        <v>5.1230069344594375E-21</v>
      </c>
      <c r="D482" s="4">
        <f t="shared" si="26"/>
        <v>1.1584985249679249E-2</v>
      </c>
    </row>
    <row r="483" spans="2:4" x14ac:dyDescent="0.25">
      <c r="B483" s="71">
        <f t="shared" si="24"/>
        <v>20.900000000000162</v>
      </c>
      <c r="C483" s="4">
        <f t="shared" si="25"/>
        <v>4.046304755404212E-21</v>
      </c>
      <c r="D483" s="4">
        <f t="shared" si="26"/>
        <v>1.2198004644797719E-2</v>
      </c>
    </row>
    <row r="484" spans="2:4" x14ac:dyDescent="0.25">
      <c r="B484" s="71">
        <f t="shared" si="24"/>
        <v>20.950000000000163</v>
      </c>
      <c r="C484" s="4">
        <f t="shared" si="25"/>
        <v>3.1938962246551403E-21</v>
      </c>
      <c r="D484" s="4">
        <f t="shared" si="26"/>
        <v>1.2835437300194479E-2</v>
      </c>
    </row>
    <row r="485" spans="2:4" x14ac:dyDescent="0.25">
      <c r="B485" s="71">
        <f t="shared" si="24"/>
        <v>21.000000000000163</v>
      </c>
      <c r="C485" s="4">
        <f t="shared" si="25"/>
        <v>2.5194838485730513E-21</v>
      </c>
      <c r="D485" s="4">
        <f t="shared" si="26"/>
        <v>1.3497741628299219E-2</v>
      </c>
    </row>
    <row r="486" spans="2:4" x14ac:dyDescent="0.25">
      <c r="B486" s="71">
        <f t="shared" si="24"/>
        <v>21.050000000000164</v>
      </c>
      <c r="C486" s="4">
        <f t="shared" si="25"/>
        <v>1.9862363340130596E-21</v>
      </c>
      <c r="D486" s="4">
        <f t="shared" si="26"/>
        <v>1.4185352024958301E-2</v>
      </c>
    </row>
    <row r="487" spans="2:4" x14ac:dyDescent="0.25">
      <c r="B487" s="71">
        <f t="shared" si="24"/>
        <v>21.100000000000165</v>
      </c>
      <c r="C487" s="4">
        <f t="shared" si="25"/>
        <v>1.5648720423138023E-21</v>
      </c>
      <c r="D487" s="4">
        <f t="shared" si="26"/>
        <v>1.4898676517206411E-2</v>
      </c>
    </row>
    <row r="488" spans="2:4" x14ac:dyDescent="0.25">
      <c r="B488" s="71">
        <f t="shared" si="24"/>
        <v>21.150000000000166</v>
      </c>
      <c r="C488" s="4">
        <f t="shared" si="25"/>
        <v>1.2321265248124791E-21</v>
      </c>
      <c r="D488" s="4">
        <f t="shared" si="26"/>
        <v>1.5638094374917488E-2</v>
      </c>
    </row>
    <row r="489" spans="2:4" x14ac:dyDescent="0.25">
      <c r="B489" s="71">
        <f t="shared" si="24"/>
        <v>21.200000000000166</v>
      </c>
      <c r="C489" s="4">
        <f t="shared" si="25"/>
        <v>9.695279829359619E-22</v>
      </c>
      <c r="D489" s="4">
        <f t="shared" si="26"/>
        <v>1.640395369367174E-2</v>
      </c>
    </row>
    <row r="490" spans="2:4" x14ac:dyDescent="0.25">
      <c r="B490" s="71">
        <f t="shared" si="24"/>
        <v>21.250000000000167</v>
      </c>
      <c r="C490" s="4">
        <f t="shared" si="25"/>
        <v>7.6241943015777055E-22</v>
      </c>
      <c r="D490" s="4">
        <f t="shared" si="26"/>
        <v>1.7196568956675668E-2</v>
      </c>
    </row>
    <row r="491" spans="2:4" x14ac:dyDescent="0.25">
      <c r="B491" s="71">
        <f t="shared" si="24"/>
        <v>21.300000000000168</v>
      </c>
      <c r="C491" s="4">
        <f t="shared" si="25"/>
        <v>5.9917837246328621E-22</v>
      </c>
      <c r="D491" s="4">
        <f t="shared" si="26"/>
        <v>1.8016218584057293E-2</v>
      </c>
    </row>
    <row r="492" spans="2:4" x14ac:dyDescent="0.25">
      <c r="B492" s="71">
        <f t="shared" si="24"/>
        <v>21.350000000000168</v>
      </c>
      <c r="C492" s="4">
        <f t="shared" si="25"/>
        <v>4.7059452283069271E-22</v>
      </c>
      <c r="D492" s="4">
        <f t="shared" si="26"/>
        <v>1.8863142478325448E-2</v>
      </c>
    </row>
    <row r="493" spans="2:4" x14ac:dyDescent="0.25">
      <c r="B493" s="71">
        <f t="shared" si="24"/>
        <v>21.400000000000169</v>
      </c>
      <c r="C493" s="4">
        <f t="shared" si="25"/>
        <v>3.693738731757618E-22</v>
      </c>
      <c r="D493" s="4">
        <f t="shared" si="26"/>
        <v>1.9737539575226545E-2</v>
      </c>
    </row>
    <row r="494" spans="2:4" x14ac:dyDescent="0.25">
      <c r="B494" s="71">
        <f t="shared" si="24"/>
        <v>21.45000000000017</v>
      </c>
      <c r="C494" s="4">
        <f t="shared" si="25"/>
        <v>2.8974372851947997E-22</v>
      </c>
      <c r="D494" s="4">
        <f t="shared" si="26"/>
        <v>2.0639565409651017E-2</v>
      </c>
    </row>
    <row r="495" spans="2:4" x14ac:dyDescent="0.25">
      <c r="B495" s="71">
        <f t="shared" si="24"/>
        <v>21.500000000000171</v>
      </c>
      <c r="C495" s="4">
        <f t="shared" si="25"/>
        <v>2.271383577992278E-22</v>
      </c>
      <c r="D495" s="4">
        <f t="shared" si="26"/>
        <v>2.1569329706631099E-2</v>
      </c>
    </row>
    <row r="496" spans="2:4" x14ac:dyDescent="0.25">
      <c r="B496" s="71">
        <f t="shared" si="24"/>
        <v>21.550000000000171</v>
      </c>
      <c r="C496" s="4">
        <f t="shared" si="25"/>
        <v>1.7794897244412604E-22</v>
      </c>
      <c r="D496" s="4">
        <f t="shared" si="26"/>
        <v>2.2526894007827852E-2</v>
      </c>
    </row>
    <row r="497" spans="2:4" x14ac:dyDescent="0.25">
      <c r="B497" s="71">
        <f t="shared" si="24"/>
        <v>21.600000000000172</v>
      </c>
      <c r="C497" s="4">
        <f t="shared" si="25"/>
        <v>1.3932500056790145E-22</v>
      </c>
      <c r="D497" s="4">
        <f t="shared" si="26"/>
        <v>2.3512269344225172E-2</v>
      </c>
    </row>
    <row r="498" spans="2:4" x14ac:dyDescent="0.25">
      <c r="B498" s="71">
        <f t="shared" si="24"/>
        <v>21.650000000000173</v>
      </c>
      <c r="C498" s="4">
        <f t="shared" si="25"/>
        <v>1.0901623733726599E-22</v>
      </c>
      <c r="D498" s="4">
        <f t="shared" si="26"/>
        <v>2.4525413966028E-2</v>
      </c>
    </row>
    <row r="499" spans="2:4" x14ac:dyDescent="0.25">
      <c r="B499" s="71">
        <f t="shared" si="24"/>
        <v>21.700000000000173</v>
      </c>
      <c r="C499" s="4">
        <f t="shared" si="25"/>
        <v>8.524754665692838E-23</v>
      </c>
      <c r="D499" s="4">
        <f t="shared" si="26"/>
        <v>2.5566231140998156E-2</v>
      </c>
    </row>
    <row r="500" spans="2:4" x14ac:dyDescent="0.25">
      <c r="B500" s="71">
        <f t="shared" si="24"/>
        <v>21.750000000000174</v>
      </c>
      <c r="C500" s="4">
        <f t="shared" si="25"/>
        <v>6.6619467359649527E-23</v>
      </c>
      <c r="D500" s="4">
        <f t="shared" si="26"/>
        <v>2.6634567032650033E-2</v>
      </c>
    </row>
    <row r="501" spans="2:4" x14ac:dyDescent="0.25">
      <c r="B501" s="71">
        <f t="shared" si="24"/>
        <v>21.800000000000175</v>
      </c>
      <c r="C501" s="4">
        <f t="shared" si="25"/>
        <v>5.2029420505025886E-23</v>
      </c>
      <c r="D501" s="4">
        <f t="shared" si="26"/>
        <v>2.7730208669867768E-2</v>
      </c>
    </row>
    <row r="502" spans="2:4" x14ac:dyDescent="0.25">
      <c r="B502" s="71">
        <f t="shared" si="24"/>
        <v>21.850000000000176</v>
      </c>
      <c r="C502" s="4">
        <f t="shared" si="25"/>
        <v>4.0609289162017951E-23</v>
      </c>
      <c r="D502" s="4">
        <f t="shared" si="26"/>
        <v>2.8852882019591485E-2</v>
      </c>
    </row>
    <row r="503" spans="2:4" x14ac:dyDescent="0.25">
      <c r="B503" s="71">
        <f t="shared" si="24"/>
        <v>21.900000000000176</v>
      </c>
      <c r="C503" s="4">
        <f t="shared" si="25"/>
        <v>3.1676001304528164E-23</v>
      </c>
      <c r="D503" s="4">
        <f t="shared" si="26"/>
        <v>3.0002250174250497E-2</v>
      </c>
    </row>
    <row r="504" spans="2:4" x14ac:dyDescent="0.25">
      <c r="B504" s="71">
        <f t="shared" si="24"/>
        <v>21.950000000000177</v>
      </c>
      <c r="C504" s="4">
        <f t="shared" si="25"/>
        <v>2.4692432928631329E-23</v>
      </c>
      <c r="D504" s="4">
        <f t="shared" si="26"/>
        <v>3.1177911665593507E-2</v>
      </c>
    </row>
    <row r="505" spans="2:4" x14ac:dyDescent="0.25">
      <c r="B505" s="71">
        <f t="shared" si="24"/>
        <v>22.000000000000178</v>
      </c>
      <c r="C505" s="4">
        <f t="shared" si="25"/>
        <v>1.9236496566748964E-23</v>
      </c>
      <c r="D505" s="4">
        <f t="shared" si="26"/>
        <v>3.2379398916477245E-2</v>
      </c>
    </row>
    <row r="506" spans="2:4" x14ac:dyDescent="0.25">
      <c r="B506" s="71">
        <f t="shared" si="24"/>
        <v>22.050000000000178</v>
      </c>
      <c r="C506" s="4">
        <f t="shared" si="25"/>
        <v>1.49767176341125E-23</v>
      </c>
      <c r="D506" s="4">
        <f t="shared" si="26"/>
        <v>3.3606176842024195E-2</v>
      </c>
    </row>
    <row r="507" spans="2:4" x14ac:dyDescent="0.25">
      <c r="B507" s="71">
        <f t="shared" si="24"/>
        <v>22.100000000000179</v>
      </c>
      <c r="C507" s="4">
        <f t="shared" si="25"/>
        <v>1.165294965845545E-23</v>
      </c>
      <c r="D507" s="4">
        <f t="shared" si="26"/>
        <v>3.4857641611344595E-2</v>
      </c>
    </row>
    <row r="508" spans="2:4" x14ac:dyDescent="0.25">
      <c r="B508" s="71">
        <f t="shared" si="24"/>
        <v>22.15000000000018</v>
      </c>
      <c r="C508" s="4">
        <f t="shared" si="25"/>
        <v>9.0611571942346399E-24</v>
      </c>
      <c r="D508" s="4">
        <f t="shared" si="26"/>
        <v>3.6133119580737845E-2</v>
      </c>
    </row>
    <row r="509" spans="2:4" x14ac:dyDescent="0.25">
      <c r="B509" s="71">
        <f t="shared" si="24"/>
        <v>22.20000000000018</v>
      </c>
      <c r="C509" s="4">
        <f t="shared" si="25"/>
        <v>7.0414163606841512E-24</v>
      </c>
      <c r="D509" s="4">
        <f t="shared" si="26"/>
        <v>3.7431866408940945E-2</v>
      </c>
    </row>
    <row r="510" spans="2:4" x14ac:dyDescent="0.25">
      <c r="B510" s="71">
        <f t="shared" si="24"/>
        <v>22.250000000000181</v>
      </c>
      <c r="C510" s="4">
        <f t="shared" si="25"/>
        <v>5.4684588865413918E-24</v>
      </c>
      <c r="D510" s="4">
        <f t="shared" si="26"/>
        <v>3.8753066364578134E-2</v>
      </c>
    </row>
    <row r="511" spans="2:4" x14ac:dyDescent="0.25">
      <c r="B511" s="71">
        <f t="shared" si="24"/>
        <v>22.300000000000182</v>
      </c>
      <c r="C511" s="4">
        <f t="shared" si="25"/>
        <v>4.2442254336008938E-24</v>
      </c>
      <c r="D511" s="4">
        <f t="shared" si="26"/>
        <v>4.0095831835484826E-2</v>
      </c>
    </row>
    <row r="512" spans="2:4" x14ac:dyDescent="0.25">
      <c r="B512" s="71">
        <f t="shared" si="24"/>
        <v>22.350000000000183</v>
      </c>
      <c r="C512" s="4">
        <f t="shared" si="25"/>
        <v>3.292005118131614E-24</v>
      </c>
      <c r="D512" s="4">
        <f t="shared" si="26"/>
        <v>4.1459203049031203E-2</v>
      </c>
    </row>
    <row r="513" spans="2:4" x14ac:dyDescent="0.25">
      <c r="B513" s="71">
        <f t="shared" si="24"/>
        <v>22.400000000000183</v>
      </c>
      <c r="C513" s="4">
        <f t="shared" si="25"/>
        <v>2.551826398574132E-24</v>
      </c>
      <c r="D513" s="4">
        <f t="shared" si="26"/>
        <v>4.2842148011956946E-2</v>
      </c>
    </row>
    <row r="514" spans="2:4" x14ac:dyDescent="0.25">
      <c r="B514" s="71">
        <f t="shared" ref="B514:B536" si="27">B513+$A$65</f>
        <v>22.450000000000184</v>
      </c>
      <c r="C514" s="4">
        <f t="shared" ref="C514:C536" si="28">_xlfn.NORM.DIST(B514,$C$57,C$58,FALSE)*C$59</f>
        <v>1.976834518865361E-24</v>
      </c>
      <c r="D514" s="4">
        <f t="shared" ref="D514:D536" si="29">_xlfn.NORM.DIST(B514,$D$57,D$58,FALSE)*D$59</f>
        <v>4.4243562677550113E-2</v>
      </c>
    </row>
    <row r="515" spans="2:4" x14ac:dyDescent="0.25">
      <c r="B515" s="71">
        <f t="shared" si="27"/>
        <v>22.500000000000185</v>
      </c>
      <c r="C515" s="4">
        <f t="shared" si="28"/>
        <v>1.5304462163103339E-24</v>
      </c>
      <c r="D515" s="4">
        <f t="shared" si="29"/>
        <v>4.5662271347260752E-2</v>
      </c>
    </row>
    <row r="516" spans="2:4" x14ac:dyDescent="0.25">
      <c r="B516" s="71">
        <f t="shared" si="27"/>
        <v>22.550000000000185</v>
      </c>
      <c r="C516" s="4">
        <f t="shared" si="28"/>
        <v>1.1841163941873458E-24</v>
      </c>
      <c r="D516" s="4">
        <f t="shared" si="29"/>
        <v>4.7097027313036936E-2</v>
      </c>
    </row>
    <row r="517" spans="2:4" x14ac:dyDescent="0.25">
      <c r="B517" s="71">
        <f t="shared" si="27"/>
        <v>22.600000000000186</v>
      </c>
      <c r="C517" s="4">
        <f t="shared" si="28"/>
        <v>9.1558629213797272E-25</v>
      </c>
      <c r="D517" s="4">
        <f t="shared" si="29"/>
        <v>4.8546513745808664E-2</v>
      </c>
    </row>
    <row r="518" spans="2:4" x14ac:dyDescent="0.25">
      <c r="B518" s="71">
        <f t="shared" si="27"/>
        <v>22.650000000000187</v>
      </c>
      <c r="C518" s="4">
        <f t="shared" si="28"/>
        <v>7.0751024962413184E-25</v>
      </c>
      <c r="D518" s="4">
        <f t="shared" si="29"/>
        <v>5.0009344834627427E-2</v>
      </c>
    </row>
    <row r="519" spans="2:4" x14ac:dyDescent="0.25">
      <c r="B519" s="71">
        <f t="shared" si="27"/>
        <v>22.700000000000188</v>
      </c>
      <c r="C519" s="4">
        <f t="shared" si="28"/>
        <v>5.4637995199949198E-25</v>
      </c>
      <c r="D519" s="4">
        <f t="shared" si="29"/>
        <v>5.1484067179999246E-2</v>
      </c>
    </row>
    <row r="520" spans="2:4" x14ac:dyDescent="0.25">
      <c r="B520" s="71">
        <f t="shared" si="27"/>
        <v>22.750000000000188</v>
      </c>
      <c r="C520" s="4">
        <f t="shared" si="28"/>
        <v>4.2168227031720883E-25</v>
      </c>
      <c r="D520" s="4">
        <f t="shared" si="29"/>
        <v>5.2969161443930483E-2</v>
      </c>
    </row>
    <row r="521" spans="2:4" x14ac:dyDescent="0.25">
      <c r="B521" s="71">
        <f t="shared" si="27"/>
        <v>22.800000000000189</v>
      </c>
      <c r="C521" s="4">
        <f t="shared" si="28"/>
        <v>3.2524040498065934E-25</v>
      </c>
      <c r="D521" s="4">
        <f t="shared" si="29"/>
        <v>5.4463044258143294E-2</v>
      </c>
    </row>
    <row r="522" spans="2:4" x14ac:dyDescent="0.25">
      <c r="B522" s="71">
        <f t="shared" si="27"/>
        <v>22.85000000000019</v>
      </c>
      <c r="C522" s="4">
        <f t="shared" si="28"/>
        <v>2.5069877441829822E-25</v>
      </c>
      <c r="D522" s="4">
        <f t="shared" si="29"/>
        <v>5.5964070390815586E-2</v>
      </c>
    </row>
    <row r="523" spans="2:4" x14ac:dyDescent="0.25">
      <c r="B523" s="71">
        <f t="shared" si="27"/>
        <v>22.90000000000019</v>
      </c>
      <c r="C523" s="4">
        <f t="shared" si="28"/>
        <v>1.9312055216262867E-25</v>
      </c>
      <c r="D523" s="4">
        <f t="shared" si="29"/>
        <v>5.7470535171064013E-2</v>
      </c>
    </row>
    <row r="524" spans="2:4" x14ac:dyDescent="0.25">
      <c r="B524" s="71">
        <f t="shared" si="27"/>
        <v>22.950000000000191</v>
      </c>
      <c r="C524" s="4">
        <f t="shared" si="28"/>
        <v>1.4867342419028285E-25</v>
      </c>
      <c r="D524" s="4">
        <f t="shared" si="29"/>
        <v>5.8980677169223908E-2</v>
      </c>
    </row>
    <row r="525" spans="2:4" x14ac:dyDescent="0.25">
      <c r="B525" s="71">
        <f t="shared" si="27"/>
        <v>23.000000000000192</v>
      </c>
      <c r="C525" s="4">
        <f t="shared" si="28"/>
        <v>1.1438438976290472E-25</v>
      </c>
      <c r="D525" s="4">
        <f t="shared" si="29"/>
        <v>6.0492681129791642E-2</v>
      </c>
    </row>
    <row r="526" spans="2:4" x14ac:dyDescent="0.25">
      <c r="B526" s="71">
        <f t="shared" si="27"/>
        <v>23.050000000000193</v>
      </c>
      <c r="C526" s="4">
        <f t="shared" si="28"/>
        <v>8.7948561618543705E-26</v>
      </c>
      <c r="D526" s="4">
        <f t="shared" si="29"/>
        <v>6.2004681152690096E-2</v>
      </c>
    </row>
    <row r="527" spans="2:4" x14ac:dyDescent="0.25">
      <c r="B527" s="71">
        <f t="shared" si="27"/>
        <v>23.100000000000193</v>
      </c>
      <c r="C527" s="4">
        <f t="shared" si="28"/>
        <v>6.7580171330892019E-26</v>
      </c>
      <c r="D527" s="4">
        <f t="shared" si="29"/>
        <v>6.3514764117303085E-2</v>
      </c>
    </row>
    <row r="528" spans="2:4" x14ac:dyDescent="0.25">
      <c r="B528" s="71">
        <f t="shared" si="27"/>
        <v>23.150000000000194</v>
      </c>
      <c r="C528" s="4">
        <f t="shared" si="28"/>
        <v>5.1896539752494282E-26</v>
      </c>
      <c r="D528" s="4">
        <f t="shared" si="29"/>
        <v>6.5020973342504756E-2</v>
      </c>
    </row>
    <row r="529" spans="2:4" x14ac:dyDescent="0.25">
      <c r="B529" s="71">
        <f t="shared" si="27"/>
        <v>23.200000000000195</v>
      </c>
      <c r="C529" s="4">
        <f t="shared" si="28"/>
        <v>3.9827778317483136E-26</v>
      </c>
      <c r="D529" s="4">
        <f t="shared" si="29"/>
        <v>6.6521312474694547E-2</v>
      </c>
    </row>
    <row r="530" spans="2:4" x14ac:dyDescent="0.25">
      <c r="B530" s="71">
        <f t="shared" si="27"/>
        <v>23.250000000000195</v>
      </c>
      <c r="C530" s="4">
        <f t="shared" si="28"/>
        <v>3.0546561207428201E-26</v>
      </c>
      <c r="D530" s="4">
        <f t="shared" si="29"/>
        <v>6.8013749594641695E-2</v>
      </c>
    </row>
    <row r="531" spans="2:4" x14ac:dyDescent="0.25">
      <c r="B531" s="71">
        <f t="shared" si="27"/>
        <v>23.300000000000196</v>
      </c>
      <c r="C531" s="4">
        <f t="shared" si="28"/>
        <v>2.3413543020687758E-26</v>
      </c>
      <c r="D531" s="4">
        <f t="shared" si="29"/>
        <v>6.9496221532754907E-2</v>
      </c>
    </row>
    <row r="532" spans="2:4" x14ac:dyDescent="0.25">
      <c r="B532" s="71">
        <f t="shared" si="27"/>
        <v>23.350000000000197</v>
      </c>
      <c r="C532" s="4">
        <f t="shared" si="28"/>
        <v>1.7934964229204992E-26</v>
      </c>
      <c r="D532" s="4">
        <f t="shared" si="29"/>
        <v>7.0966638381227576E-2</v>
      </c>
    </row>
    <row r="533" spans="2:4" x14ac:dyDescent="0.25">
      <c r="B533" s="71">
        <f t="shared" si="27"/>
        <v>23.400000000000198</v>
      </c>
      <c r="C533" s="4">
        <f t="shared" si="28"/>
        <v>1.3729744579530006E-26</v>
      </c>
      <c r="D533" s="4">
        <f t="shared" si="29"/>
        <v>7.24228881903764E-2</v>
      </c>
    </row>
    <row r="534" spans="2:4" x14ac:dyDescent="0.25">
      <c r="B534" s="71">
        <f t="shared" si="27"/>
        <v>23.450000000000198</v>
      </c>
      <c r="C534" s="4">
        <f t="shared" si="28"/>
        <v>1.0503957768890642E-26</v>
      </c>
      <c r="D534" s="4">
        <f t="shared" si="29"/>
        <v>7.3862841835396417E-2</v>
      </c>
    </row>
    <row r="535" spans="2:4" x14ac:dyDescent="0.25">
      <c r="B535" s="71">
        <f t="shared" si="27"/>
        <v>23.500000000000199</v>
      </c>
      <c r="C535" s="4">
        <f t="shared" si="28"/>
        <v>8.0310446790450403E-27</v>
      </c>
      <c r="D535" s="4">
        <f t="shared" si="29"/>
        <v>7.5284358038706714E-2</v>
      </c>
    </row>
    <row r="536" spans="2:4" x14ac:dyDescent="0.25">
      <c r="B536" s="71">
        <f t="shared" si="27"/>
        <v>23.5500000000002</v>
      </c>
      <c r="C536" s="4">
        <f t="shared" si="28"/>
        <v>6.1364850849981702E-27</v>
      </c>
      <c r="D536" s="4">
        <f t="shared" si="29"/>
        <v>7.6685288532065535E-2</v>
      </c>
    </row>
  </sheetData>
  <mergeCells count="5">
    <mergeCell ref="M2:O2"/>
    <mergeCell ref="D2:F2"/>
    <mergeCell ref="F13:G13"/>
    <mergeCell ref="H13:I13"/>
    <mergeCell ref="J13:K13"/>
  </mergeCells>
  <conditionalFormatting sqref="D15:E2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5:F2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5:G2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5:H2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K14 I14:I2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D53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{B509732C-15CC-42CB-9894-7DA468C1EF8E}</x14:id>
        </ext>
      </extLst>
    </cfRule>
  </conditionalFormatting>
  <conditionalFormatting sqref="E6:F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{43BE0153-FD0D-4A77-8674-8046E5CCA651}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86" r:id="rId4" name="Button 30">
              <controlPr defaultSize="0" print="0" autoFill="0" autoPict="0" macro="[0]!reset_gmm">
                <anchor moveWithCells="1" sizeWithCells="1">
                  <from>
                    <xdr:col>9</xdr:col>
                    <xdr:colOff>9525</xdr:colOff>
                    <xdr:row>3</xdr:row>
                    <xdr:rowOff>57150</xdr:rowOff>
                  </from>
                  <to>
                    <xdr:col>10</xdr:col>
                    <xdr:colOff>933450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5" name="Button 29">
              <controlPr defaultSize="0" print="0" autoFill="0" autoPict="0" macro="[0]!auto_GMM_1">
                <anchor moveWithCells="1" sizeWithCells="1">
                  <from>
                    <xdr:col>6</xdr:col>
                    <xdr:colOff>1143000</xdr:colOff>
                    <xdr:row>3</xdr:row>
                    <xdr:rowOff>57150</xdr:rowOff>
                  </from>
                  <to>
                    <xdr:col>8</xdr:col>
                    <xdr:colOff>504825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09732C-15CC-42CB-9894-7DA468C1E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C65:D536</xm:sqref>
        </x14:conditionalFormatting>
        <x14:conditionalFormatting xmlns:xm="http://schemas.microsoft.com/office/excel/2006/main">
          <x14:cfRule type="dataBar" id="{43BE0153-FD0D-4A77-8674-8046E5CCA6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E6:F6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AL8"/>
  <sheetViews>
    <sheetView topLeftCell="B1" workbookViewId="0">
      <selection activeCell="E30" sqref="E30"/>
    </sheetView>
  </sheetViews>
  <sheetFormatPr defaultRowHeight="15" x14ac:dyDescent="0.25"/>
  <cols>
    <col min="2" max="4" width="10.28515625" customWidth="1"/>
    <col min="6" max="6" width="10.28515625" customWidth="1"/>
    <col min="7" max="38" width="5" customWidth="1"/>
  </cols>
  <sheetData>
    <row r="4" spans="2:38" ht="14.45" x14ac:dyDescent="0.3">
      <c r="C4" s="30" t="s">
        <v>16</v>
      </c>
    </row>
    <row r="5" spans="2:38" ht="18" customHeight="1" x14ac:dyDescent="0.3">
      <c r="C5" s="16" t="s">
        <v>10</v>
      </c>
      <c r="F5" s="54" t="s">
        <v>32</v>
      </c>
      <c r="G5" s="3">
        <f>INT(G6*$C$8)</f>
        <v>0</v>
      </c>
      <c r="H5" s="3">
        <f t="shared" ref="H5:AL5" si="0">INT(H6*$C$8)</f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1</v>
      </c>
      <c r="M5" s="3">
        <f t="shared" si="0"/>
        <v>2</v>
      </c>
      <c r="N5" s="3">
        <f t="shared" si="0"/>
        <v>4</v>
      </c>
      <c r="O5" s="3">
        <f t="shared" si="0"/>
        <v>8</v>
      </c>
      <c r="P5" s="3">
        <f t="shared" si="0"/>
        <v>13</v>
      </c>
      <c r="Q5" s="3">
        <f t="shared" si="0"/>
        <v>21</v>
      </c>
      <c r="R5" s="3">
        <f t="shared" si="0"/>
        <v>29</v>
      </c>
      <c r="S5" s="3">
        <f t="shared" si="0"/>
        <v>39</v>
      </c>
      <c r="T5" s="3">
        <f t="shared" si="0"/>
        <v>47</v>
      </c>
      <c r="U5" s="3">
        <f t="shared" si="0"/>
        <v>53</v>
      </c>
      <c r="V5" s="3">
        <f t="shared" si="0"/>
        <v>55</v>
      </c>
      <c r="W5" s="3">
        <f t="shared" si="0"/>
        <v>53</v>
      </c>
      <c r="X5" s="3">
        <f t="shared" si="0"/>
        <v>47</v>
      </c>
      <c r="Y5" s="3">
        <f t="shared" si="0"/>
        <v>39</v>
      </c>
      <c r="Z5" s="3">
        <f t="shared" si="0"/>
        <v>29</v>
      </c>
      <c r="AA5" s="3">
        <f t="shared" si="0"/>
        <v>21</v>
      </c>
      <c r="AB5" s="3">
        <f t="shared" si="0"/>
        <v>13</v>
      </c>
      <c r="AC5" s="3">
        <f t="shared" si="0"/>
        <v>8</v>
      </c>
      <c r="AD5" s="3">
        <f t="shared" si="0"/>
        <v>4</v>
      </c>
      <c r="AE5" s="3">
        <f t="shared" si="0"/>
        <v>2</v>
      </c>
      <c r="AF5" s="3">
        <f t="shared" si="0"/>
        <v>1</v>
      </c>
      <c r="AG5" s="3">
        <f t="shared" si="0"/>
        <v>0</v>
      </c>
      <c r="AH5" s="3">
        <f t="shared" si="0"/>
        <v>0</v>
      </c>
      <c r="AI5" s="3">
        <f t="shared" si="0"/>
        <v>0</v>
      </c>
      <c r="AJ5" s="3">
        <f t="shared" si="0"/>
        <v>0</v>
      </c>
      <c r="AK5" s="3">
        <f t="shared" si="0"/>
        <v>0</v>
      </c>
      <c r="AL5" s="3">
        <f t="shared" si="0"/>
        <v>0</v>
      </c>
    </row>
    <row r="6" spans="2:38" ht="18" customHeight="1" x14ac:dyDescent="0.3">
      <c r="B6" s="15" t="s">
        <v>7</v>
      </c>
      <c r="C6" s="18">
        <v>80</v>
      </c>
      <c r="F6" s="54" t="s">
        <v>0</v>
      </c>
      <c r="G6" s="13">
        <f>_xlfn.NORM.DIST(G8,$C$6,$C$7,FALSE)</f>
        <v>3.7646116604898687E-6</v>
      </c>
      <c r="H6" s="13">
        <f t="shared" ref="H6:AL6" si="1">_xlfn.NORM.DIST(H8,$C$6,$C$7,FALSE)</f>
        <v>1.1524461598217815E-5</v>
      </c>
      <c r="I6" s="13">
        <f t="shared" si="1"/>
        <v>3.2659590149816609E-5</v>
      </c>
      <c r="J6" s="13">
        <f t="shared" si="1"/>
        <v>8.5682166460616962E-5</v>
      </c>
      <c r="K6" s="13">
        <f t="shared" si="1"/>
        <v>2.0809410188877054E-4</v>
      </c>
      <c r="L6" s="13">
        <f t="shared" si="1"/>
        <v>4.678630268954641E-4</v>
      </c>
      <c r="M6" s="13">
        <f t="shared" si="1"/>
        <v>9.7379447186491882E-4</v>
      </c>
      <c r="N6" s="13">
        <f t="shared" si="1"/>
        <v>1.8763139464039241E-3</v>
      </c>
      <c r="O6" s="13">
        <f t="shared" si="1"/>
        <v>3.3468275231138852E-3</v>
      </c>
      <c r="P6" s="13">
        <f t="shared" si="1"/>
        <v>5.5265077107082596E-3</v>
      </c>
      <c r="Q6" s="13">
        <f t="shared" si="1"/>
        <v>8.4480767764308715E-3</v>
      </c>
      <c r="R6" s="13">
        <f t="shared" si="1"/>
        <v>1.1955136722390614E-2</v>
      </c>
      <c r="S6" s="13">
        <f t="shared" si="1"/>
        <v>1.566177085612792E-2</v>
      </c>
      <c r="T6" s="13">
        <f t="shared" si="1"/>
        <v>1.8994016342562734E-2</v>
      </c>
      <c r="U6" s="13">
        <f t="shared" si="1"/>
        <v>2.1324672612369349E-2</v>
      </c>
      <c r="V6" s="13">
        <f t="shared" si="1"/>
        <v>2.2163460022301816E-2</v>
      </c>
      <c r="W6" s="13">
        <f t="shared" si="1"/>
        <v>2.1324672612369349E-2</v>
      </c>
      <c r="X6" s="13">
        <f t="shared" si="1"/>
        <v>1.8994016342562734E-2</v>
      </c>
      <c r="Y6" s="13">
        <f t="shared" si="1"/>
        <v>1.566177085612792E-2</v>
      </c>
      <c r="Z6" s="13">
        <f t="shared" si="1"/>
        <v>1.1955136722390614E-2</v>
      </c>
      <c r="AA6" s="13">
        <f t="shared" si="1"/>
        <v>8.4480767764308715E-3</v>
      </c>
      <c r="AB6" s="13">
        <f t="shared" si="1"/>
        <v>5.5265077107082596E-3</v>
      </c>
      <c r="AC6" s="13">
        <f t="shared" si="1"/>
        <v>3.3468275231138852E-3</v>
      </c>
      <c r="AD6" s="13">
        <f t="shared" si="1"/>
        <v>1.8763139464039241E-3</v>
      </c>
      <c r="AE6" s="13">
        <f t="shared" si="1"/>
        <v>9.7379447186491882E-4</v>
      </c>
      <c r="AF6" s="13">
        <f t="shared" si="1"/>
        <v>4.678630268954641E-4</v>
      </c>
      <c r="AG6" s="13">
        <f t="shared" si="1"/>
        <v>2.0809410188877054E-4</v>
      </c>
      <c r="AH6" s="13">
        <f t="shared" si="1"/>
        <v>8.5682166460616962E-5</v>
      </c>
      <c r="AI6" s="13">
        <f t="shared" si="1"/>
        <v>3.2659590149816609E-5</v>
      </c>
      <c r="AJ6" s="13">
        <f t="shared" si="1"/>
        <v>1.1524461598217815E-5</v>
      </c>
      <c r="AK6" s="13">
        <f t="shared" si="1"/>
        <v>3.7646116604898687E-6</v>
      </c>
      <c r="AL6" s="13">
        <f t="shared" si="1"/>
        <v>1.138437897048529E-6</v>
      </c>
    </row>
    <row r="7" spans="2:38" ht="18" customHeight="1" x14ac:dyDescent="0.3">
      <c r="B7" s="15" t="s">
        <v>8</v>
      </c>
      <c r="C7" s="18">
        <v>18</v>
      </c>
      <c r="F7" s="54" t="s">
        <v>13</v>
      </c>
      <c r="G7" s="13">
        <v>10</v>
      </c>
      <c r="H7" s="13">
        <v>15</v>
      </c>
      <c r="I7" s="13">
        <v>20</v>
      </c>
      <c r="J7" s="13">
        <v>25</v>
      </c>
      <c r="K7" s="13">
        <v>30</v>
      </c>
      <c r="L7" s="13">
        <v>35</v>
      </c>
      <c r="M7" s="13">
        <v>40</v>
      </c>
      <c r="N7" s="13">
        <v>45</v>
      </c>
      <c r="O7" s="13">
        <v>50</v>
      </c>
      <c r="P7" s="13">
        <v>55</v>
      </c>
      <c r="Q7" s="13">
        <v>60</v>
      </c>
      <c r="R7" s="13">
        <v>65</v>
      </c>
      <c r="S7" s="13">
        <v>70</v>
      </c>
      <c r="T7" s="13">
        <v>75</v>
      </c>
      <c r="U7" s="13">
        <v>80</v>
      </c>
      <c r="V7" s="13">
        <v>85</v>
      </c>
      <c r="W7" s="13">
        <v>90</v>
      </c>
      <c r="X7" s="13">
        <v>95</v>
      </c>
      <c r="Y7" s="13">
        <v>100</v>
      </c>
      <c r="Z7" s="13">
        <v>105</v>
      </c>
      <c r="AA7" s="13">
        <v>110</v>
      </c>
      <c r="AB7" s="13">
        <v>115</v>
      </c>
      <c r="AC7" s="13">
        <v>120</v>
      </c>
      <c r="AD7" s="13">
        <v>125</v>
      </c>
      <c r="AE7" s="13">
        <v>130</v>
      </c>
      <c r="AF7" s="13">
        <v>135</v>
      </c>
      <c r="AG7" s="13">
        <v>140</v>
      </c>
      <c r="AH7" s="13">
        <v>145</v>
      </c>
      <c r="AI7" s="13">
        <v>150</v>
      </c>
      <c r="AJ7" s="13">
        <v>155</v>
      </c>
      <c r="AK7" s="13">
        <v>160</v>
      </c>
      <c r="AL7" s="13">
        <v>165</v>
      </c>
    </row>
    <row r="8" spans="2:38" ht="18" customHeight="1" x14ac:dyDescent="0.3">
      <c r="B8" s="15" t="s">
        <v>31</v>
      </c>
      <c r="C8" s="18">
        <v>2500</v>
      </c>
      <c r="F8" s="54" t="s">
        <v>12</v>
      </c>
      <c r="G8" s="20">
        <v>5</v>
      </c>
      <c r="H8" s="13">
        <v>10</v>
      </c>
      <c r="I8" s="13">
        <v>15</v>
      </c>
      <c r="J8" s="13">
        <v>20</v>
      </c>
      <c r="K8" s="13">
        <v>25</v>
      </c>
      <c r="L8" s="13">
        <v>30</v>
      </c>
      <c r="M8" s="13">
        <v>35</v>
      </c>
      <c r="N8" s="13">
        <v>40</v>
      </c>
      <c r="O8" s="13">
        <v>45</v>
      </c>
      <c r="P8" s="13">
        <v>50</v>
      </c>
      <c r="Q8" s="13">
        <v>55</v>
      </c>
      <c r="R8" s="13">
        <v>60</v>
      </c>
      <c r="S8" s="13">
        <v>65</v>
      </c>
      <c r="T8" s="13">
        <v>70</v>
      </c>
      <c r="U8" s="13">
        <v>75</v>
      </c>
      <c r="V8" s="13">
        <v>80</v>
      </c>
      <c r="W8" s="13">
        <v>85</v>
      </c>
      <c r="X8" s="13">
        <v>90</v>
      </c>
      <c r="Y8" s="13">
        <v>95</v>
      </c>
      <c r="Z8" s="13">
        <v>100</v>
      </c>
      <c r="AA8" s="13">
        <v>105</v>
      </c>
      <c r="AB8" s="13">
        <v>110</v>
      </c>
      <c r="AC8" s="13">
        <v>115</v>
      </c>
      <c r="AD8" s="13">
        <v>120</v>
      </c>
      <c r="AE8" s="13">
        <v>125</v>
      </c>
      <c r="AF8" s="13">
        <v>130</v>
      </c>
      <c r="AG8" s="13">
        <v>135</v>
      </c>
      <c r="AH8" s="13">
        <v>140</v>
      </c>
      <c r="AI8" s="13">
        <v>145</v>
      </c>
      <c r="AJ8" s="13">
        <v>150</v>
      </c>
      <c r="AK8" s="13">
        <v>155</v>
      </c>
      <c r="AL8" s="13">
        <v>160</v>
      </c>
    </row>
  </sheetData>
  <conditionalFormatting sqref="G6:AL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:AL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O504"/>
  <sheetViews>
    <sheetView showGridLines="0" tabSelected="1" zoomScale="120" zoomScaleNormal="120" workbookViewId="0">
      <selection activeCell="A21" sqref="A21"/>
    </sheetView>
  </sheetViews>
  <sheetFormatPr defaultRowHeight="19.899999999999999" customHeight="1" x14ac:dyDescent="0.25"/>
  <cols>
    <col min="1" max="6" width="19.7109375" customWidth="1"/>
    <col min="7" max="7" width="8.5703125" customWidth="1"/>
    <col min="8" max="8" width="9.28515625" customWidth="1"/>
    <col min="9" max="9" width="9.7109375" customWidth="1"/>
    <col min="10" max="41" width="5" customWidth="1"/>
  </cols>
  <sheetData>
    <row r="2" spans="2:41" ht="19.899999999999999" customHeight="1" x14ac:dyDescent="0.3">
      <c r="C2" s="30" t="s">
        <v>16</v>
      </c>
      <c r="D2" s="16"/>
      <c r="E2" s="15" t="s">
        <v>17</v>
      </c>
      <c r="G2" s="16"/>
      <c r="I2" s="15" t="s">
        <v>14</v>
      </c>
    </row>
    <row r="3" spans="2:41" ht="19.899999999999999" customHeight="1" x14ac:dyDescent="0.3">
      <c r="C3" s="16" t="s">
        <v>10</v>
      </c>
      <c r="D3" s="16" t="s">
        <v>11</v>
      </c>
      <c r="G3" s="16"/>
    </row>
    <row r="4" spans="2:41" ht="19.899999999999999" customHeight="1" x14ac:dyDescent="0.3">
      <c r="B4" s="15" t="s">
        <v>7</v>
      </c>
      <c r="C4" s="18">
        <v>50</v>
      </c>
      <c r="D4" s="18">
        <v>110</v>
      </c>
      <c r="I4" s="16" t="s">
        <v>0</v>
      </c>
      <c r="J4" s="13">
        <f t="shared" ref="J4:AO4" si="0">J8+J7</f>
        <v>3</v>
      </c>
      <c r="K4" s="13">
        <f t="shared" si="0"/>
        <v>9</v>
      </c>
      <c r="L4" s="13">
        <f t="shared" si="0"/>
        <v>7</v>
      </c>
      <c r="M4" s="13">
        <f t="shared" si="0"/>
        <v>20</v>
      </c>
      <c r="N4" s="13">
        <f t="shared" si="0"/>
        <v>27</v>
      </c>
      <c r="O4" s="13">
        <f t="shared" si="0"/>
        <v>34</v>
      </c>
      <c r="P4" s="13">
        <f t="shared" si="0"/>
        <v>45</v>
      </c>
      <c r="Q4" s="13">
        <f t="shared" si="0"/>
        <v>52</v>
      </c>
      <c r="R4" s="13">
        <f t="shared" si="0"/>
        <v>47</v>
      </c>
      <c r="S4" s="13">
        <f t="shared" si="0"/>
        <v>54</v>
      </c>
      <c r="T4" s="13">
        <f t="shared" si="0"/>
        <v>39</v>
      </c>
      <c r="U4" s="13">
        <f t="shared" si="0"/>
        <v>49</v>
      </c>
      <c r="V4" s="13">
        <f t="shared" si="0"/>
        <v>29</v>
      </c>
      <c r="W4" s="13">
        <f t="shared" si="0"/>
        <v>27</v>
      </c>
      <c r="X4" s="13">
        <f t="shared" si="0"/>
        <v>25</v>
      </c>
      <c r="Y4" s="13">
        <f t="shared" si="0"/>
        <v>22</v>
      </c>
      <c r="Z4" s="13">
        <f t="shared" si="0"/>
        <v>19</v>
      </c>
      <c r="AA4" s="13">
        <f t="shared" si="0"/>
        <v>39</v>
      </c>
      <c r="AB4" s="13">
        <f t="shared" si="0"/>
        <v>49</v>
      </c>
      <c r="AC4" s="13">
        <f t="shared" si="0"/>
        <v>63</v>
      </c>
      <c r="AD4" s="13">
        <f t="shared" si="0"/>
        <v>62</v>
      </c>
      <c r="AE4" s="13">
        <f t="shared" si="0"/>
        <v>74</v>
      </c>
      <c r="AF4" s="13">
        <f t="shared" si="0"/>
        <v>61</v>
      </c>
      <c r="AG4" s="13">
        <f t="shared" si="0"/>
        <v>54</v>
      </c>
      <c r="AH4" s="13">
        <f t="shared" si="0"/>
        <v>34</v>
      </c>
      <c r="AI4" s="13">
        <f t="shared" si="0"/>
        <v>24</v>
      </c>
      <c r="AJ4" s="13">
        <f t="shared" si="0"/>
        <v>6</v>
      </c>
      <c r="AK4" s="13">
        <f t="shared" si="0"/>
        <v>3</v>
      </c>
      <c r="AL4" s="13">
        <f t="shared" si="0"/>
        <v>2</v>
      </c>
      <c r="AM4" s="13">
        <f t="shared" si="0"/>
        <v>0</v>
      </c>
      <c r="AN4" s="13">
        <f t="shared" si="0"/>
        <v>0</v>
      </c>
      <c r="AO4" s="13">
        <f t="shared" si="0"/>
        <v>0</v>
      </c>
    </row>
    <row r="5" spans="2:41" ht="19.899999999999999" customHeight="1" x14ac:dyDescent="0.3">
      <c r="B5" s="15" t="s">
        <v>8</v>
      </c>
      <c r="C5" s="18">
        <v>18</v>
      </c>
      <c r="D5" s="18">
        <v>13</v>
      </c>
      <c r="I5" s="16" t="s">
        <v>13</v>
      </c>
      <c r="J5" s="13">
        <f t="shared" ref="J5:AO5" si="1">J6+step</f>
        <v>10</v>
      </c>
      <c r="K5" s="13">
        <f t="shared" si="1"/>
        <v>15</v>
      </c>
      <c r="L5" s="13">
        <f t="shared" si="1"/>
        <v>20</v>
      </c>
      <c r="M5" s="13">
        <f t="shared" si="1"/>
        <v>25</v>
      </c>
      <c r="N5" s="13">
        <f t="shared" si="1"/>
        <v>30</v>
      </c>
      <c r="O5" s="13">
        <f t="shared" si="1"/>
        <v>35</v>
      </c>
      <c r="P5" s="13">
        <f t="shared" si="1"/>
        <v>40</v>
      </c>
      <c r="Q5" s="13">
        <f t="shared" si="1"/>
        <v>45</v>
      </c>
      <c r="R5" s="13">
        <f t="shared" si="1"/>
        <v>50</v>
      </c>
      <c r="S5" s="13">
        <f t="shared" si="1"/>
        <v>55</v>
      </c>
      <c r="T5" s="13">
        <f t="shared" si="1"/>
        <v>60</v>
      </c>
      <c r="U5" s="13">
        <f t="shared" si="1"/>
        <v>65</v>
      </c>
      <c r="V5" s="13">
        <f t="shared" si="1"/>
        <v>70</v>
      </c>
      <c r="W5" s="13">
        <f t="shared" si="1"/>
        <v>75</v>
      </c>
      <c r="X5" s="13">
        <f t="shared" si="1"/>
        <v>80</v>
      </c>
      <c r="Y5" s="13">
        <f t="shared" si="1"/>
        <v>85</v>
      </c>
      <c r="Z5" s="13">
        <f t="shared" si="1"/>
        <v>90</v>
      </c>
      <c r="AA5" s="13">
        <f t="shared" si="1"/>
        <v>95</v>
      </c>
      <c r="AB5" s="13">
        <f t="shared" si="1"/>
        <v>100</v>
      </c>
      <c r="AC5" s="13">
        <f t="shared" si="1"/>
        <v>105</v>
      </c>
      <c r="AD5" s="13">
        <f t="shared" si="1"/>
        <v>110</v>
      </c>
      <c r="AE5" s="13">
        <f t="shared" si="1"/>
        <v>115</v>
      </c>
      <c r="AF5" s="13">
        <f t="shared" si="1"/>
        <v>120</v>
      </c>
      <c r="AG5" s="13">
        <f t="shared" si="1"/>
        <v>125</v>
      </c>
      <c r="AH5" s="13">
        <f t="shared" si="1"/>
        <v>130</v>
      </c>
      <c r="AI5" s="13">
        <f t="shared" si="1"/>
        <v>135</v>
      </c>
      <c r="AJ5" s="13">
        <f t="shared" si="1"/>
        <v>140</v>
      </c>
      <c r="AK5" s="13">
        <f t="shared" si="1"/>
        <v>145</v>
      </c>
      <c r="AL5" s="13">
        <f t="shared" si="1"/>
        <v>150</v>
      </c>
      <c r="AM5" s="13">
        <f t="shared" si="1"/>
        <v>155</v>
      </c>
      <c r="AN5" s="13">
        <f t="shared" si="1"/>
        <v>160</v>
      </c>
      <c r="AO5" s="13">
        <f t="shared" si="1"/>
        <v>165</v>
      </c>
    </row>
    <row r="6" spans="2:41" ht="19.899999999999999" customHeight="1" x14ac:dyDescent="0.3">
      <c r="B6" s="15" t="s">
        <v>9</v>
      </c>
      <c r="C6" s="18">
        <v>5</v>
      </c>
      <c r="D6" s="7"/>
      <c r="G6" s="7"/>
      <c r="I6" s="16" t="s">
        <v>12</v>
      </c>
      <c r="J6" s="20">
        <v>5</v>
      </c>
      <c r="K6" s="13">
        <f t="shared" ref="K6:AO6" si="2">J6+step</f>
        <v>10</v>
      </c>
      <c r="L6" s="13">
        <f t="shared" si="2"/>
        <v>15</v>
      </c>
      <c r="M6" s="13">
        <f t="shared" si="2"/>
        <v>20</v>
      </c>
      <c r="N6" s="13">
        <f t="shared" si="2"/>
        <v>25</v>
      </c>
      <c r="O6" s="13">
        <f t="shared" si="2"/>
        <v>30</v>
      </c>
      <c r="P6" s="13">
        <f t="shared" si="2"/>
        <v>35</v>
      </c>
      <c r="Q6" s="13">
        <f t="shared" si="2"/>
        <v>40</v>
      </c>
      <c r="R6" s="13">
        <f t="shared" si="2"/>
        <v>45</v>
      </c>
      <c r="S6" s="13">
        <f t="shared" si="2"/>
        <v>50</v>
      </c>
      <c r="T6" s="13">
        <f t="shared" si="2"/>
        <v>55</v>
      </c>
      <c r="U6" s="13">
        <f t="shared" si="2"/>
        <v>60</v>
      </c>
      <c r="V6" s="13">
        <f t="shared" si="2"/>
        <v>65</v>
      </c>
      <c r="W6" s="13">
        <f t="shared" si="2"/>
        <v>70</v>
      </c>
      <c r="X6" s="13">
        <f t="shared" si="2"/>
        <v>75</v>
      </c>
      <c r="Y6" s="13">
        <f t="shared" si="2"/>
        <v>80</v>
      </c>
      <c r="Z6" s="13">
        <f t="shared" si="2"/>
        <v>85</v>
      </c>
      <c r="AA6" s="13">
        <f t="shared" si="2"/>
        <v>90</v>
      </c>
      <c r="AB6" s="13">
        <f t="shared" si="2"/>
        <v>95</v>
      </c>
      <c r="AC6" s="13">
        <f t="shared" si="2"/>
        <v>100</v>
      </c>
      <c r="AD6" s="13">
        <f t="shared" si="2"/>
        <v>105</v>
      </c>
      <c r="AE6" s="13">
        <f t="shared" si="2"/>
        <v>110</v>
      </c>
      <c r="AF6" s="13">
        <f t="shared" si="2"/>
        <v>115</v>
      </c>
      <c r="AG6" s="13">
        <f t="shared" si="2"/>
        <v>120</v>
      </c>
      <c r="AH6" s="13">
        <f t="shared" si="2"/>
        <v>125</v>
      </c>
      <c r="AI6" s="13">
        <f t="shared" si="2"/>
        <v>130</v>
      </c>
      <c r="AJ6" s="13">
        <f t="shared" si="2"/>
        <v>135</v>
      </c>
      <c r="AK6" s="13">
        <f t="shared" si="2"/>
        <v>140</v>
      </c>
      <c r="AL6" s="13">
        <f t="shared" si="2"/>
        <v>145</v>
      </c>
      <c r="AM6" s="13">
        <f t="shared" si="2"/>
        <v>150</v>
      </c>
      <c r="AN6" s="13">
        <f t="shared" si="2"/>
        <v>155</v>
      </c>
      <c r="AO6" s="13">
        <f t="shared" si="2"/>
        <v>160</v>
      </c>
    </row>
    <row r="7" spans="2:41" ht="19.899999999999999" customHeight="1" x14ac:dyDescent="0.25">
      <c r="H7" s="157" t="s">
        <v>15</v>
      </c>
      <c r="I7" s="5" t="s">
        <v>10</v>
      </c>
      <c r="J7" s="3">
        <f>COUNTIFS($E$14:$E$504,"&gt;"&amp;J$6,$E$14:$E$504,"&lt;="&amp;J$5)</f>
        <v>3</v>
      </c>
      <c r="K7" s="3">
        <f t="shared" ref="K7:AO7" si="3">COUNTIFS($E$14:$E$504,"&gt;"&amp;K$6,$E$14:$E$504,"&lt;="&amp;K$5)</f>
        <v>9</v>
      </c>
      <c r="L7" s="3">
        <f t="shared" si="3"/>
        <v>7</v>
      </c>
      <c r="M7" s="3">
        <f t="shared" si="3"/>
        <v>20</v>
      </c>
      <c r="N7" s="3">
        <f t="shared" si="3"/>
        <v>27</v>
      </c>
      <c r="O7" s="3">
        <f t="shared" si="3"/>
        <v>34</v>
      </c>
      <c r="P7" s="3">
        <f t="shared" si="3"/>
        <v>45</v>
      </c>
      <c r="Q7" s="3">
        <f t="shared" si="3"/>
        <v>52</v>
      </c>
      <c r="R7" s="3">
        <f t="shared" si="3"/>
        <v>47</v>
      </c>
      <c r="S7" s="3">
        <f t="shared" si="3"/>
        <v>54</v>
      </c>
      <c r="T7" s="3">
        <f t="shared" si="3"/>
        <v>39</v>
      </c>
      <c r="U7" s="3">
        <f t="shared" si="3"/>
        <v>49</v>
      </c>
      <c r="V7" s="3">
        <f t="shared" si="3"/>
        <v>29</v>
      </c>
      <c r="W7" s="3">
        <f t="shared" si="3"/>
        <v>25</v>
      </c>
      <c r="X7" s="3">
        <f t="shared" si="3"/>
        <v>22</v>
      </c>
      <c r="Y7" s="3">
        <f t="shared" si="3"/>
        <v>13</v>
      </c>
      <c r="Z7" s="3">
        <f t="shared" si="3"/>
        <v>5</v>
      </c>
      <c r="AA7" s="3">
        <f t="shared" si="3"/>
        <v>4</v>
      </c>
      <c r="AB7" s="3">
        <f t="shared" si="3"/>
        <v>3</v>
      </c>
      <c r="AC7" s="3">
        <f t="shared" si="3"/>
        <v>0</v>
      </c>
      <c r="AD7" s="3">
        <f t="shared" si="3"/>
        <v>1</v>
      </c>
      <c r="AE7" s="3">
        <f t="shared" si="3"/>
        <v>0</v>
      </c>
      <c r="AF7" s="3">
        <f t="shared" si="3"/>
        <v>0</v>
      </c>
      <c r="AG7" s="3">
        <f t="shared" si="3"/>
        <v>0</v>
      </c>
      <c r="AH7" s="3">
        <f t="shared" si="3"/>
        <v>0</v>
      </c>
      <c r="AI7" s="3">
        <f t="shared" si="3"/>
        <v>0</v>
      </c>
      <c r="AJ7" s="3">
        <f t="shared" si="3"/>
        <v>0</v>
      </c>
      <c r="AK7" s="3">
        <f t="shared" si="3"/>
        <v>0</v>
      </c>
      <c r="AL7" s="3">
        <f t="shared" si="3"/>
        <v>0</v>
      </c>
      <c r="AM7" s="3">
        <f t="shared" si="3"/>
        <v>0</v>
      </c>
      <c r="AN7" s="3">
        <f t="shared" si="3"/>
        <v>0</v>
      </c>
      <c r="AO7" s="3">
        <f t="shared" si="3"/>
        <v>0</v>
      </c>
    </row>
    <row r="8" spans="2:41" ht="19.899999999999999" customHeight="1" x14ac:dyDescent="0.25">
      <c r="H8" s="157"/>
      <c r="I8" s="5" t="s">
        <v>11</v>
      </c>
      <c r="J8" s="3">
        <f>COUNTIFS($F$14:$F$504,"&gt;"&amp;J$6,$F$14:$F$504,"&lt;="&amp;J$5)</f>
        <v>0</v>
      </c>
      <c r="K8" s="3">
        <f t="shared" ref="K8:AO8" si="4">COUNTIFS($F$14:$F$504,"&gt;"&amp;K$6,$F$14:$F$504,"&lt;="&amp;K$5)</f>
        <v>0</v>
      </c>
      <c r="L8" s="3">
        <f t="shared" si="4"/>
        <v>0</v>
      </c>
      <c r="M8" s="3">
        <f t="shared" si="4"/>
        <v>0</v>
      </c>
      <c r="N8" s="3">
        <f t="shared" si="4"/>
        <v>0</v>
      </c>
      <c r="O8" s="3">
        <f t="shared" si="4"/>
        <v>0</v>
      </c>
      <c r="P8" s="3">
        <f t="shared" si="4"/>
        <v>0</v>
      </c>
      <c r="Q8" s="3">
        <f t="shared" si="4"/>
        <v>0</v>
      </c>
      <c r="R8" s="3">
        <f t="shared" si="4"/>
        <v>0</v>
      </c>
      <c r="S8" s="3">
        <f t="shared" si="4"/>
        <v>0</v>
      </c>
      <c r="T8" s="3">
        <f t="shared" si="4"/>
        <v>0</v>
      </c>
      <c r="U8" s="3">
        <f t="shared" si="4"/>
        <v>0</v>
      </c>
      <c r="V8" s="3">
        <f t="shared" si="4"/>
        <v>0</v>
      </c>
      <c r="W8" s="3">
        <f t="shared" si="4"/>
        <v>2</v>
      </c>
      <c r="X8" s="3">
        <f t="shared" si="4"/>
        <v>3</v>
      </c>
      <c r="Y8" s="3">
        <f t="shared" si="4"/>
        <v>9</v>
      </c>
      <c r="Z8" s="3">
        <f t="shared" si="4"/>
        <v>14</v>
      </c>
      <c r="AA8" s="3">
        <f t="shared" si="4"/>
        <v>35</v>
      </c>
      <c r="AB8" s="3">
        <f t="shared" si="4"/>
        <v>46</v>
      </c>
      <c r="AC8" s="3">
        <f t="shared" si="4"/>
        <v>63</v>
      </c>
      <c r="AD8" s="3">
        <f t="shared" si="4"/>
        <v>61</v>
      </c>
      <c r="AE8" s="3">
        <f t="shared" si="4"/>
        <v>74</v>
      </c>
      <c r="AF8" s="3">
        <f t="shared" si="4"/>
        <v>61</v>
      </c>
      <c r="AG8" s="3">
        <f t="shared" si="4"/>
        <v>54</v>
      </c>
      <c r="AH8" s="3">
        <f t="shared" si="4"/>
        <v>34</v>
      </c>
      <c r="AI8" s="3">
        <f t="shared" si="4"/>
        <v>24</v>
      </c>
      <c r="AJ8" s="3">
        <f t="shared" si="4"/>
        <v>6</v>
      </c>
      <c r="AK8" s="3">
        <f t="shared" si="4"/>
        <v>3</v>
      </c>
      <c r="AL8" s="3">
        <f t="shared" si="4"/>
        <v>2</v>
      </c>
      <c r="AM8" s="3">
        <f t="shared" si="4"/>
        <v>0</v>
      </c>
      <c r="AN8" s="3">
        <f t="shared" si="4"/>
        <v>0</v>
      </c>
      <c r="AO8" s="3">
        <f t="shared" si="4"/>
        <v>0</v>
      </c>
    </row>
    <row r="9" spans="2:41" ht="19.899999999999999" customHeight="1" x14ac:dyDescent="0.3">
      <c r="H9" s="6"/>
      <c r="I9" s="5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1" spans="2:41" ht="19.899999999999999" customHeight="1" thickBot="1" x14ac:dyDescent="0.35">
      <c r="H11" s="19"/>
    </row>
    <row r="12" spans="2:41" ht="19.899999999999999" customHeight="1" x14ac:dyDescent="0.25">
      <c r="C12" s="158" t="s">
        <v>35</v>
      </c>
      <c r="D12" s="159"/>
      <c r="E12" s="158" t="s">
        <v>36</v>
      </c>
      <c r="F12" s="159"/>
      <c r="H12" s="19"/>
    </row>
    <row r="13" spans="2:41" ht="19.899999999999999" customHeight="1" thickBot="1" x14ac:dyDescent="0.3">
      <c r="C13" s="160"/>
      <c r="D13" s="161"/>
      <c r="E13" s="160"/>
      <c r="F13" s="161"/>
    </row>
    <row r="14" spans="2:41" ht="19.899999999999999" customHeight="1" x14ac:dyDescent="0.3">
      <c r="C14" s="31">
        <f t="shared" ref="C14:D33" ca="1" si="5">_xlfn.NORM.INV(RAND(),C$4,C$5)</f>
        <v>67.952883186766172</v>
      </c>
      <c r="D14" s="31">
        <f t="shared" ca="1" si="5"/>
        <v>108.08833989180452</v>
      </c>
      <c r="E14" s="32">
        <v>38.055228820059654</v>
      </c>
      <c r="F14" s="32">
        <v>91.774052161600636</v>
      </c>
      <c r="G14" s="17"/>
    </row>
    <row r="15" spans="2:41" ht="19.899999999999999" customHeight="1" x14ac:dyDescent="0.3">
      <c r="C15" s="31">
        <f t="shared" ca="1" si="5"/>
        <v>41.234544453707251</v>
      </c>
      <c r="D15" s="31">
        <f t="shared" ca="1" si="5"/>
        <v>112.82211854439257</v>
      </c>
      <c r="E15" s="32">
        <v>55.537257875087292</v>
      </c>
      <c r="F15" s="32">
        <v>90.968985405179652</v>
      </c>
      <c r="G15" s="17"/>
    </row>
    <row r="16" spans="2:41" ht="19.899999999999999" customHeight="1" x14ac:dyDescent="0.3">
      <c r="C16" s="31">
        <f t="shared" ca="1" si="5"/>
        <v>71.086768612335106</v>
      </c>
      <c r="D16" s="31">
        <f t="shared" ca="1" si="5"/>
        <v>115.90011345315656</v>
      </c>
      <c r="E16" s="32">
        <v>75.033136110166708</v>
      </c>
      <c r="F16" s="32">
        <v>108.9508783766894</v>
      </c>
      <c r="G16" s="17"/>
    </row>
    <row r="17" spans="3:7" ht="19.899999999999999" customHeight="1" x14ac:dyDescent="0.3">
      <c r="C17" s="31">
        <f t="shared" ca="1" si="5"/>
        <v>-6.3257952159008894</v>
      </c>
      <c r="D17" s="31">
        <f t="shared" ca="1" si="5"/>
        <v>115.87223530974319</v>
      </c>
      <c r="E17" s="32">
        <v>44.8150254001457</v>
      </c>
      <c r="F17" s="32">
        <v>120.37157170178401</v>
      </c>
      <c r="G17" s="17"/>
    </row>
    <row r="18" spans="3:7" ht="19.899999999999999" customHeight="1" x14ac:dyDescent="0.3">
      <c r="C18" s="31">
        <f t="shared" ca="1" si="5"/>
        <v>38.037426156168671</v>
      </c>
      <c r="D18" s="31">
        <f t="shared" ca="1" si="5"/>
        <v>128.19475421474885</v>
      </c>
      <c r="E18" s="32">
        <v>36.855889505575043</v>
      </c>
      <c r="F18" s="32">
        <v>107.51193190358735</v>
      </c>
      <c r="G18" s="17"/>
    </row>
    <row r="19" spans="3:7" ht="19.899999999999999" customHeight="1" x14ac:dyDescent="0.3">
      <c r="C19" s="31">
        <f t="shared" ca="1" si="5"/>
        <v>30.841142616017365</v>
      </c>
      <c r="D19" s="31">
        <f t="shared" ca="1" si="5"/>
        <v>105.04859255919141</v>
      </c>
      <c r="E19" s="32">
        <v>51.19474691417615</v>
      </c>
      <c r="F19" s="32">
        <v>102.90809117828135</v>
      </c>
      <c r="G19" s="17"/>
    </row>
    <row r="20" spans="3:7" ht="19.899999999999999" customHeight="1" x14ac:dyDescent="0.3">
      <c r="C20" s="31">
        <f t="shared" ca="1" si="5"/>
        <v>46.522877678629307</v>
      </c>
      <c r="D20" s="31">
        <f t="shared" ca="1" si="5"/>
        <v>70.210686686660864</v>
      </c>
      <c r="E20" s="32">
        <v>98.659589471067974</v>
      </c>
      <c r="F20" s="32">
        <v>137.05708471349962</v>
      </c>
      <c r="G20" s="17"/>
    </row>
    <row r="21" spans="3:7" ht="19.899999999999999" customHeight="1" x14ac:dyDescent="0.3">
      <c r="C21" s="31">
        <f t="shared" ca="1" si="5"/>
        <v>4.8761200372145126</v>
      </c>
      <c r="D21" s="31">
        <f t="shared" ca="1" si="5"/>
        <v>98.355781250056722</v>
      </c>
      <c r="E21" s="32">
        <v>49.984947592526709</v>
      </c>
      <c r="F21" s="32">
        <v>114.17942038115709</v>
      </c>
      <c r="G21" s="17"/>
    </row>
    <row r="22" spans="3:7" ht="19.899999999999999" customHeight="1" x14ac:dyDescent="0.3">
      <c r="C22" s="31">
        <f t="shared" ca="1" si="5"/>
        <v>41.204873812009296</v>
      </c>
      <c r="D22" s="31">
        <f t="shared" ca="1" si="5"/>
        <v>116.5198213507347</v>
      </c>
      <c r="E22" s="32">
        <v>46.443120907573153</v>
      </c>
      <c r="F22" s="32">
        <v>126.18078897234739</v>
      </c>
      <c r="G22" s="17"/>
    </row>
    <row r="23" spans="3:7" ht="19.899999999999999" customHeight="1" x14ac:dyDescent="0.3">
      <c r="C23" s="31">
        <f t="shared" ca="1" si="5"/>
        <v>59.838279780061086</v>
      </c>
      <c r="D23" s="31">
        <f t="shared" ca="1" si="5"/>
        <v>125.41544952055503</v>
      </c>
      <c r="E23" s="32">
        <v>20.381113847455627</v>
      </c>
      <c r="F23" s="32">
        <v>117.29525579519849</v>
      </c>
      <c r="G23" s="17"/>
    </row>
    <row r="24" spans="3:7" ht="19.899999999999999" customHeight="1" x14ac:dyDescent="0.3">
      <c r="C24" s="31">
        <f t="shared" ca="1" si="5"/>
        <v>33.787646871457895</v>
      </c>
      <c r="D24" s="31">
        <f t="shared" ca="1" si="5"/>
        <v>107.14171307069309</v>
      </c>
      <c r="E24" s="32">
        <v>29.99510613724776</v>
      </c>
      <c r="F24" s="32">
        <v>118.48431346618158</v>
      </c>
      <c r="G24" s="17"/>
    </row>
    <row r="25" spans="3:7" ht="19.899999999999999" customHeight="1" x14ac:dyDescent="0.3">
      <c r="C25" s="31">
        <f t="shared" ca="1" si="5"/>
        <v>83.990937806570287</v>
      </c>
      <c r="D25" s="31">
        <f t="shared" ca="1" si="5"/>
        <v>97.757672218376371</v>
      </c>
      <c r="E25" s="32">
        <v>22.713145618218366</v>
      </c>
      <c r="F25" s="32">
        <v>107.35768989132671</v>
      </c>
      <c r="G25" s="17"/>
    </row>
    <row r="26" spans="3:7" ht="19.899999999999999" customHeight="1" x14ac:dyDescent="0.3">
      <c r="C26" s="31">
        <f t="shared" ca="1" si="5"/>
        <v>46.156732977616024</v>
      </c>
      <c r="D26" s="31">
        <f t="shared" ca="1" si="5"/>
        <v>117.46656030475317</v>
      </c>
      <c r="E26" s="32">
        <v>38.151463972377769</v>
      </c>
      <c r="F26" s="32">
        <v>109.91984260071348</v>
      </c>
      <c r="G26" s="17"/>
    </row>
    <row r="27" spans="3:7" ht="19.899999999999999" customHeight="1" x14ac:dyDescent="0.3">
      <c r="C27" s="31">
        <f t="shared" ca="1" si="5"/>
        <v>59.028033877251801</v>
      </c>
      <c r="D27" s="31">
        <f t="shared" ca="1" si="5"/>
        <v>107.87141023545485</v>
      </c>
      <c r="E27" s="32">
        <v>45.075903528300955</v>
      </c>
      <c r="F27" s="32">
        <v>114.25850289461897</v>
      </c>
      <c r="G27" s="17"/>
    </row>
    <row r="28" spans="3:7" ht="19.899999999999999" customHeight="1" x14ac:dyDescent="0.25">
      <c r="C28" s="31">
        <f t="shared" ca="1" si="5"/>
        <v>65.404710723592459</v>
      </c>
      <c r="D28" s="31">
        <f t="shared" ca="1" si="5"/>
        <v>132.54005001591418</v>
      </c>
      <c r="E28" s="32">
        <v>36.671936061649056</v>
      </c>
      <c r="F28" s="32">
        <v>102.1921735813934</v>
      </c>
      <c r="G28" s="17"/>
    </row>
    <row r="29" spans="3:7" ht="19.899999999999999" customHeight="1" x14ac:dyDescent="0.25">
      <c r="C29" s="31">
        <f t="shared" ca="1" si="5"/>
        <v>53.068659187073962</v>
      </c>
      <c r="D29" s="31">
        <f t="shared" ca="1" si="5"/>
        <v>110.13210946642496</v>
      </c>
      <c r="E29" s="32">
        <v>25.735200781101085</v>
      </c>
      <c r="F29" s="32">
        <v>104.52833813500195</v>
      </c>
      <c r="G29" s="17"/>
    </row>
    <row r="30" spans="3:7" ht="19.899999999999999" customHeight="1" x14ac:dyDescent="0.25">
      <c r="C30" s="31">
        <f t="shared" ca="1" si="5"/>
        <v>37.957581178887921</v>
      </c>
      <c r="D30" s="31">
        <f t="shared" ca="1" si="5"/>
        <v>91.148660575638644</v>
      </c>
      <c r="E30" s="32">
        <v>47.003172525542283</v>
      </c>
      <c r="F30" s="32">
        <v>92.18759215732419</v>
      </c>
      <c r="G30" s="17"/>
    </row>
    <row r="31" spans="3:7" ht="19.899999999999999" customHeight="1" x14ac:dyDescent="0.25">
      <c r="C31" s="31">
        <f t="shared" ca="1" si="5"/>
        <v>66.660953003455276</v>
      </c>
      <c r="D31" s="31">
        <f t="shared" ca="1" si="5"/>
        <v>99.642487616559123</v>
      </c>
      <c r="E31" s="32">
        <v>78.932386672712255</v>
      </c>
      <c r="F31" s="32">
        <v>115.43497188983379</v>
      </c>
      <c r="G31" s="17"/>
    </row>
    <row r="32" spans="3:7" ht="19.899999999999999" customHeight="1" x14ac:dyDescent="0.25">
      <c r="C32" s="31">
        <f t="shared" ca="1" si="5"/>
        <v>66.036596701086765</v>
      </c>
      <c r="D32" s="31">
        <f t="shared" ca="1" si="5"/>
        <v>123.59040249523972</v>
      </c>
      <c r="E32" s="32">
        <v>32.237855264770047</v>
      </c>
      <c r="F32" s="32">
        <v>121.05745274137412</v>
      </c>
      <c r="G32" s="17"/>
    </row>
    <row r="33" spans="3:7" ht="19.899999999999999" customHeight="1" x14ac:dyDescent="0.25">
      <c r="C33" s="31">
        <f t="shared" ca="1" si="5"/>
        <v>86.670520480962466</v>
      </c>
      <c r="D33" s="31">
        <f t="shared" ca="1" si="5"/>
        <v>104.8205206973813</v>
      </c>
      <c r="E33" s="32">
        <v>43.032932813250525</v>
      </c>
      <c r="F33" s="32">
        <v>116.10402498253539</v>
      </c>
      <c r="G33" s="17"/>
    </row>
    <row r="34" spans="3:7" ht="19.899999999999999" customHeight="1" x14ac:dyDescent="0.25">
      <c r="C34" s="31">
        <f t="shared" ref="C34:D53" ca="1" si="6">_xlfn.NORM.INV(RAND(),C$4,C$5)</f>
        <v>62.564279095428986</v>
      </c>
      <c r="D34" s="31">
        <f t="shared" ca="1" si="6"/>
        <v>130.87558631449451</v>
      </c>
      <c r="E34" s="32">
        <v>36.076653961573086</v>
      </c>
      <c r="F34" s="32">
        <v>103.46879508318766</v>
      </c>
      <c r="G34" s="17"/>
    </row>
    <row r="35" spans="3:7" ht="19.899999999999999" customHeight="1" x14ac:dyDescent="0.25">
      <c r="C35" s="31">
        <f t="shared" ca="1" si="6"/>
        <v>39.461440714368734</v>
      </c>
      <c r="D35" s="31">
        <f t="shared" ca="1" si="6"/>
        <v>92.672964786024181</v>
      </c>
      <c r="E35" s="32">
        <v>32.051094135756543</v>
      </c>
      <c r="F35" s="32">
        <v>141.28628639049813</v>
      </c>
      <c r="G35" s="17"/>
    </row>
    <row r="36" spans="3:7" ht="19.899999999999999" customHeight="1" x14ac:dyDescent="0.25">
      <c r="C36" s="31">
        <f t="shared" ca="1" si="6"/>
        <v>42.439092100238604</v>
      </c>
      <c r="D36" s="31">
        <f t="shared" ca="1" si="6"/>
        <v>102.70035799647334</v>
      </c>
      <c r="E36" s="32">
        <v>64.757415057921477</v>
      </c>
      <c r="F36" s="32">
        <v>122.41234737252567</v>
      </c>
      <c r="G36" s="17"/>
    </row>
    <row r="37" spans="3:7" ht="19.899999999999999" customHeight="1" x14ac:dyDescent="0.25">
      <c r="C37" s="31">
        <f t="shared" ca="1" si="6"/>
        <v>38.582733030321421</v>
      </c>
      <c r="D37" s="31">
        <f t="shared" ca="1" si="6"/>
        <v>113.9668288657254</v>
      </c>
      <c r="E37" s="32">
        <v>77.882708816243607</v>
      </c>
      <c r="F37" s="32">
        <v>111.56286482837815</v>
      </c>
      <c r="G37" s="17"/>
    </row>
    <row r="38" spans="3:7" ht="19.899999999999999" customHeight="1" x14ac:dyDescent="0.25">
      <c r="C38" s="31">
        <f t="shared" ca="1" si="6"/>
        <v>55.121295930408849</v>
      </c>
      <c r="D38" s="31">
        <f t="shared" ca="1" si="6"/>
        <v>120.52259779959923</v>
      </c>
      <c r="E38" s="32">
        <v>37.923068518064369</v>
      </c>
      <c r="F38" s="32">
        <v>80.565581948474417</v>
      </c>
      <c r="G38" s="17"/>
    </row>
    <row r="39" spans="3:7" ht="19.899999999999999" customHeight="1" x14ac:dyDescent="0.25">
      <c r="C39" s="31">
        <f t="shared" ca="1" si="6"/>
        <v>68.263927762937584</v>
      </c>
      <c r="D39" s="31">
        <f t="shared" ca="1" si="6"/>
        <v>105.46499419965411</v>
      </c>
      <c r="E39" s="32">
        <v>26.428131790551433</v>
      </c>
      <c r="F39" s="32">
        <v>110.66467872212246</v>
      </c>
      <c r="G39" s="17"/>
    </row>
    <row r="40" spans="3:7" ht="19.899999999999999" customHeight="1" x14ac:dyDescent="0.25">
      <c r="C40" s="31">
        <f t="shared" ca="1" si="6"/>
        <v>44.888472381309711</v>
      </c>
      <c r="D40" s="31">
        <f t="shared" ca="1" si="6"/>
        <v>103.69955877420037</v>
      </c>
      <c r="E40" s="32">
        <v>36.973831410134281</v>
      </c>
      <c r="F40" s="32">
        <v>92.897842565716729</v>
      </c>
      <c r="G40" s="17"/>
    </row>
    <row r="41" spans="3:7" ht="19.899999999999999" customHeight="1" x14ac:dyDescent="0.25">
      <c r="C41" s="31">
        <f t="shared" ca="1" si="6"/>
        <v>61.52669304757611</v>
      </c>
      <c r="D41" s="31">
        <f t="shared" ca="1" si="6"/>
        <v>101.43815616692383</v>
      </c>
      <c r="E41" s="32">
        <v>29.018041101712104</v>
      </c>
      <c r="F41" s="32">
        <v>108.51653468373127</v>
      </c>
      <c r="G41" s="17"/>
    </row>
    <row r="42" spans="3:7" ht="19.899999999999999" customHeight="1" x14ac:dyDescent="0.25">
      <c r="C42" s="31">
        <f t="shared" ca="1" si="6"/>
        <v>39.727066699973371</v>
      </c>
      <c r="D42" s="31">
        <f t="shared" ca="1" si="6"/>
        <v>93.994309421684633</v>
      </c>
      <c r="E42" s="32">
        <v>78.151215890242469</v>
      </c>
      <c r="F42" s="32">
        <v>147.65842919400725</v>
      </c>
      <c r="G42" s="17"/>
    </row>
    <row r="43" spans="3:7" ht="19.899999999999999" customHeight="1" x14ac:dyDescent="0.25">
      <c r="C43" s="31">
        <f t="shared" ca="1" si="6"/>
        <v>46.99259981497319</v>
      </c>
      <c r="D43" s="31">
        <f t="shared" ca="1" si="6"/>
        <v>126.30940144571237</v>
      </c>
      <c r="E43" s="32">
        <v>46.115681376420468</v>
      </c>
      <c r="F43" s="32">
        <v>95.205600420061643</v>
      </c>
      <c r="G43" s="17"/>
    </row>
    <row r="44" spans="3:7" ht="19.899999999999999" customHeight="1" x14ac:dyDescent="0.25">
      <c r="C44" s="31">
        <f t="shared" ca="1" si="6"/>
        <v>60.7395614464006</v>
      </c>
      <c r="D44" s="31">
        <f t="shared" ca="1" si="6"/>
        <v>109.92314415391481</v>
      </c>
      <c r="E44" s="32">
        <v>42.264989667635263</v>
      </c>
      <c r="F44" s="32">
        <v>108.24449117745185</v>
      </c>
      <c r="G44" s="17"/>
    </row>
    <row r="45" spans="3:7" ht="19.899999999999999" customHeight="1" x14ac:dyDescent="0.25">
      <c r="C45" s="31">
        <f t="shared" ca="1" si="6"/>
        <v>42.290212024663276</v>
      </c>
      <c r="D45" s="31">
        <f t="shared" ca="1" si="6"/>
        <v>116.39101958402772</v>
      </c>
      <c r="E45" s="32">
        <v>42.259458286453736</v>
      </c>
      <c r="F45" s="32">
        <v>124.22972947069917</v>
      </c>
      <c r="G45" s="17"/>
    </row>
    <row r="46" spans="3:7" ht="19.899999999999999" customHeight="1" x14ac:dyDescent="0.25">
      <c r="C46" s="31">
        <f t="shared" ca="1" si="6"/>
        <v>66.112810087308048</v>
      </c>
      <c r="D46" s="31">
        <f t="shared" ca="1" si="6"/>
        <v>131.38888384330548</v>
      </c>
      <c r="E46" s="32">
        <v>66.765883495088787</v>
      </c>
      <c r="F46" s="32">
        <v>108.04755742465463</v>
      </c>
      <c r="G46" s="17"/>
    </row>
    <row r="47" spans="3:7" ht="19.899999999999999" customHeight="1" x14ac:dyDescent="0.25">
      <c r="C47" s="31">
        <f t="shared" ca="1" si="6"/>
        <v>58.325759540930235</v>
      </c>
      <c r="D47" s="31">
        <f t="shared" ca="1" si="6"/>
        <v>117.68632432249274</v>
      </c>
      <c r="E47" s="32">
        <v>84.764823021973427</v>
      </c>
      <c r="F47" s="32">
        <v>101.45347547700405</v>
      </c>
      <c r="G47" s="17"/>
    </row>
    <row r="48" spans="3:7" ht="19.899999999999999" customHeight="1" x14ac:dyDescent="0.25">
      <c r="C48" s="31">
        <f t="shared" ca="1" si="6"/>
        <v>10.54863630065536</v>
      </c>
      <c r="D48" s="31">
        <f t="shared" ca="1" si="6"/>
        <v>128.23883467458444</v>
      </c>
      <c r="E48" s="32">
        <v>35.569219221104625</v>
      </c>
      <c r="F48" s="32">
        <v>119.54833350363532</v>
      </c>
      <c r="G48" s="17"/>
    </row>
    <row r="49" spans="3:7" ht="19.899999999999999" customHeight="1" x14ac:dyDescent="0.25">
      <c r="C49" s="31">
        <f t="shared" ca="1" si="6"/>
        <v>18.690564763107901</v>
      </c>
      <c r="D49" s="31">
        <f t="shared" ca="1" si="6"/>
        <v>114.40495408532027</v>
      </c>
      <c r="E49" s="32">
        <v>78.705252263734963</v>
      </c>
      <c r="F49" s="32">
        <v>121.98504662051991</v>
      </c>
      <c r="G49" s="17"/>
    </row>
    <row r="50" spans="3:7" ht="19.899999999999999" customHeight="1" x14ac:dyDescent="0.25">
      <c r="C50" s="31">
        <f t="shared" ca="1" si="6"/>
        <v>54.847659027647289</v>
      </c>
      <c r="D50" s="31">
        <f t="shared" ca="1" si="6"/>
        <v>113.77782294946522</v>
      </c>
      <c r="E50" s="32">
        <v>54.376170993580978</v>
      </c>
      <c r="F50" s="32">
        <v>99.401167334801201</v>
      </c>
      <c r="G50" s="17"/>
    </row>
    <row r="51" spans="3:7" ht="19.899999999999999" customHeight="1" x14ac:dyDescent="0.25">
      <c r="C51" s="31">
        <f t="shared" ca="1" si="6"/>
        <v>22.141053260779923</v>
      </c>
      <c r="D51" s="31">
        <f t="shared" ca="1" si="6"/>
        <v>122.56797081261884</v>
      </c>
      <c r="E51" s="32">
        <v>46.141503757471767</v>
      </c>
      <c r="F51" s="32">
        <v>131.75168632567141</v>
      </c>
      <c r="G51" s="17"/>
    </row>
    <row r="52" spans="3:7" ht="19.899999999999999" customHeight="1" x14ac:dyDescent="0.25">
      <c r="C52" s="31">
        <f t="shared" ca="1" si="6"/>
        <v>36.853708762038423</v>
      </c>
      <c r="D52" s="31">
        <f t="shared" ca="1" si="6"/>
        <v>97.340179422017002</v>
      </c>
      <c r="E52" s="32">
        <v>22.026322576278623</v>
      </c>
      <c r="F52" s="32">
        <v>98.107667009625104</v>
      </c>
      <c r="G52" s="17"/>
    </row>
    <row r="53" spans="3:7" ht="19.899999999999999" customHeight="1" x14ac:dyDescent="0.25">
      <c r="C53" s="31">
        <f t="shared" ca="1" si="6"/>
        <v>49.015720223071703</v>
      </c>
      <c r="D53" s="31">
        <f t="shared" ca="1" si="6"/>
        <v>99.052649169573954</v>
      </c>
      <c r="E53" s="32">
        <v>51.73690734422663</v>
      </c>
      <c r="F53" s="32">
        <v>113.54076170206118</v>
      </c>
      <c r="G53" s="17"/>
    </row>
    <row r="54" spans="3:7" ht="19.899999999999999" customHeight="1" x14ac:dyDescent="0.25">
      <c r="C54" s="31">
        <f t="shared" ref="C54:D73" ca="1" si="7">_xlfn.NORM.INV(RAND(),C$4,C$5)</f>
        <v>62.618053423520351</v>
      </c>
      <c r="D54" s="31">
        <f t="shared" ca="1" si="7"/>
        <v>107.96999071867538</v>
      </c>
      <c r="E54" s="32">
        <v>50.98313775284872</v>
      </c>
      <c r="F54" s="32">
        <v>120.12123024909795</v>
      </c>
      <c r="G54" s="17"/>
    </row>
    <row r="55" spans="3:7" ht="19.899999999999999" customHeight="1" x14ac:dyDescent="0.25">
      <c r="C55" s="31">
        <f t="shared" ca="1" si="7"/>
        <v>63.449747519491041</v>
      </c>
      <c r="D55" s="31">
        <f t="shared" ca="1" si="7"/>
        <v>121.45399619385373</v>
      </c>
      <c r="E55" s="32">
        <v>80.168987383764005</v>
      </c>
      <c r="F55" s="32">
        <v>103.2611080991409</v>
      </c>
      <c r="G55" s="17"/>
    </row>
    <row r="56" spans="3:7" ht="19.899999999999999" customHeight="1" x14ac:dyDescent="0.25">
      <c r="C56" s="31">
        <f t="shared" ca="1" si="7"/>
        <v>63.193262003997908</v>
      </c>
      <c r="D56" s="31">
        <f t="shared" ca="1" si="7"/>
        <v>115.93017713838184</v>
      </c>
      <c r="E56" s="32">
        <v>64.761302184035131</v>
      </c>
      <c r="F56" s="32">
        <v>97.369816634620335</v>
      </c>
      <c r="G56" s="17"/>
    </row>
    <row r="57" spans="3:7" ht="19.899999999999999" customHeight="1" x14ac:dyDescent="0.25">
      <c r="C57" s="31">
        <f t="shared" ca="1" si="7"/>
        <v>97.729091258706461</v>
      </c>
      <c r="D57" s="31">
        <f t="shared" ca="1" si="7"/>
        <v>108.65693938010409</v>
      </c>
      <c r="E57" s="32">
        <v>68.744326168119457</v>
      </c>
      <c r="F57" s="32">
        <v>116.09741658937835</v>
      </c>
      <c r="G57" s="17"/>
    </row>
    <row r="58" spans="3:7" ht="19.899999999999999" customHeight="1" x14ac:dyDescent="0.25">
      <c r="C58" s="31">
        <f t="shared" ca="1" si="7"/>
        <v>74.325372167556679</v>
      </c>
      <c r="D58" s="31">
        <f t="shared" ca="1" si="7"/>
        <v>105.79334276902682</v>
      </c>
      <c r="E58" s="32">
        <v>63.5907763244631</v>
      </c>
      <c r="F58" s="32">
        <v>89.2796904485337</v>
      </c>
      <c r="G58" s="17"/>
    </row>
    <row r="59" spans="3:7" ht="19.899999999999999" customHeight="1" x14ac:dyDescent="0.25">
      <c r="C59" s="31">
        <f t="shared" ca="1" si="7"/>
        <v>44.882508792200291</v>
      </c>
      <c r="D59" s="31">
        <f t="shared" ca="1" si="7"/>
        <v>110.03951787659588</v>
      </c>
      <c r="E59" s="32">
        <v>39.44605960230642</v>
      </c>
      <c r="F59" s="32">
        <v>126.55017621420711</v>
      </c>
      <c r="G59" s="17"/>
    </row>
    <row r="60" spans="3:7" ht="19.899999999999999" customHeight="1" x14ac:dyDescent="0.25">
      <c r="C60" s="31">
        <f t="shared" ca="1" si="7"/>
        <v>20.594808943298247</v>
      </c>
      <c r="D60" s="31">
        <f t="shared" ca="1" si="7"/>
        <v>94.02628993410849</v>
      </c>
      <c r="E60" s="32">
        <v>79.074211987419659</v>
      </c>
      <c r="F60" s="32">
        <v>104.7986745808456</v>
      </c>
      <c r="G60" s="17"/>
    </row>
    <row r="61" spans="3:7" ht="19.899999999999999" customHeight="1" x14ac:dyDescent="0.25">
      <c r="C61" s="31">
        <f t="shared" ca="1" si="7"/>
        <v>41.109593828208205</v>
      </c>
      <c r="D61" s="31">
        <f t="shared" ca="1" si="7"/>
        <v>102.71605394530889</v>
      </c>
      <c r="E61" s="32">
        <v>55.951398425113865</v>
      </c>
      <c r="F61" s="32">
        <v>119.30247864162723</v>
      </c>
      <c r="G61" s="17"/>
    </row>
    <row r="62" spans="3:7" ht="19.899999999999999" customHeight="1" x14ac:dyDescent="0.25">
      <c r="C62" s="31">
        <f t="shared" ca="1" si="7"/>
        <v>101.62898387616472</v>
      </c>
      <c r="D62" s="31">
        <f t="shared" ca="1" si="7"/>
        <v>121.97915918557101</v>
      </c>
      <c r="E62" s="32">
        <v>106.50131594486</v>
      </c>
      <c r="F62" s="32">
        <v>98.996974795612644</v>
      </c>
      <c r="G62" s="17"/>
    </row>
    <row r="63" spans="3:7" ht="19.899999999999999" customHeight="1" x14ac:dyDescent="0.25">
      <c r="C63" s="31">
        <f t="shared" ca="1" si="7"/>
        <v>36.619250480155287</v>
      </c>
      <c r="D63" s="31">
        <f t="shared" ca="1" si="7"/>
        <v>103.60157264665122</v>
      </c>
      <c r="E63" s="32">
        <v>49.400060089509303</v>
      </c>
      <c r="F63" s="32">
        <v>128.76113645017099</v>
      </c>
      <c r="G63" s="17"/>
    </row>
    <row r="64" spans="3:7" ht="19.899999999999999" customHeight="1" x14ac:dyDescent="0.25">
      <c r="C64" s="31">
        <f t="shared" ca="1" si="7"/>
        <v>25.069640422956208</v>
      </c>
      <c r="D64" s="31">
        <f t="shared" ca="1" si="7"/>
        <v>111.25074028217676</v>
      </c>
      <c r="E64" s="32">
        <v>61.67628017920353</v>
      </c>
      <c r="F64" s="32">
        <v>105.93323343688257</v>
      </c>
      <c r="G64" s="17"/>
    </row>
    <row r="65" spans="3:7" ht="19.899999999999999" customHeight="1" x14ac:dyDescent="0.25">
      <c r="C65" s="31">
        <f t="shared" ca="1" si="7"/>
        <v>82.485346317921682</v>
      </c>
      <c r="D65" s="31">
        <f t="shared" ca="1" si="7"/>
        <v>95.791962135859706</v>
      </c>
      <c r="E65" s="32">
        <v>83.526251595742508</v>
      </c>
      <c r="F65" s="32">
        <v>109.93324236758529</v>
      </c>
      <c r="G65" s="17"/>
    </row>
    <row r="66" spans="3:7" ht="19.899999999999999" customHeight="1" x14ac:dyDescent="0.25">
      <c r="C66" s="31">
        <f t="shared" ca="1" si="7"/>
        <v>43.121491540750917</v>
      </c>
      <c r="D66" s="31">
        <f t="shared" ca="1" si="7"/>
        <v>93.059009293660594</v>
      </c>
      <c r="E66" s="32">
        <v>41.521359698307663</v>
      </c>
      <c r="F66" s="32">
        <v>128.55194379881013</v>
      </c>
      <c r="G66" s="17"/>
    </row>
    <row r="67" spans="3:7" ht="19.899999999999999" customHeight="1" x14ac:dyDescent="0.25">
      <c r="C67" s="31">
        <f t="shared" ca="1" si="7"/>
        <v>16.980104486610301</v>
      </c>
      <c r="D67" s="31">
        <f t="shared" ca="1" si="7"/>
        <v>104.16830754429463</v>
      </c>
      <c r="E67" s="32">
        <v>52.555780785344602</v>
      </c>
      <c r="F67" s="32">
        <v>96.558730003992352</v>
      </c>
      <c r="G67" s="17"/>
    </row>
    <row r="68" spans="3:7" ht="19.899999999999999" customHeight="1" x14ac:dyDescent="0.25">
      <c r="C68" s="31">
        <f t="shared" ca="1" si="7"/>
        <v>47.074062032004093</v>
      </c>
      <c r="D68" s="31">
        <f t="shared" ca="1" si="7"/>
        <v>119.72868468508183</v>
      </c>
      <c r="E68" s="32">
        <v>15.991437186442674</v>
      </c>
      <c r="F68" s="32">
        <v>105.38419493585529</v>
      </c>
      <c r="G68" s="17"/>
    </row>
    <row r="69" spans="3:7" ht="19.899999999999999" customHeight="1" x14ac:dyDescent="0.25">
      <c r="C69" s="31">
        <f t="shared" ca="1" si="7"/>
        <v>26.316465643360957</v>
      </c>
      <c r="D69" s="31">
        <f t="shared" ca="1" si="7"/>
        <v>102.17951751221837</v>
      </c>
      <c r="E69" s="32">
        <v>44.714717732289422</v>
      </c>
      <c r="F69" s="32">
        <v>111.76826034313855</v>
      </c>
      <c r="G69" s="17"/>
    </row>
    <row r="70" spans="3:7" ht="19.899999999999999" customHeight="1" x14ac:dyDescent="0.25">
      <c r="C70" s="31">
        <f t="shared" ca="1" si="7"/>
        <v>49.635362676847691</v>
      </c>
      <c r="D70" s="31">
        <f t="shared" ca="1" si="7"/>
        <v>100.34604667865025</v>
      </c>
      <c r="E70" s="32">
        <v>38.515326376149446</v>
      </c>
      <c r="F70" s="32">
        <v>117.02586554782192</v>
      </c>
      <c r="G70" s="17"/>
    </row>
    <row r="71" spans="3:7" ht="19.899999999999999" customHeight="1" x14ac:dyDescent="0.25">
      <c r="C71" s="31">
        <f t="shared" ca="1" si="7"/>
        <v>30.978802278680529</v>
      </c>
      <c r="D71" s="31">
        <f t="shared" ca="1" si="7"/>
        <v>127.7100208429938</v>
      </c>
      <c r="E71" s="32">
        <v>31.720257367752627</v>
      </c>
      <c r="F71" s="32">
        <v>119.10485262844125</v>
      </c>
      <c r="G71" s="17"/>
    </row>
    <row r="72" spans="3:7" ht="19.899999999999999" customHeight="1" x14ac:dyDescent="0.25">
      <c r="C72" s="31">
        <f t="shared" ca="1" si="7"/>
        <v>18.450303937095065</v>
      </c>
      <c r="D72" s="31">
        <f t="shared" ca="1" si="7"/>
        <v>109.70850961299277</v>
      </c>
      <c r="E72" s="32">
        <v>66.776683760351915</v>
      </c>
      <c r="F72" s="32">
        <v>106.02115581053737</v>
      </c>
      <c r="G72" s="17"/>
    </row>
    <row r="73" spans="3:7" ht="19.899999999999999" customHeight="1" x14ac:dyDescent="0.25">
      <c r="C73" s="31">
        <f t="shared" ca="1" si="7"/>
        <v>62.160843654203141</v>
      </c>
      <c r="D73" s="31">
        <f t="shared" ca="1" si="7"/>
        <v>91.425361871841474</v>
      </c>
      <c r="E73" s="32">
        <v>29.149099367454557</v>
      </c>
      <c r="F73" s="32">
        <v>90.50530322357929</v>
      </c>
      <c r="G73" s="17"/>
    </row>
    <row r="74" spans="3:7" ht="19.899999999999999" customHeight="1" x14ac:dyDescent="0.25">
      <c r="C74" s="31">
        <f t="shared" ref="C74:D93" ca="1" si="8">_xlfn.NORM.INV(RAND(),C$4,C$5)</f>
        <v>38.889500608341216</v>
      </c>
      <c r="D74" s="31">
        <f t="shared" ca="1" si="8"/>
        <v>112.80171576407596</v>
      </c>
      <c r="E74" s="32">
        <v>-5.1466373533530145</v>
      </c>
      <c r="F74" s="32">
        <v>82.552624909266385</v>
      </c>
      <c r="G74" s="17"/>
    </row>
    <row r="75" spans="3:7" ht="19.899999999999999" customHeight="1" x14ac:dyDescent="0.25">
      <c r="C75" s="31">
        <f t="shared" ca="1" si="8"/>
        <v>33.348569759662936</v>
      </c>
      <c r="D75" s="31">
        <f t="shared" ca="1" si="8"/>
        <v>108.44079449474991</v>
      </c>
      <c r="E75" s="32">
        <v>35.124683799280987</v>
      </c>
      <c r="F75" s="32">
        <v>132.98512400849506</v>
      </c>
      <c r="G75" s="17"/>
    </row>
    <row r="76" spans="3:7" ht="19.899999999999999" customHeight="1" x14ac:dyDescent="0.25">
      <c r="C76" s="31">
        <f t="shared" ca="1" si="8"/>
        <v>59.698698460628322</v>
      </c>
      <c r="D76" s="31">
        <f t="shared" ca="1" si="8"/>
        <v>108.95421312462619</v>
      </c>
      <c r="E76" s="32">
        <v>32.102341827371006</v>
      </c>
      <c r="F76" s="32">
        <v>113.86355398351787</v>
      </c>
      <c r="G76" s="17"/>
    </row>
    <row r="77" spans="3:7" ht="19.899999999999999" customHeight="1" x14ac:dyDescent="0.25">
      <c r="C77" s="31">
        <f t="shared" ca="1" si="8"/>
        <v>63.977051799072918</v>
      </c>
      <c r="D77" s="31">
        <f t="shared" ca="1" si="8"/>
        <v>123.4824642313832</v>
      </c>
      <c r="E77" s="32">
        <v>39.810134036731277</v>
      </c>
      <c r="F77" s="32">
        <v>94.635745629976185</v>
      </c>
      <c r="G77" s="17"/>
    </row>
    <row r="78" spans="3:7" ht="19.899999999999999" customHeight="1" x14ac:dyDescent="0.25">
      <c r="C78" s="31">
        <f t="shared" ca="1" si="8"/>
        <v>63.023134760486052</v>
      </c>
      <c r="D78" s="31">
        <f t="shared" ca="1" si="8"/>
        <v>124.10641647488312</v>
      </c>
      <c r="E78" s="32">
        <v>27.127891756548411</v>
      </c>
      <c r="F78" s="32">
        <v>121.81921717477536</v>
      </c>
      <c r="G78" s="17"/>
    </row>
    <row r="79" spans="3:7" ht="19.899999999999999" customHeight="1" x14ac:dyDescent="0.25">
      <c r="C79" s="31">
        <f t="shared" ca="1" si="8"/>
        <v>49.950409013558492</v>
      </c>
      <c r="D79" s="31">
        <f t="shared" ca="1" si="8"/>
        <v>106.4012245469131</v>
      </c>
      <c r="E79" s="32">
        <v>37.749654881029443</v>
      </c>
      <c r="F79" s="32">
        <v>115.20812270058293</v>
      </c>
      <c r="G79" s="17"/>
    </row>
    <row r="80" spans="3:7" ht="19.899999999999999" customHeight="1" x14ac:dyDescent="0.25">
      <c r="C80" s="31">
        <f t="shared" ca="1" si="8"/>
        <v>57.712776689653154</v>
      </c>
      <c r="D80" s="31">
        <f t="shared" ca="1" si="8"/>
        <v>119.49330581391072</v>
      </c>
      <c r="E80" s="32">
        <v>26.976251068961457</v>
      </c>
      <c r="F80" s="32">
        <v>125.61312901433209</v>
      </c>
      <c r="G80" s="17"/>
    </row>
    <row r="81" spans="3:7" ht="19.899999999999999" customHeight="1" x14ac:dyDescent="0.25">
      <c r="C81" s="31">
        <f t="shared" ca="1" si="8"/>
        <v>39.778046349121695</v>
      </c>
      <c r="D81" s="31">
        <f t="shared" ca="1" si="8"/>
        <v>106.2819973253836</v>
      </c>
      <c r="E81" s="32">
        <v>55.213750482202514</v>
      </c>
      <c r="F81" s="32">
        <v>104.24532759957137</v>
      </c>
      <c r="G81" s="17"/>
    </row>
    <row r="82" spans="3:7" ht="19.899999999999999" customHeight="1" x14ac:dyDescent="0.25">
      <c r="C82" s="31">
        <f t="shared" ca="1" si="8"/>
        <v>79.651752505503524</v>
      </c>
      <c r="D82" s="31">
        <f t="shared" ca="1" si="8"/>
        <v>114.68679333256672</v>
      </c>
      <c r="E82" s="32">
        <v>76.682205887184224</v>
      </c>
      <c r="F82" s="32">
        <v>92.583714803515008</v>
      </c>
      <c r="G82" s="17"/>
    </row>
    <row r="83" spans="3:7" ht="19.899999999999999" customHeight="1" x14ac:dyDescent="0.25">
      <c r="C83" s="31">
        <f t="shared" ca="1" si="8"/>
        <v>57.197828759410655</v>
      </c>
      <c r="D83" s="31">
        <f t="shared" ca="1" si="8"/>
        <v>100.65793743622226</v>
      </c>
      <c r="E83" s="32">
        <v>86.673288704858834</v>
      </c>
      <c r="F83" s="32">
        <v>111.25183002558998</v>
      </c>
      <c r="G83" s="17"/>
    </row>
    <row r="84" spans="3:7" ht="19.899999999999999" customHeight="1" x14ac:dyDescent="0.25">
      <c r="C84" s="31">
        <f t="shared" ca="1" si="8"/>
        <v>53.656290623896503</v>
      </c>
      <c r="D84" s="31">
        <f t="shared" ca="1" si="8"/>
        <v>91.571946156824964</v>
      </c>
      <c r="E84" s="32">
        <v>50.37348348686988</v>
      </c>
      <c r="F84" s="32">
        <v>99.613543869417228</v>
      </c>
      <c r="G84" s="17"/>
    </row>
    <row r="85" spans="3:7" ht="19.899999999999999" customHeight="1" x14ac:dyDescent="0.25">
      <c r="C85" s="31">
        <f t="shared" ca="1" si="8"/>
        <v>55.963462606338844</v>
      </c>
      <c r="D85" s="31">
        <f t="shared" ca="1" si="8"/>
        <v>80.932647689144687</v>
      </c>
      <c r="E85" s="32">
        <v>33.286624205121967</v>
      </c>
      <c r="F85" s="32">
        <v>137.63933571474604</v>
      </c>
      <c r="G85" s="17"/>
    </row>
    <row r="86" spans="3:7" ht="19.899999999999999" customHeight="1" x14ac:dyDescent="0.25">
      <c r="C86" s="31">
        <f t="shared" ca="1" si="8"/>
        <v>73.171969666890448</v>
      </c>
      <c r="D86" s="31">
        <f t="shared" ca="1" si="8"/>
        <v>122.36875747997026</v>
      </c>
      <c r="E86" s="32">
        <v>45.78264068614034</v>
      </c>
      <c r="F86" s="32">
        <v>89.971157317820712</v>
      </c>
      <c r="G86" s="17"/>
    </row>
    <row r="87" spans="3:7" ht="19.899999999999999" customHeight="1" x14ac:dyDescent="0.25">
      <c r="C87" s="31">
        <f t="shared" ca="1" si="8"/>
        <v>71.682489530880645</v>
      </c>
      <c r="D87" s="31">
        <f t="shared" ca="1" si="8"/>
        <v>110.08468144810905</v>
      </c>
      <c r="E87" s="32">
        <v>64.660383823797602</v>
      </c>
      <c r="F87" s="32">
        <v>109.71189514369966</v>
      </c>
      <c r="G87" s="17"/>
    </row>
    <row r="88" spans="3:7" ht="19.899999999999999" customHeight="1" x14ac:dyDescent="0.25">
      <c r="C88" s="31">
        <f t="shared" ca="1" si="8"/>
        <v>48.497584861867011</v>
      </c>
      <c r="D88" s="31">
        <f t="shared" ca="1" si="8"/>
        <v>101.29099195025313</v>
      </c>
      <c r="E88" s="32">
        <v>51.281557313119166</v>
      </c>
      <c r="F88" s="32">
        <v>94.874721816975693</v>
      </c>
      <c r="G88" s="17"/>
    </row>
    <row r="89" spans="3:7" ht="19.899999999999999" customHeight="1" x14ac:dyDescent="0.25">
      <c r="C89" s="31">
        <f t="shared" ca="1" si="8"/>
        <v>18.814629439691043</v>
      </c>
      <c r="D89" s="31">
        <f t="shared" ca="1" si="8"/>
        <v>124.56478653695928</v>
      </c>
      <c r="E89" s="32">
        <v>28.440642317171587</v>
      </c>
      <c r="F89" s="32">
        <v>102.71586502656885</v>
      </c>
      <c r="G89" s="17"/>
    </row>
    <row r="90" spans="3:7" ht="19.899999999999999" customHeight="1" x14ac:dyDescent="0.25">
      <c r="C90" s="31">
        <f t="shared" ca="1" si="8"/>
        <v>64.284783313744782</v>
      </c>
      <c r="D90" s="31">
        <f t="shared" ca="1" si="8"/>
        <v>99.918226976644377</v>
      </c>
      <c r="E90" s="32">
        <v>55.791558672438143</v>
      </c>
      <c r="F90" s="32">
        <v>119.79839399813007</v>
      </c>
      <c r="G90" s="17"/>
    </row>
    <row r="91" spans="3:7" ht="19.899999999999999" customHeight="1" x14ac:dyDescent="0.25">
      <c r="C91" s="31">
        <f t="shared" ca="1" si="8"/>
        <v>26.455352841010608</v>
      </c>
      <c r="D91" s="31">
        <f t="shared" ca="1" si="8"/>
        <v>104.37148157067304</v>
      </c>
      <c r="E91" s="32">
        <v>69.902155744422117</v>
      </c>
      <c r="F91" s="32">
        <v>115.47612319264064</v>
      </c>
      <c r="G91" s="17"/>
    </row>
    <row r="92" spans="3:7" ht="19.899999999999999" customHeight="1" x14ac:dyDescent="0.25">
      <c r="C92" s="31">
        <f t="shared" ca="1" si="8"/>
        <v>44.210090512279251</v>
      </c>
      <c r="D92" s="31">
        <f t="shared" ca="1" si="8"/>
        <v>99.451434908691752</v>
      </c>
      <c r="E92" s="32">
        <v>45.147753900962712</v>
      </c>
      <c r="F92" s="32">
        <v>112.76624207332179</v>
      </c>
      <c r="G92" s="17"/>
    </row>
    <row r="93" spans="3:7" ht="19.899999999999999" customHeight="1" x14ac:dyDescent="0.25">
      <c r="C93" s="31">
        <f t="shared" ca="1" si="8"/>
        <v>80.570571059370423</v>
      </c>
      <c r="D93" s="31">
        <f t="shared" ca="1" si="8"/>
        <v>107.82755430901065</v>
      </c>
      <c r="E93" s="32">
        <v>72.714047062422907</v>
      </c>
      <c r="F93" s="32">
        <v>88.780131020057112</v>
      </c>
      <c r="G93" s="17"/>
    </row>
    <row r="94" spans="3:7" ht="19.899999999999999" customHeight="1" x14ac:dyDescent="0.25">
      <c r="C94" s="31">
        <f t="shared" ref="C94:D113" ca="1" si="9">_xlfn.NORM.INV(RAND(),C$4,C$5)</f>
        <v>62.032150948667486</v>
      </c>
      <c r="D94" s="31">
        <f t="shared" ca="1" si="9"/>
        <v>116.03312025291198</v>
      </c>
      <c r="E94" s="32">
        <v>50.832569812490107</v>
      </c>
      <c r="F94" s="32">
        <v>102.74538190788958</v>
      </c>
      <c r="G94" s="17"/>
    </row>
    <row r="95" spans="3:7" ht="19.899999999999999" customHeight="1" x14ac:dyDescent="0.25">
      <c r="C95" s="31">
        <f t="shared" ca="1" si="9"/>
        <v>33.906453523763261</v>
      </c>
      <c r="D95" s="31">
        <f t="shared" ca="1" si="9"/>
        <v>92.030344968223559</v>
      </c>
      <c r="E95" s="32">
        <v>50.786941552989468</v>
      </c>
      <c r="F95" s="32">
        <v>134.81136379022627</v>
      </c>
      <c r="G95" s="17"/>
    </row>
    <row r="96" spans="3:7" ht="19.899999999999999" customHeight="1" x14ac:dyDescent="0.25">
      <c r="C96" s="31">
        <f t="shared" ca="1" si="9"/>
        <v>54.026593455851312</v>
      </c>
      <c r="D96" s="31">
        <f t="shared" ca="1" si="9"/>
        <v>137.24778085860149</v>
      </c>
      <c r="E96" s="32">
        <v>56.262073379027555</v>
      </c>
      <c r="F96" s="32">
        <v>122.07642793513098</v>
      </c>
      <c r="G96" s="17"/>
    </row>
    <row r="97" spans="3:7" ht="19.899999999999999" customHeight="1" x14ac:dyDescent="0.25">
      <c r="C97" s="31">
        <f t="shared" ca="1" si="9"/>
        <v>35.742483964020977</v>
      </c>
      <c r="D97" s="31">
        <f t="shared" ca="1" si="9"/>
        <v>98.931379562646953</v>
      </c>
      <c r="E97" s="32">
        <v>24.481636803041241</v>
      </c>
      <c r="F97" s="32">
        <v>113.10857087451032</v>
      </c>
      <c r="G97" s="17"/>
    </row>
    <row r="98" spans="3:7" ht="19.899999999999999" customHeight="1" x14ac:dyDescent="0.25">
      <c r="C98" s="31">
        <f t="shared" ca="1" si="9"/>
        <v>57.777681075218247</v>
      </c>
      <c r="D98" s="31">
        <f t="shared" ca="1" si="9"/>
        <v>110.74418396541945</v>
      </c>
      <c r="E98" s="32">
        <v>32.207279535193884</v>
      </c>
      <c r="F98" s="32">
        <v>101.28366526245705</v>
      </c>
      <c r="G98" s="17"/>
    </row>
    <row r="99" spans="3:7" ht="19.899999999999999" customHeight="1" x14ac:dyDescent="0.25">
      <c r="C99" s="31">
        <f t="shared" ca="1" si="9"/>
        <v>45.499418190919428</v>
      </c>
      <c r="D99" s="31">
        <f t="shared" ca="1" si="9"/>
        <v>105.48917595880187</v>
      </c>
      <c r="E99" s="32">
        <v>69.216857505766697</v>
      </c>
      <c r="F99" s="32">
        <v>113.22057508088811</v>
      </c>
      <c r="G99" s="17"/>
    </row>
    <row r="100" spans="3:7" ht="19.899999999999999" customHeight="1" x14ac:dyDescent="0.25">
      <c r="C100" s="31">
        <f t="shared" ca="1" si="9"/>
        <v>60.540009869891932</v>
      </c>
      <c r="D100" s="31">
        <f t="shared" ca="1" si="9"/>
        <v>91.966482443784074</v>
      </c>
      <c r="E100" s="32">
        <v>79.667276161911161</v>
      </c>
      <c r="F100" s="32">
        <v>111.38356388749465</v>
      </c>
      <c r="G100" s="17"/>
    </row>
    <row r="101" spans="3:7" ht="19.899999999999999" customHeight="1" x14ac:dyDescent="0.25">
      <c r="C101" s="31">
        <f t="shared" ca="1" si="9"/>
        <v>18.403191400362324</v>
      </c>
      <c r="D101" s="31">
        <f t="shared" ca="1" si="9"/>
        <v>107.0423422989339</v>
      </c>
      <c r="E101" s="32">
        <v>66.602295614797484</v>
      </c>
      <c r="F101" s="32">
        <v>122.66020125431183</v>
      </c>
      <c r="G101" s="17"/>
    </row>
    <row r="102" spans="3:7" ht="19.899999999999999" customHeight="1" x14ac:dyDescent="0.25">
      <c r="C102" s="31">
        <f t="shared" ca="1" si="9"/>
        <v>87.550490997832441</v>
      </c>
      <c r="D102" s="31">
        <f t="shared" ca="1" si="9"/>
        <v>112.66327544498115</v>
      </c>
      <c r="E102" s="32">
        <v>81.866276120419471</v>
      </c>
      <c r="F102" s="32">
        <v>102.41901005347418</v>
      </c>
      <c r="G102" s="17"/>
    </row>
    <row r="103" spans="3:7" ht="19.899999999999999" customHeight="1" x14ac:dyDescent="0.25">
      <c r="C103" s="31">
        <f t="shared" ca="1" si="9"/>
        <v>65.691735757859803</v>
      </c>
      <c r="D103" s="31">
        <f t="shared" ca="1" si="9"/>
        <v>114.81830370492179</v>
      </c>
      <c r="E103" s="32">
        <v>22.652257291439447</v>
      </c>
      <c r="F103" s="32">
        <v>109.10610001790971</v>
      </c>
      <c r="G103" s="17"/>
    </row>
    <row r="104" spans="3:7" ht="19.899999999999999" customHeight="1" x14ac:dyDescent="0.25">
      <c r="C104" s="31">
        <f t="shared" ca="1" si="9"/>
        <v>11.889883422621999</v>
      </c>
      <c r="D104" s="31">
        <f t="shared" ca="1" si="9"/>
        <v>105.87061888057561</v>
      </c>
      <c r="E104" s="32">
        <v>80.7992029198018</v>
      </c>
      <c r="F104" s="32">
        <v>108.90321236966844</v>
      </c>
      <c r="G104" s="17"/>
    </row>
    <row r="105" spans="3:7" ht="19.899999999999999" customHeight="1" x14ac:dyDescent="0.25">
      <c r="C105" s="31">
        <f t="shared" ca="1" si="9"/>
        <v>53.50190770450422</v>
      </c>
      <c r="D105" s="31">
        <f t="shared" ca="1" si="9"/>
        <v>105.76977040358024</v>
      </c>
      <c r="E105" s="32">
        <v>43.081872195816217</v>
      </c>
      <c r="F105" s="32">
        <v>117.62446901083173</v>
      </c>
      <c r="G105" s="17"/>
    </row>
    <row r="106" spans="3:7" ht="19.899999999999999" customHeight="1" x14ac:dyDescent="0.25">
      <c r="C106" s="31">
        <f t="shared" ca="1" si="9"/>
        <v>79.391367842992821</v>
      </c>
      <c r="D106" s="31">
        <f t="shared" ca="1" si="9"/>
        <v>96.073772564203324</v>
      </c>
      <c r="E106" s="32">
        <v>75.826653069107124</v>
      </c>
      <c r="F106" s="32">
        <v>111.41505149497615</v>
      </c>
      <c r="G106" s="17"/>
    </row>
    <row r="107" spans="3:7" ht="19.899999999999999" customHeight="1" x14ac:dyDescent="0.25">
      <c r="C107" s="31">
        <f t="shared" ca="1" si="9"/>
        <v>30.454503089616662</v>
      </c>
      <c r="D107" s="31">
        <f t="shared" ca="1" si="9"/>
        <v>80.302119181450905</v>
      </c>
      <c r="E107" s="32">
        <v>23.810879710599011</v>
      </c>
      <c r="F107" s="32">
        <v>114.70255341246646</v>
      </c>
      <c r="G107" s="17"/>
    </row>
    <row r="108" spans="3:7" ht="19.899999999999999" customHeight="1" x14ac:dyDescent="0.25">
      <c r="C108" s="31">
        <f t="shared" ca="1" si="9"/>
        <v>53.260151222898862</v>
      </c>
      <c r="D108" s="31">
        <f t="shared" ca="1" si="9"/>
        <v>121.59989701021649</v>
      </c>
      <c r="E108" s="32">
        <v>41.479352322193961</v>
      </c>
      <c r="F108" s="32">
        <v>79.518260516761444</v>
      </c>
      <c r="G108" s="17"/>
    </row>
    <row r="109" spans="3:7" ht="19.899999999999999" customHeight="1" x14ac:dyDescent="0.25">
      <c r="C109" s="31">
        <f t="shared" ca="1" si="9"/>
        <v>59.523585503210192</v>
      </c>
      <c r="D109" s="31">
        <f t="shared" ca="1" si="9"/>
        <v>125.72170600911628</v>
      </c>
      <c r="E109" s="32">
        <v>56.043686392147222</v>
      </c>
      <c r="F109" s="32">
        <v>130.64333821451601</v>
      </c>
      <c r="G109" s="17"/>
    </row>
    <row r="110" spans="3:7" ht="19.899999999999999" customHeight="1" x14ac:dyDescent="0.25">
      <c r="C110" s="31">
        <f t="shared" ca="1" si="9"/>
        <v>54.928733643983392</v>
      </c>
      <c r="D110" s="31">
        <f t="shared" ca="1" si="9"/>
        <v>111.94833071376374</v>
      </c>
      <c r="E110" s="32">
        <v>33.975336083318624</v>
      </c>
      <c r="F110" s="32">
        <v>101.02623307491206</v>
      </c>
      <c r="G110" s="17"/>
    </row>
    <row r="111" spans="3:7" ht="19.899999999999999" customHeight="1" x14ac:dyDescent="0.25">
      <c r="C111" s="31">
        <f t="shared" ca="1" si="9"/>
        <v>33.508593335437126</v>
      </c>
      <c r="D111" s="31">
        <f t="shared" ca="1" si="9"/>
        <v>112.215869865309</v>
      </c>
      <c r="E111" s="32">
        <v>68.054701664882714</v>
      </c>
      <c r="F111" s="32">
        <v>128.13659783187944</v>
      </c>
      <c r="G111" s="17"/>
    </row>
    <row r="112" spans="3:7" ht="19.899999999999999" customHeight="1" x14ac:dyDescent="0.25">
      <c r="C112" s="31">
        <f t="shared" ca="1" si="9"/>
        <v>39.204308954998353</v>
      </c>
      <c r="D112" s="31">
        <f t="shared" ca="1" si="9"/>
        <v>111.64131882565445</v>
      </c>
      <c r="E112" s="32">
        <v>41.148576954604145</v>
      </c>
      <c r="F112" s="32">
        <v>138.10614149311201</v>
      </c>
      <c r="G112" s="17"/>
    </row>
    <row r="113" spans="3:7" ht="19.899999999999999" customHeight="1" x14ac:dyDescent="0.25">
      <c r="C113" s="31">
        <f t="shared" ca="1" si="9"/>
        <v>52.429553017710631</v>
      </c>
      <c r="D113" s="31">
        <f t="shared" ca="1" si="9"/>
        <v>86.436701641402436</v>
      </c>
      <c r="E113" s="32">
        <v>60.57601443864344</v>
      </c>
      <c r="F113" s="32">
        <v>86.668379864886461</v>
      </c>
      <c r="G113" s="17"/>
    </row>
    <row r="114" spans="3:7" ht="19.899999999999999" customHeight="1" x14ac:dyDescent="0.25">
      <c r="C114" s="31">
        <f t="shared" ref="C114:D133" ca="1" si="10">_xlfn.NORM.INV(RAND(),C$4,C$5)</f>
        <v>67.498786920551524</v>
      </c>
      <c r="D114" s="31">
        <f t="shared" ca="1" si="10"/>
        <v>118.05413063703652</v>
      </c>
      <c r="E114" s="32">
        <v>34.927329500702569</v>
      </c>
      <c r="F114" s="32">
        <v>76.824108422983983</v>
      </c>
      <c r="G114" s="17"/>
    </row>
    <row r="115" spans="3:7" ht="19.899999999999999" customHeight="1" x14ac:dyDescent="0.25">
      <c r="C115" s="31">
        <f t="shared" ca="1" si="10"/>
        <v>67.378331650842881</v>
      </c>
      <c r="D115" s="31">
        <f t="shared" ca="1" si="10"/>
        <v>115.17812575505499</v>
      </c>
      <c r="E115" s="32">
        <v>69.346465102988915</v>
      </c>
      <c r="F115" s="32">
        <v>111.28349323504904</v>
      </c>
      <c r="G115" s="17"/>
    </row>
    <row r="116" spans="3:7" ht="19.899999999999999" customHeight="1" x14ac:dyDescent="0.25">
      <c r="C116" s="31">
        <f t="shared" ca="1" si="10"/>
        <v>74.237872312429189</v>
      </c>
      <c r="D116" s="31">
        <f t="shared" ca="1" si="10"/>
        <v>101.67623608615361</v>
      </c>
      <c r="E116" s="32">
        <v>79.511281006088922</v>
      </c>
      <c r="F116" s="32">
        <v>114.40630926910343</v>
      </c>
      <c r="G116" s="17"/>
    </row>
    <row r="117" spans="3:7" ht="19.899999999999999" customHeight="1" x14ac:dyDescent="0.25">
      <c r="C117" s="31">
        <f t="shared" ca="1" si="10"/>
        <v>30.39632901306129</v>
      </c>
      <c r="D117" s="31">
        <f t="shared" ca="1" si="10"/>
        <v>105.52774461794101</v>
      </c>
      <c r="E117" s="32">
        <v>30.815046860430066</v>
      </c>
      <c r="F117" s="32">
        <v>105.1362722605525</v>
      </c>
      <c r="G117" s="17"/>
    </row>
    <row r="118" spans="3:7" ht="19.899999999999999" customHeight="1" x14ac:dyDescent="0.25">
      <c r="C118" s="31">
        <f t="shared" ca="1" si="10"/>
        <v>61.203091574903823</v>
      </c>
      <c r="D118" s="31">
        <f t="shared" ca="1" si="10"/>
        <v>99.500998918958985</v>
      </c>
      <c r="E118" s="32">
        <v>24.353820732050828</v>
      </c>
      <c r="F118" s="32">
        <v>128.82359065077188</v>
      </c>
      <c r="G118" s="17"/>
    </row>
    <row r="119" spans="3:7" ht="19.899999999999999" customHeight="1" x14ac:dyDescent="0.25">
      <c r="C119" s="31">
        <f t="shared" ca="1" si="10"/>
        <v>53.660687482935359</v>
      </c>
      <c r="D119" s="31">
        <f t="shared" ca="1" si="10"/>
        <v>115.83325843222961</v>
      </c>
      <c r="E119" s="32">
        <v>54.115051816846645</v>
      </c>
      <c r="F119" s="32">
        <v>106.95539446276989</v>
      </c>
      <c r="G119" s="17"/>
    </row>
    <row r="120" spans="3:7" ht="19.899999999999999" customHeight="1" x14ac:dyDescent="0.25">
      <c r="C120" s="31">
        <f t="shared" ca="1" si="10"/>
        <v>34.015933694933068</v>
      </c>
      <c r="D120" s="31">
        <f t="shared" ca="1" si="10"/>
        <v>109.36897346877043</v>
      </c>
      <c r="E120" s="32">
        <v>40.613764453897844</v>
      </c>
      <c r="F120" s="32">
        <v>101.65142052511067</v>
      </c>
      <c r="G120" s="17"/>
    </row>
    <row r="121" spans="3:7" ht="19.899999999999999" customHeight="1" x14ac:dyDescent="0.25">
      <c r="C121" s="31">
        <f t="shared" ca="1" si="10"/>
        <v>46.795065794247364</v>
      </c>
      <c r="D121" s="31">
        <f t="shared" ca="1" si="10"/>
        <v>139.85647417487993</v>
      </c>
      <c r="E121" s="32">
        <v>67.753450404889279</v>
      </c>
      <c r="F121" s="32">
        <v>82.445135329767567</v>
      </c>
      <c r="G121" s="17"/>
    </row>
    <row r="122" spans="3:7" ht="19.899999999999999" customHeight="1" x14ac:dyDescent="0.25">
      <c r="C122" s="31">
        <f t="shared" ca="1" si="10"/>
        <v>61.041425328242688</v>
      </c>
      <c r="D122" s="31">
        <f t="shared" ca="1" si="10"/>
        <v>95.650660162095036</v>
      </c>
      <c r="E122" s="32">
        <v>71.548066970100564</v>
      </c>
      <c r="F122" s="32">
        <v>113.37235288185983</v>
      </c>
      <c r="G122" s="17"/>
    </row>
    <row r="123" spans="3:7" ht="19.899999999999999" customHeight="1" x14ac:dyDescent="0.25">
      <c r="C123" s="31">
        <f t="shared" ca="1" si="10"/>
        <v>34.736755229706731</v>
      </c>
      <c r="D123" s="31">
        <f t="shared" ca="1" si="10"/>
        <v>101.51841802567617</v>
      </c>
      <c r="E123" s="32">
        <v>24.795457963890229</v>
      </c>
      <c r="F123" s="32">
        <v>98.832058612749748</v>
      </c>
      <c r="G123" s="17"/>
    </row>
    <row r="124" spans="3:7" ht="19.899999999999999" customHeight="1" x14ac:dyDescent="0.25">
      <c r="C124" s="31">
        <f t="shared" ca="1" si="10"/>
        <v>43.751415683194026</v>
      </c>
      <c r="D124" s="31">
        <f t="shared" ca="1" si="10"/>
        <v>114.45150602674558</v>
      </c>
      <c r="E124" s="32">
        <v>41.322070011559937</v>
      </c>
      <c r="F124" s="32">
        <v>130.50008219307861</v>
      </c>
      <c r="G124" s="17"/>
    </row>
    <row r="125" spans="3:7" ht="19.899999999999999" customHeight="1" x14ac:dyDescent="0.25">
      <c r="C125" s="31">
        <f t="shared" ca="1" si="10"/>
        <v>38.548315463844126</v>
      </c>
      <c r="D125" s="31">
        <f t="shared" ca="1" si="10"/>
        <v>111.21459849527191</v>
      </c>
      <c r="E125" s="32">
        <v>42.504783346957801</v>
      </c>
      <c r="F125" s="32">
        <v>105.98798470300989</v>
      </c>
      <c r="G125" s="17"/>
    </row>
    <row r="126" spans="3:7" ht="19.899999999999999" customHeight="1" x14ac:dyDescent="0.25">
      <c r="C126" s="31">
        <f t="shared" ca="1" si="10"/>
        <v>23.591567537594493</v>
      </c>
      <c r="D126" s="31">
        <f t="shared" ca="1" si="10"/>
        <v>121.41898265812912</v>
      </c>
      <c r="E126" s="32">
        <v>37.122067296531974</v>
      </c>
      <c r="F126" s="32">
        <v>123.27176747006126</v>
      </c>
      <c r="G126" s="17"/>
    </row>
    <row r="127" spans="3:7" ht="19.899999999999999" customHeight="1" x14ac:dyDescent="0.25">
      <c r="C127" s="31">
        <f t="shared" ca="1" si="10"/>
        <v>28.036383096064494</v>
      </c>
      <c r="D127" s="31">
        <f t="shared" ca="1" si="10"/>
        <v>94.019659480945521</v>
      </c>
      <c r="E127" s="32">
        <v>60.96453813137704</v>
      </c>
      <c r="F127" s="32">
        <v>118.2134060340766</v>
      </c>
      <c r="G127" s="17"/>
    </row>
    <row r="128" spans="3:7" ht="19.899999999999999" customHeight="1" x14ac:dyDescent="0.25">
      <c r="C128" s="31">
        <f t="shared" ca="1" si="10"/>
        <v>74.81648768866711</v>
      </c>
      <c r="D128" s="31">
        <f t="shared" ca="1" si="10"/>
        <v>105.69253005389227</v>
      </c>
      <c r="E128" s="32">
        <v>54.05888597967256</v>
      </c>
      <c r="F128" s="32">
        <v>101.19436718958819</v>
      </c>
      <c r="G128" s="17"/>
    </row>
    <row r="129" spans="3:7" ht="19.899999999999999" customHeight="1" x14ac:dyDescent="0.25">
      <c r="C129" s="31">
        <f t="shared" ca="1" si="10"/>
        <v>36.51019818879746</v>
      </c>
      <c r="D129" s="31">
        <f t="shared" ca="1" si="10"/>
        <v>96.847807989558049</v>
      </c>
      <c r="E129" s="32">
        <v>38.365029324826828</v>
      </c>
      <c r="F129" s="32">
        <v>110.08639423030897</v>
      </c>
      <c r="G129" s="17"/>
    </row>
    <row r="130" spans="3:7" ht="19.899999999999999" customHeight="1" x14ac:dyDescent="0.25">
      <c r="C130" s="31">
        <f t="shared" ca="1" si="10"/>
        <v>34.133850403177604</v>
      </c>
      <c r="D130" s="31">
        <f t="shared" ca="1" si="10"/>
        <v>109.58740554218724</v>
      </c>
      <c r="E130" s="32">
        <v>73.178546827719529</v>
      </c>
      <c r="F130" s="32">
        <v>115.2384210509145</v>
      </c>
      <c r="G130" s="17"/>
    </row>
    <row r="131" spans="3:7" ht="19.899999999999999" customHeight="1" x14ac:dyDescent="0.25">
      <c r="C131" s="31">
        <f t="shared" ca="1" si="10"/>
        <v>56.742199268878984</v>
      </c>
      <c r="D131" s="31">
        <f t="shared" ca="1" si="10"/>
        <v>118.16580565891374</v>
      </c>
      <c r="E131" s="32">
        <v>22.439888429186322</v>
      </c>
      <c r="F131" s="32">
        <v>117.43626762082226</v>
      </c>
      <c r="G131" s="17"/>
    </row>
    <row r="132" spans="3:7" ht="19.899999999999999" customHeight="1" x14ac:dyDescent="0.25">
      <c r="C132" s="31">
        <f t="shared" ca="1" si="10"/>
        <v>22.256984257204874</v>
      </c>
      <c r="D132" s="31">
        <f t="shared" ca="1" si="10"/>
        <v>101.29633969064929</v>
      </c>
      <c r="E132" s="32">
        <v>40.035147408669793</v>
      </c>
      <c r="F132" s="32">
        <v>109.66141825666516</v>
      </c>
      <c r="G132" s="17"/>
    </row>
    <row r="133" spans="3:7" ht="19.899999999999999" customHeight="1" x14ac:dyDescent="0.25">
      <c r="C133" s="31">
        <f t="shared" ca="1" si="10"/>
        <v>55.190426567465565</v>
      </c>
      <c r="D133" s="31">
        <f t="shared" ca="1" si="10"/>
        <v>120.92006341657728</v>
      </c>
      <c r="E133" s="32">
        <v>38.350572406454397</v>
      </c>
      <c r="F133" s="32">
        <v>117.04121190321506</v>
      </c>
      <c r="G133" s="17"/>
    </row>
    <row r="134" spans="3:7" ht="19.899999999999999" customHeight="1" x14ac:dyDescent="0.25">
      <c r="C134" s="31">
        <f t="shared" ref="C134:D153" ca="1" si="11">_xlfn.NORM.INV(RAND(),C$4,C$5)</f>
        <v>25.716775781996173</v>
      </c>
      <c r="D134" s="31">
        <f t="shared" ca="1" si="11"/>
        <v>107.87540226458859</v>
      </c>
      <c r="E134" s="32">
        <v>64.906664196677653</v>
      </c>
      <c r="F134" s="32">
        <v>131.80858768320383</v>
      </c>
      <c r="G134" s="17"/>
    </row>
    <row r="135" spans="3:7" ht="19.899999999999999" customHeight="1" x14ac:dyDescent="0.25">
      <c r="C135" s="31">
        <f t="shared" ca="1" si="11"/>
        <v>37.706217443702656</v>
      </c>
      <c r="D135" s="31">
        <f t="shared" ca="1" si="11"/>
        <v>132.08906283659826</v>
      </c>
      <c r="E135" s="32">
        <v>35.701390213836127</v>
      </c>
      <c r="F135" s="32">
        <v>92.171031691967855</v>
      </c>
      <c r="G135" s="17"/>
    </row>
    <row r="136" spans="3:7" ht="19.899999999999999" customHeight="1" x14ac:dyDescent="0.25">
      <c r="C136" s="31">
        <f t="shared" ca="1" si="11"/>
        <v>33.2081274866283</v>
      </c>
      <c r="D136" s="31">
        <f t="shared" ca="1" si="11"/>
        <v>111.31090639742177</v>
      </c>
      <c r="E136" s="32">
        <v>67.151545858920286</v>
      </c>
      <c r="F136" s="32">
        <v>117.77404253305662</v>
      </c>
      <c r="G136" s="17"/>
    </row>
    <row r="137" spans="3:7" ht="19.899999999999999" customHeight="1" x14ac:dyDescent="0.25">
      <c r="C137" s="31">
        <f t="shared" ca="1" si="11"/>
        <v>28.031883364006397</v>
      </c>
      <c r="D137" s="31">
        <f t="shared" ca="1" si="11"/>
        <v>98.113166485641898</v>
      </c>
      <c r="E137" s="32">
        <v>32.237308166085327</v>
      </c>
      <c r="F137" s="32">
        <v>113.79554841831649</v>
      </c>
      <c r="G137" s="17"/>
    </row>
    <row r="138" spans="3:7" ht="19.899999999999999" customHeight="1" x14ac:dyDescent="0.25">
      <c r="C138" s="31">
        <f t="shared" ca="1" si="11"/>
        <v>70.433480667153418</v>
      </c>
      <c r="D138" s="31">
        <f t="shared" ca="1" si="11"/>
        <v>108.70843674139324</v>
      </c>
      <c r="E138" s="32">
        <v>52.234870004199948</v>
      </c>
      <c r="F138" s="32">
        <v>104.24055453171006</v>
      </c>
      <c r="G138" s="17"/>
    </row>
    <row r="139" spans="3:7" ht="19.899999999999999" customHeight="1" x14ac:dyDescent="0.25">
      <c r="C139" s="31">
        <f t="shared" ca="1" si="11"/>
        <v>46.042879168491183</v>
      </c>
      <c r="D139" s="31">
        <f t="shared" ca="1" si="11"/>
        <v>95.88106184411896</v>
      </c>
      <c r="E139" s="32">
        <v>55.981761930960474</v>
      </c>
      <c r="F139" s="32">
        <v>110.3573593744641</v>
      </c>
      <c r="G139" s="17"/>
    </row>
    <row r="140" spans="3:7" ht="19.899999999999999" customHeight="1" x14ac:dyDescent="0.25">
      <c r="C140" s="31">
        <f t="shared" ca="1" si="11"/>
        <v>53.532065045845627</v>
      </c>
      <c r="D140" s="31">
        <f t="shared" ca="1" si="11"/>
        <v>100.56605342060465</v>
      </c>
      <c r="E140" s="32">
        <v>50.563392576895581</v>
      </c>
      <c r="F140" s="32">
        <v>129.1692850994589</v>
      </c>
      <c r="G140" s="17"/>
    </row>
    <row r="141" spans="3:7" ht="19.899999999999999" customHeight="1" x14ac:dyDescent="0.25">
      <c r="C141" s="31">
        <f t="shared" ca="1" si="11"/>
        <v>6.4689872885748727</v>
      </c>
      <c r="D141" s="31">
        <f t="shared" ca="1" si="11"/>
        <v>66.16647210161446</v>
      </c>
      <c r="E141" s="32">
        <v>48.088847084317543</v>
      </c>
      <c r="F141" s="32">
        <v>113.10547546513881</v>
      </c>
      <c r="G141" s="17"/>
    </row>
    <row r="142" spans="3:7" ht="19.899999999999999" customHeight="1" x14ac:dyDescent="0.25">
      <c r="C142" s="31">
        <f t="shared" ca="1" si="11"/>
        <v>36.18426927200062</v>
      </c>
      <c r="D142" s="31">
        <f t="shared" ca="1" si="11"/>
        <v>107.50202804873811</v>
      </c>
      <c r="E142" s="32">
        <v>66.429187822512404</v>
      </c>
      <c r="F142" s="32">
        <v>90.334397796142269</v>
      </c>
      <c r="G142" s="17"/>
    </row>
    <row r="143" spans="3:7" ht="19.899999999999999" customHeight="1" x14ac:dyDescent="0.25">
      <c r="C143" s="31">
        <f t="shared" ca="1" si="11"/>
        <v>71.763037210862436</v>
      </c>
      <c r="D143" s="31">
        <f t="shared" ca="1" si="11"/>
        <v>117.48583959711058</v>
      </c>
      <c r="E143" s="32">
        <v>55.867029434361456</v>
      </c>
      <c r="F143" s="32">
        <v>115.65935629413021</v>
      </c>
      <c r="G143" s="17"/>
    </row>
    <row r="144" spans="3:7" ht="19.899999999999999" customHeight="1" x14ac:dyDescent="0.25">
      <c r="C144" s="31">
        <f t="shared" ca="1" si="11"/>
        <v>49.95507096553807</v>
      </c>
      <c r="D144" s="31">
        <f t="shared" ca="1" si="11"/>
        <v>119.94785789755785</v>
      </c>
      <c r="E144" s="32">
        <v>62.405273766975768</v>
      </c>
      <c r="F144" s="32">
        <v>110.54799284655341</v>
      </c>
      <c r="G144" s="17"/>
    </row>
    <row r="145" spans="3:7" ht="19.899999999999999" customHeight="1" x14ac:dyDescent="0.25">
      <c r="C145" s="31">
        <f t="shared" ca="1" si="11"/>
        <v>60.704048223371863</v>
      </c>
      <c r="D145" s="31">
        <f t="shared" ca="1" si="11"/>
        <v>137.59182045671469</v>
      </c>
      <c r="E145" s="32">
        <v>31.253963784586325</v>
      </c>
      <c r="F145" s="32">
        <v>104.22025550250183</v>
      </c>
      <c r="G145" s="17"/>
    </row>
    <row r="146" spans="3:7" ht="19.899999999999999" customHeight="1" x14ac:dyDescent="0.25">
      <c r="C146" s="31">
        <f t="shared" ca="1" si="11"/>
        <v>38.326964956392096</v>
      </c>
      <c r="D146" s="31">
        <f t="shared" ca="1" si="11"/>
        <v>110.15206705793088</v>
      </c>
      <c r="E146" s="32">
        <v>42.704388434736735</v>
      </c>
      <c r="F146" s="32">
        <v>103.70445881416475</v>
      </c>
      <c r="G146" s="17"/>
    </row>
    <row r="147" spans="3:7" ht="19.899999999999999" customHeight="1" x14ac:dyDescent="0.25">
      <c r="C147" s="31">
        <f t="shared" ca="1" si="11"/>
        <v>69.467613228904412</v>
      </c>
      <c r="D147" s="31">
        <f t="shared" ca="1" si="11"/>
        <v>135.01623280603337</v>
      </c>
      <c r="E147" s="32">
        <v>72.941032653417793</v>
      </c>
      <c r="F147" s="32">
        <v>127.23500473636182</v>
      </c>
      <c r="G147" s="17"/>
    </row>
    <row r="148" spans="3:7" ht="19.899999999999999" customHeight="1" x14ac:dyDescent="0.25">
      <c r="C148" s="31">
        <f t="shared" ca="1" si="11"/>
        <v>59.951748525447172</v>
      </c>
      <c r="D148" s="31">
        <f t="shared" ca="1" si="11"/>
        <v>147.31373104178823</v>
      </c>
      <c r="E148" s="32">
        <v>68.126423808394421</v>
      </c>
      <c r="F148" s="32">
        <v>72.880177637243534</v>
      </c>
      <c r="G148" s="17"/>
    </row>
    <row r="149" spans="3:7" ht="19.899999999999999" customHeight="1" x14ac:dyDescent="0.25">
      <c r="C149" s="31">
        <f t="shared" ca="1" si="11"/>
        <v>15.382262168187346</v>
      </c>
      <c r="D149" s="31">
        <f t="shared" ca="1" si="11"/>
        <v>111.67100640337752</v>
      </c>
      <c r="E149" s="32">
        <v>56.885765299121786</v>
      </c>
      <c r="F149" s="32">
        <v>99.622970292760414</v>
      </c>
      <c r="G149" s="17"/>
    </row>
    <row r="150" spans="3:7" ht="19.899999999999999" customHeight="1" x14ac:dyDescent="0.25">
      <c r="C150" s="31">
        <f t="shared" ca="1" si="11"/>
        <v>39.529699871349997</v>
      </c>
      <c r="D150" s="31">
        <f t="shared" ca="1" si="11"/>
        <v>116.21954894764072</v>
      </c>
      <c r="E150" s="32">
        <v>71.028654816067359</v>
      </c>
      <c r="F150" s="32">
        <v>121.73305184322625</v>
      </c>
      <c r="G150" s="17"/>
    </row>
    <row r="151" spans="3:7" ht="19.899999999999999" customHeight="1" x14ac:dyDescent="0.25">
      <c r="C151" s="31">
        <f t="shared" ca="1" si="11"/>
        <v>74.68074601679109</v>
      </c>
      <c r="D151" s="31">
        <f t="shared" ca="1" si="11"/>
        <v>100.17115843487258</v>
      </c>
      <c r="E151" s="32">
        <v>56.423024185981852</v>
      </c>
      <c r="F151" s="32">
        <v>96.248148837974753</v>
      </c>
      <c r="G151" s="17"/>
    </row>
    <row r="152" spans="3:7" ht="19.899999999999999" customHeight="1" x14ac:dyDescent="0.25">
      <c r="C152" s="31">
        <f t="shared" ca="1" si="11"/>
        <v>36.097302045264755</v>
      </c>
      <c r="D152" s="31">
        <f t="shared" ca="1" si="11"/>
        <v>121.56081032822635</v>
      </c>
      <c r="E152" s="32">
        <v>37.192566721229845</v>
      </c>
      <c r="F152" s="32">
        <v>113.57617999361626</v>
      </c>
      <c r="G152" s="17"/>
    </row>
    <row r="153" spans="3:7" ht="19.899999999999999" customHeight="1" x14ac:dyDescent="0.25">
      <c r="C153" s="31">
        <f t="shared" ca="1" si="11"/>
        <v>14.659913286664207</v>
      </c>
      <c r="D153" s="31">
        <f t="shared" ca="1" si="11"/>
        <v>100.2180834279098</v>
      </c>
      <c r="E153" s="32">
        <v>53.845412030157661</v>
      </c>
      <c r="F153" s="32">
        <v>113.48827990469491</v>
      </c>
      <c r="G153" s="17"/>
    </row>
    <row r="154" spans="3:7" ht="19.899999999999999" customHeight="1" x14ac:dyDescent="0.25">
      <c r="C154" s="31">
        <f t="shared" ref="C154:D173" ca="1" si="12">_xlfn.NORM.INV(RAND(),C$4,C$5)</f>
        <v>32.569435876375337</v>
      </c>
      <c r="D154" s="31">
        <f t="shared" ca="1" si="12"/>
        <v>108.77414261317668</v>
      </c>
      <c r="E154" s="32">
        <v>47.268951902880019</v>
      </c>
      <c r="F154" s="32">
        <v>102.6105853469152</v>
      </c>
      <c r="G154" s="17"/>
    </row>
    <row r="155" spans="3:7" ht="19.899999999999999" customHeight="1" x14ac:dyDescent="0.25">
      <c r="C155" s="31">
        <f t="shared" ca="1" si="12"/>
        <v>61.754916617196045</v>
      </c>
      <c r="D155" s="31">
        <f t="shared" ca="1" si="12"/>
        <v>125.13480006576673</v>
      </c>
      <c r="E155" s="32">
        <v>55.771260184446824</v>
      </c>
      <c r="F155" s="32">
        <v>84.612622853011445</v>
      </c>
      <c r="G155" s="17"/>
    </row>
    <row r="156" spans="3:7" ht="19.899999999999999" customHeight="1" x14ac:dyDescent="0.25">
      <c r="C156" s="31">
        <f t="shared" ca="1" si="12"/>
        <v>42.697414865352037</v>
      </c>
      <c r="D156" s="31">
        <f t="shared" ca="1" si="12"/>
        <v>126.63744360922556</v>
      </c>
      <c r="E156" s="32">
        <v>90.002743663878249</v>
      </c>
      <c r="F156" s="32">
        <v>108.98955983113744</v>
      </c>
      <c r="G156" s="17"/>
    </row>
    <row r="157" spans="3:7" ht="19.899999999999999" customHeight="1" x14ac:dyDescent="0.25">
      <c r="C157" s="31">
        <f t="shared" ca="1" si="12"/>
        <v>81.813313933982982</v>
      </c>
      <c r="D157" s="31">
        <f t="shared" ca="1" si="12"/>
        <v>112.84937057829994</v>
      </c>
      <c r="E157" s="32">
        <v>58.069350342447322</v>
      </c>
      <c r="F157" s="32">
        <v>134.7002206999029</v>
      </c>
      <c r="G157" s="17"/>
    </row>
    <row r="158" spans="3:7" ht="19.899999999999999" customHeight="1" x14ac:dyDescent="0.25">
      <c r="C158" s="31">
        <f t="shared" ca="1" si="12"/>
        <v>38.338436710654797</v>
      </c>
      <c r="D158" s="31">
        <f t="shared" ca="1" si="12"/>
        <v>95.073684370747912</v>
      </c>
      <c r="E158" s="32">
        <v>68.373218215096159</v>
      </c>
      <c r="F158" s="32">
        <v>109.69489874502008</v>
      </c>
      <c r="G158" s="17"/>
    </row>
    <row r="159" spans="3:7" ht="19.899999999999999" customHeight="1" x14ac:dyDescent="0.25">
      <c r="C159" s="31">
        <f t="shared" ca="1" si="12"/>
        <v>65.175303335140612</v>
      </c>
      <c r="D159" s="31">
        <f t="shared" ca="1" si="12"/>
        <v>115.64673563112956</v>
      </c>
      <c r="E159" s="32">
        <v>64.548209363596612</v>
      </c>
      <c r="F159" s="32">
        <v>111.53362972736831</v>
      </c>
      <c r="G159" s="17"/>
    </row>
    <row r="160" spans="3:7" ht="19.899999999999999" customHeight="1" x14ac:dyDescent="0.25">
      <c r="C160" s="31">
        <f t="shared" ca="1" si="12"/>
        <v>52.320435086676852</v>
      </c>
      <c r="D160" s="31">
        <f t="shared" ca="1" si="12"/>
        <v>114.22491954520483</v>
      </c>
      <c r="E160" s="32">
        <v>49.144756878941095</v>
      </c>
      <c r="F160" s="32">
        <v>116.07070309345173</v>
      </c>
      <c r="G160" s="17"/>
    </row>
    <row r="161" spans="3:7" ht="19.899999999999999" customHeight="1" x14ac:dyDescent="0.25">
      <c r="C161" s="31">
        <f t="shared" ca="1" si="12"/>
        <v>50.529208784957902</v>
      </c>
      <c r="D161" s="31">
        <f t="shared" ca="1" si="12"/>
        <v>133.39161563177271</v>
      </c>
      <c r="E161" s="32">
        <v>38.816386986766453</v>
      </c>
      <c r="F161" s="32">
        <v>116.43218106394832</v>
      </c>
      <c r="G161" s="17"/>
    </row>
    <row r="162" spans="3:7" ht="19.899999999999999" customHeight="1" x14ac:dyDescent="0.25">
      <c r="C162" s="31">
        <f t="shared" ca="1" si="12"/>
        <v>96.313813546330636</v>
      </c>
      <c r="D162" s="31">
        <f t="shared" ca="1" si="12"/>
        <v>114.78070671522123</v>
      </c>
      <c r="E162" s="32">
        <v>46.942110979135855</v>
      </c>
      <c r="F162" s="32">
        <v>94.472332508782429</v>
      </c>
      <c r="G162" s="17"/>
    </row>
    <row r="163" spans="3:7" ht="19.899999999999999" customHeight="1" x14ac:dyDescent="0.25">
      <c r="C163" s="31">
        <f t="shared" ca="1" si="12"/>
        <v>31.190489482058446</v>
      </c>
      <c r="D163" s="31">
        <f t="shared" ca="1" si="12"/>
        <v>130.85189440714902</v>
      </c>
      <c r="E163" s="32">
        <v>59.999538691872729</v>
      </c>
      <c r="F163" s="32">
        <v>116.78265331857091</v>
      </c>
      <c r="G163" s="17"/>
    </row>
    <row r="164" spans="3:7" ht="19.899999999999999" customHeight="1" x14ac:dyDescent="0.25">
      <c r="C164" s="31">
        <f t="shared" ca="1" si="12"/>
        <v>64.831330068876568</v>
      </c>
      <c r="D164" s="31">
        <f t="shared" ca="1" si="12"/>
        <v>95.164751095055379</v>
      </c>
      <c r="E164" s="32">
        <v>51.625713218827762</v>
      </c>
      <c r="F164" s="32">
        <v>108.99635624723922</v>
      </c>
      <c r="G164" s="17"/>
    </row>
    <row r="165" spans="3:7" ht="19.899999999999999" customHeight="1" x14ac:dyDescent="0.25">
      <c r="C165" s="31">
        <f t="shared" ca="1" si="12"/>
        <v>48.324177653679463</v>
      </c>
      <c r="D165" s="31">
        <f t="shared" ca="1" si="12"/>
        <v>133.18523622233138</v>
      </c>
      <c r="E165" s="32">
        <v>27.127101171271438</v>
      </c>
      <c r="F165" s="32">
        <v>128.90531303507913</v>
      </c>
      <c r="G165" s="17"/>
    </row>
    <row r="166" spans="3:7" ht="19.899999999999999" customHeight="1" x14ac:dyDescent="0.25">
      <c r="C166" s="31">
        <f t="shared" ca="1" si="12"/>
        <v>43.755280117087956</v>
      </c>
      <c r="D166" s="31">
        <f t="shared" ca="1" si="12"/>
        <v>106.00957775849334</v>
      </c>
      <c r="E166" s="32">
        <v>43.767249953376194</v>
      </c>
      <c r="F166" s="32">
        <v>86.262122305064381</v>
      </c>
      <c r="G166" s="17"/>
    </row>
    <row r="167" spans="3:7" ht="19.899999999999999" customHeight="1" x14ac:dyDescent="0.25">
      <c r="C167" s="31">
        <f t="shared" ca="1" si="12"/>
        <v>59.616279411438462</v>
      </c>
      <c r="D167" s="31">
        <f t="shared" ca="1" si="12"/>
        <v>106.66594657001831</v>
      </c>
      <c r="E167" s="32">
        <v>60.94252530156902</v>
      </c>
      <c r="F167" s="32">
        <v>96.413894278017665</v>
      </c>
      <c r="G167" s="17"/>
    </row>
    <row r="168" spans="3:7" ht="19.899999999999999" customHeight="1" x14ac:dyDescent="0.25">
      <c r="C168" s="31">
        <f t="shared" ca="1" si="12"/>
        <v>50.465979276528529</v>
      </c>
      <c r="D168" s="31">
        <f t="shared" ca="1" si="12"/>
        <v>92.570247739689307</v>
      </c>
      <c r="E168" s="32">
        <v>27.711925597158075</v>
      </c>
      <c r="F168" s="32">
        <v>111.86947631433588</v>
      </c>
      <c r="G168" s="17"/>
    </row>
    <row r="169" spans="3:7" ht="19.899999999999999" customHeight="1" x14ac:dyDescent="0.25">
      <c r="C169" s="31">
        <f t="shared" ca="1" si="12"/>
        <v>18.403364298966871</v>
      </c>
      <c r="D169" s="31">
        <f t="shared" ca="1" si="12"/>
        <v>134.9136664230476</v>
      </c>
      <c r="E169" s="32">
        <v>81.487765033594485</v>
      </c>
      <c r="F169" s="32">
        <v>113.42105473641803</v>
      </c>
      <c r="G169" s="17"/>
    </row>
    <row r="170" spans="3:7" ht="19.899999999999999" customHeight="1" x14ac:dyDescent="0.25">
      <c r="C170" s="31">
        <f t="shared" ca="1" si="12"/>
        <v>27.941357677535166</v>
      </c>
      <c r="D170" s="31">
        <f t="shared" ca="1" si="12"/>
        <v>102.88366838224027</v>
      </c>
      <c r="E170" s="32">
        <v>43.188487588022809</v>
      </c>
      <c r="F170" s="32">
        <v>95.961279288809123</v>
      </c>
      <c r="G170" s="17"/>
    </row>
    <row r="171" spans="3:7" ht="19.899999999999999" customHeight="1" x14ac:dyDescent="0.25">
      <c r="C171" s="31">
        <f t="shared" ca="1" si="12"/>
        <v>74.863707233889556</v>
      </c>
      <c r="D171" s="31">
        <f t="shared" ca="1" si="12"/>
        <v>125.69540372471181</v>
      </c>
      <c r="E171" s="32">
        <v>49.070041567713908</v>
      </c>
      <c r="F171" s="32">
        <v>90.085635495161526</v>
      </c>
      <c r="G171" s="17"/>
    </row>
    <row r="172" spans="3:7" ht="19.899999999999999" customHeight="1" x14ac:dyDescent="0.25">
      <c r="C172" s="31">
        <f t="shared" ca="1" si="12"/>
        <v>38.545962806726102</v>
      </c>
      <c r="D172" s="31">
        <f t="shared" ca="1" si="12"/>
        <v>105.18581479653258</v>
      </c>
      <c r="E172" s="32">
        <v>66.628164345370024</v>
      </c>
      <c r="F172" s="32">
        <v>120.9394189749582</v>
      </c>
      <c r="G172" s="17"/>
    </row>
    <row r="173" spans="3:7" ht="19.899999999999999" customHeight="1" x14ac:dyDescent="0.25">
      <c r="C173" s="31">
        <f t="shared" ca="1" si="12"/>
        <v>7.0426935499050884</v>
      </c>
      <c r="D173" s="31">
        <f t="shared" ca="1" si="12"/>
        <v>107.88889669233089</v>
      </c>
      <c r="E173" s="32">
        <v>29.176673196354891</v>
      </c>
      <c r="F173" s="32">
        <v>120.17845218274151</v>
      </c>
      <c r="G173" s="17"/>
    </row>
    <row r="174" spans="3:7" ht="19.899999999999999" customHeight="1" x14ac:dyDescent="0.25">
      <c r="C174" s="31">
        <f t="shared" ref="C174:D193" ca="1" si="13">_xlfn.NORM.INV(RAND(),C$4,C$5)</f>
        <v>34.666955751110201</v>
      </c>
      <c r="D174" s="31">
        <f t="shared" ca="1" si="13"/>
        <v>125.33167910070235</v>
      </c>
      <c r="E174" s="32">
        <v>34.340287707681412</v>
      </c>
      <c r="F174" s="32">
        <v>93.241474897807947</v>
      </c>
      <c r="G174" s="17"/>
    </row>
    <row r="175" spans="3:7" ht="19.899999999999999" customHeight="1" x14ac:dyDescent="0.25">
      <c r="C175" s="31">
        <f t="shared" ca="1" si="13"/>
        <v>78.292795478793479</v>
      </c>
      <c r="D175" s="31">
        <f t="shared" ca="1" si="13"/>
        <v>100.87908854225283</v>
      </c>
      <c r="E175" s="32">
        <v>61.456018283335666</v>
      </c>
      <c r="F175" s="32">
        <v>121.65510214767468</v>
      </c>
      <c r="G175" s="17"/>
    </row>
    <row r="176" spans="3:7" ht="19.899999999999999" customHeight="1" x14ac:dyDescent="0.25">
      <c r="C176" s="31">
        <f t="shared" ca="1" si="13"/>
        <v>7.0971540932548152</v>
      </c>
      <c r="D176" s="31">
        <f t="shared" ca="1" si="13"/>
        <v>90.050305054196201</v>
      </c>
      <c r="E176" s="32">
        <v>45.517902777411706</v>
      </c>
      <c r="F176" s="32">
        <v>111.93121130010607</v>
      </c>
      <c r="G176" s="17"/>
    </row>
    <row r="177" spans="3:7" ht="19.899999999999999" customHeight="1" x14ac:dyDescent="0.25">
      <c r="C177" s="31">
        <f t="shared" ca="1" si="13"/>
        <v>60.254666696227162</v>
      </c>
      <c r="D177" s="31">
        <f t="shared" ca="1" si="13"/>
        <v>105.24843327316493</v>
      </c>
      <c r="E177" s="32">
        <v>30.904291796974803</v>
      </c>
      <c r="F177" s="32">
        <v>110.4512097359875</v>
      </c>
      <c r="G177" s="17"/>
    </row>
    <row r="178" spans="3:7" ht="19.899999999999999" customHeight="1" x14ac:dyDescent="0.25">
      <c r="C178" s="31">
        <f t="shared" ca="1" si="13"/>
        <v>70.442008437547187</v>
      </c>
      <c r="D178" s="31">
        <f t="shared" ca="1" si="13"/>
        <v>93.066096346955248</v>
      </c>
      <c r="E178" s="32">
        <v>37.536264719997192</v>
      </c>
      <c r="F178" s="32">
        <v>125.20049708918546</v>
      </c>
      <c r="G178" s="17"/>
    </row>
    <row r="179" spans="3:7" ht="19.899999999999999" customHeight="1" x14ac:dyDescent="0.25">
      <c r="C179" s="31">
        <f t="shared" ca="1" si="13"/>
        <v>18.456782042993826</v>
      </c>
      <c r="D179" s="31">
        <f t="shared" ca="1" si="13"/>
        <v>109.48531988264433</v>
      </c>
      <c r="E179" s="32">
        <v>61.313929606835202</v>
      </c>
      <c r="F179" s="32">
        <v>81.809869505061513</v>
      </c>
      <c r="G179" s="17"/>
    </row>
    <row r="180" spans="3:7" ht="19.899999999999999" customHeight="1" x14ac:dyDescent="0.25">
      <c r="C180" s="31">
        <f t="shared" ca="1" si="13"/>
        <v>76.087183447756956</v>
      </c>
      <c r="D180" s="31">
        <f t="shared" ca="1" si="13"/>
        <v>117.00827692262419</v>
      </c>
      <c r="E180" s="32">
        <v>47.862279876086745</v>
      </c>
      <c r="F180" s="32">
        <v>126.47326119618231</v>
      </c>
      <c r="G180" s="17"/>
    </row>
    <row r="181" spans="3:7" ht="19.899999999999999" customHeight="1" x14ac:dyDescent="0.25">
      <c r="C181" s="31">
        <f t="shared" ca="1" si="13"/>
        <v>21.969411772274281</v>
      </c>
      <c r="D181" s="31">
        <f t="shared" ca="1" si="13"/>
        <v>90.157862062677822</v>
      </c>
      <c r="E181" s="32">
        <v>63.39396352677813</v>
      </c>
      <c r="F181" s="32">
        <v>104.972151378733</v>
      </c>
      <c r="G181" s="17"/>
    </row>
    <row r="182" spans="3:7" ht="19.899999999999999" customHeight="1" x14ac:dyDescent="0.25">
      <c r="C182" s="31">
        <f t="shared" ca="1" si="13"/>
        <v>66.61167686042387</v>
      </c>
      <c r="D182" s="31">
        <f t="shared" ca="1" si="13"/>
        <v>117.64879865572981</v>
      </c>
      <c r="E182" s="32">
        <v>43.284211603379909</v>
      </c>
      <c r="F182" s="32">
        <v>91.036791156738374</v>
      </c>
      <c r="G182" s="17"/>
    </row>
    <row r="183" spans="3:7" ht="19.899999999999999" customHeight="1" x14ac:dyDescent="0.25">
      <c r="C183" s="31">
        <f t="shared" ca="1" si="13"/>
        <v>62.15364541724766</v>
      </c>
      <c r="D183" s="31">
        <f t="shared" ca="1" si="13"/>
        <v>111.89777057928706</v>
      </c>
      <c r="E183" s="32">
        <v>60.91675435272488</v>
      </c>
      <c r="F183" s="32">
        <v>115.38529427519151</v>
      </c>
      <c r="G183" s="17"/>
    </row>
    <row r="184" spans="3:7" ht="19.899999999999999" customHeight="1" x14ac:dyDescent="0.25">
      <c r="C184" s="31">
        <f t="shared" ca="1" si="13"/>
        <v>54.040224965398565</v>
      </c>
      <c r="D184" s="31">
        <f t="shared" ca="1" si="13"/>
        <v>93.011879476119589</v>
      </c>
      <c r="E184" s="32">
        <v>77.925038481672061</v>
      </c>
      <c r="F184" s="32">
        <v>91.266153688127133</v>
      </c>
      <c r="G184" s="17"/>
    </row>
    <row r="185" spans="3:7" ht="19.899999999999999" customHeight="1" x14ac:dyDescent="0.25">
      <c r="C185" s="31">
        <f t="shared" ca="1" si="13"/>
        <v>68.126933372182748</v>
      </c>
      <c r="D185" s="31">
        <f t="shared" ca="1" si="13"/>
        <v>117.16756454672893</v>
      </c>
      <c r="E185" s="32">
        <v>15.098922296583176</v>
      </c>
      <c r="F185" s="32">
        <v>105.56943356873701</v>
      </c>
      <c r="G185" s="17"/>
    </row>
    <row r="186" spans="3:7" ht="19.899999999999999" customHeight="1" x14ac:dyDescent="0.25">
      <c r="C186" s="31">
        <f t="shared" ca="1" si="13"/>
        <v>16.181145165405184</v>
      </c>
      <c r="D186" s="31">
        <f t="shared" ca="1" si="13"/>
        <v>102.78969200285755</v>
      </c>
      <c r="E186" s="32">
        <v>54.939594753380852</v>
      </c>
      <c r="F186" s="32">
        <v>103.48843179754176</v>
      </c>
      <c r="G186" s="17"/>
    </row>
    <row r="187" spans="3:7" ht="19.899999999999999" customHeight="1" x14ac:dyDescent="0.25">
      <c r="C187" s="31">
        <f t="shared" ca="1" si="13"/>
        <v>81.233515378689404</v>
      </c>
      <c r="D187" s="31">
        <f t="shared" ca="1" si="13"/>
        <v>103.53384670690075</v>
      </c>
      <c r="E187" s="32">
        <v>28.426035982673003</v>
      </c>
      <c r="F187" s="32">
        <v>105.35305724043445</v>
      </c>
      <c r="G187" s="17"/>
    </row>
    <row r="188" spans="3:7" ht="19.899999999999999" customHeight="1" x14ac:dyDescent="0.25">
      <c r="C188" s="31">
        <f t="shared" ca="1" si="13"/>
        <v>69.441962515232404</v>
      </c>
      <c r="D188" s="31">
        <f t="shared" ca="1" si="13"/>
        <v>115.41385405693781</v>
      </c>
      <c r="E188" s="32">
        <v>78.688530875694326</v>
      </c>
      <c r="F188" s="32">
        <v>110.84917085253922</v>
      </c>
      <c r="G188" s="17"/>
    </row>
    <row r="189" spans="3:7" ht="19.899999999999999" customHeight="1" x14ac:dyDescent="0.25">
      <c r="C189" s="31">
        <f t="shared" ca="1" si="13"/>
        <v>50.572042461713451</v>
      </c>
      <c r="D189" s="31">
        <f t="shared" ca="1" si="13"/>
        <v>100.17409037106401</v>
      </c>
      <c r="E189" s="32">
        <v>34.552817114951225</v>
      </c>
      <c r="F189" s="32">
        <v>130.25585240040752</v>
      </c>
      <c r="G189" s="17"/>
    </row>
    <row r="190" spans="3:7" ht="19.899999999999999" customHeight="1" x14ac:dyDescent="0.25">
      <c r="C190" s="31">
        <f t="shared" ca="1" si="13"/>
        <v>41.589231676148081</v>
      </c>
      <c r="D190" s="31">
        <f t="shared" ca="1" si="13"/>
        <v>120.54013067339565</v>
      </c>
      <c r="E190" s="32">
        <v>71.540150363507465</v>
      </c>
      <c r="F190" s="32">
        <v>96.3411337422434</v>
      </c>
      <c r="G190" s="17"/>
    </row>
    <row r="191" spans="3:7" ht="19.899999999999999" customHeight="1" x14ac:dyDescent="0.25">
      <c r="C191" s="31">
        <f t="shared" ca="1" si="13"/>
        <v>32.547464626839862</v>
      </c>
      <c r="D191" s="31">
        <f t="shared" ca="1" si="13"/>
        <v>83.378350942345179</v>
      </c>
      <c r="E191" s="32">
        <v>54.026087327204976</v>
      </c>
      <c r="F191" s="32">
        <v>122.47288070479593</v>
      </c>
      <c r="G191" s="17"/>
    </row>
    <row r="192" spans="3:7" ht="19.899999999999999" customHeight="1" x14ac:dyDescent="0.25">
      <c r="C192" s="31">
        <f t="shared" ca="1" si="13"/>
        <v>21.187719103787263</v>
      </c>
      <c r="D192" s="31">
        <f t="shared" ca="1" si="13"/>
        <v>100.51414680142389</v>
      </c>
      <c r="E192" s="32">
        <v>60.789987083745217</v>
      </c>
      <c r="F192" s="32">
        <v>95.339735875990698</v>
      </c>
      <c r="G192" s="17"/>
    </row>
    <row r="193" spans="3:7" ht="19.899999999999999" customHeight="1" x14ac:dyDescent="0.25">
      <c r="C193" s="31">
        <f t="shared" ca="1" si="13"/>
        <v>60.405194996479786</v>
      </c>
      <c r="D193" s="31">
        <f t="shared" ca="1" si="13"/>
        <v>110.30814264354309</v>
      </c>
      <c r="E193" s="32">
        <v>49.289632053279362</v>
      </c>
      <c r="F193" s="32">
        <v>129.83418897612827</v>
      </c>
      <c r="G193" s="17"/>
    </row>
    <row r="194" spans="3:7" ht="19.899999999999999" customHeight="1" x14ac:dyDescent="0.25">
      <c r="C194" s="31">
        <f t="shared" ref="C194:D213" ca="1" si="14">_xlfn.NORM.INV(RAND(),C$4,C$5)</f>
        <v>54.13184292297818</v>
      </c>
      <c r="D194" s="31">
        <f t="shared" ca="1" si="14"/>
        <v>94.979378522361671</v>
      </c>
      <c r="E194" s="32">
        <v>93.476336908156043</v>
      </c>
      <c r="F194" s="32">
        <v>114.568033535399</v>
      </c>
      <c r="G194" s="17"/>
    </row>
    <row r="195" spans="3:7" ht="19.899999999999999" customHeight="1" x14ac:dyDescent="0.25">
      <c r="C195" s="31">
        <f t="shared" ca="1" si="14"/>
        <v>65.333854576668273</v>
      </c>
      <c r="D195" s="31">
        <f t="shared" ca="1" si="14"/>
        <v>119.52164292342492</v>
      </c>
      <c r="E195" s="32">
        <v>24.639685854898573</v>
      </c>
      <c r="F195" s="32">
        <v>109.9385272930995</v>
      </c>
      <c r="G195" s="17"/>
    </row>
    <row r="196" spans="3:7" ht="19.899999999999999" customHeight="1" x14ac:dyDescent="0.25">
      <c r="C196" s="31">
        <f t="shared" ca="1" si="14"/>
        <v>50.328365265525406</v>
      </c>
      <c r="D196" s="31">
        <f t="shared" ca="1" si="14"/>
        <v>107.22770517969244</v>
      </c>
      <c r="E196" s="32">
        <v>31.29896075237626</v>
      </c>
      <c r="F196" s="32">
        <v>96.411386557386436</v>
      </c>
      <c r="G196" s="17"/>
    </row>
    <row r="197" spans="3:7" ht="19.899999999999999" customHeight="1" x14ac:dyDescent="0.25">
      <c r="C197" s="31">
        <f t="shared" ca="1" si="14"/>
        <v>47.731428530630389</v>
      </c>
      <c r="D197" s="31">
        <f t="shared" ca="1" si="14"/>
        <v>110.93790667055038</v>
      </c>
      <c r="E197" s="32">
        <v>35.43316692005277</v>
      </c>
      <c r="F197" s="32">
        <v>117.1266848209636</v>
      </c>
      <c r="G197" s="17"/>
    </row>
    <row r="198" spans="3:7" ht="19.899999999999999" customHeight="1" x14ac:dyDescent="0.25">
      <c r="C198" s="31">
        <f t="shared" ca="1" si="14"/>
        <v>65.523668697795202</v>
      </c>
      <c r="D198" s="31">
        <f t="shared" ca="1" si="14"/>
        <v>91.599007552311946</v>
      </c>
      <c r="E198" s="32">
        <v>48.663565237194952</v>
      </c>
      <c r="F198" s="32">
        <v>125.16417820821118</v>
      </c>
      <c r="G198" s="17"/>
    </row>
    <row r="199" spans="3:7" ht="19.899999999999999" customHeight="1" x14ac:dyDescent="0.25">
      <c r="C199" s="31">
        <f t="shared" ca="1" si="14"/>
        <v>36.676594432753703</v>
      </c>
      <c r="D199" s="31">
        <f t="shared" ca="1" si="14"/>
        <v>122.7348712416542</v>
      </c>
      <c r="E199" s="32">
        <v>48.323618181542109</v>
      </c>
      <c r="F199" s="32">
        <v>93.555782667261028</v>
      </c>
      <c r="G199" s="17"/>
    </row>
    <row r="200" spans="3:7" ht="19.899999999999999" customHeight="1" x14ac:dyDescent="0.25">
      <c r="C200" s="31">
        <f t="shared" ca="1" si="14"/>
        <v>55.416470999314583</v>
      </c>
      <c r="D200" s="31">
        <f t="shared" ca="1" si="14"/>
        <v>94.289142153293312</v>
      </c>
      <c r="E200" s="32">
        <v>78.239863459634265</v>
      </c>
      <c r="F200" s="32">
        <v>110.26895071568781</v>
      </c>
      <c r="G200" s="17"/>
    </row>
    <row r="201" spans="3:7" ht="19.899999999999999" customHeight="1" x14ac:dyDescent="0.25">
      <c r="C201" s="31">
        <f t="shared" ca="1" si="14"/>
        <v>19.297769876688449</v>
      </c>
      <c r="D201" s="31">
        <f t="shared" ca="1" si="14"/>
        <v>109.70155712035113</v>
      </c>
      <c r="E201" s="32">
        <v>5.7540804711541611</v>
      </c>
      <c r="F201" s="32">
        <v>104.48773271477751</v>
      </c>
      <c r="G201" s="17"/>
    </row>
    <row r="202" spans="3:7" ht="19.899999999999999" customHeight="1" x14ac:dyDescent="0.25">
      <c r="C202" s="31">
        <f t="shared" ca="1" si="14"/>
        <v>52.102374189671544</v>
      </c>
      <c r="D202" s="31">
        <f t="shared" ca="1" si="14"/>
        <v>110.95975523090249</v>
      </c>
      <c r="E202" s="32">
        <v>61.05439042592387</v>
      </c>
      <c r="F202" s="32">
        <v>107.03322773315098</v>
      </c>
      <c r="G202" s="17"/>
    </row>
    <row r="203" spans="3:7" ht="19.899999999999999" customHeight="1" x14ac:dyDescent="0.25">
      <c r="C203" s="31">
        <f t="shared" ca="1" si="14"/>
        <v>48.695765387355806</v>
      </c>
      <c r="D203" s="31">
        <f t="shared" ca="1" si="14"/>
        <v>101.12192853830841</v>
      </c>
      <c r="E203" s="32">
        <v>33.399780219156916</v>
      </c>
      <c r="F203" s="32">
        <v>119.73326330768141</v>
      </c>
      <c r="G203" s="17"/>
    </row>
    <row r="204" spans="3:7" ht="19.899999999999999" customHeight="1" x14ac:dyDescent="0.25">
      <c r="C204" s="31">
        <f t="shared" ca="1" si="14"/>
        <v>47.561910256700806</v>
      </c>
      <c r="D204" s="31">
        <f t="shared" ca="1" si="14"/>
        <v>98.046389156958341</v>
      </c>
      <c r="E204" s="32">
        <v>24.967823794285803</v>
      </c>
      <c r="F204" s="32">
        <v>90.431577378097572</v>
      </c>
      <c r="G204" s="17"/>
    </row>
    <row r="205" spans="3:7" ht="19.899999999999999" customHeight="1" x14ac:dyDescent="0.25">
      <c r="C205" s="31">
        <f t="shared" ca="1" si="14"/>
        <v>66.386338728376415</v>
      </c>
      <c r="D205" s="31">
        <f t="shared" ca="1" si="14"/>
        <v>114.90191458855176</v>
      </c>
      <c r="E205" s="32">
        <v>46.397912087267578</v>
      </c>
      <c r="F205" s="32">
        <v>117.97973958866626</v>
      </c>
      <c r="G205" s="17"/>
    </row>
    <row r="206" spans="3:7" ht="19.899999999999999" customHeight="1" x14ac:dyDescent="0.25">
      <c r="C206" s="31">
        <f t="shared" ca="1" si="14"/>
        <v>29.591019592810518</v>
      </c>
      <c r="D206" s="31">
        <f t="shared" ca="1" si="14"/>
        <v>125.08486826294333</v>
      </c>
      <c r="E206" s="32">
        <v>48.587601041020555</v>
      </c>
      <c r="F206" s="32">
        <v>121.07755324758685</v>
      </c>
      <c r="G206" s="17"/>
    </row>
    <row r="207" spans="3:7" ht="19.899999999999999" customHeight="1" x14ac:dyDescent="0.25">
      <c r="C207" s="31">
        <f t="shared" ca="1" si="14"/>
        <v>43.37125678385889</v>
      </c>
      <c r="D207" s="31">
        <f t="shared" ca="1" si="14"/>
        <v>91.82604204312662</v>
      </c>
      <c r="E207" s="32">
        <v>54.185027053355874</v>
      </c>
      <c r="F207" s="32">
        <v>82.755742157945718</v>
      </c>
      <c r="G207" s="17"/>
    </row>
    <row r="208" spans="3:7" ht="19.899999999999999" customHeight="1" x14ac:dyDescent="0.25">
      <c r="C208" s="31">
        <f t="shared" ca="1" si="14"/>
        <v>49.207142221060131</v>
      </c>
      <c r="D208" s="31">
        <f t="shared" ca="1" si="14"/>
        <v>96.948792546522469</v>
      </c>
      <c r="E208" s="32">
        <v>50.58289618219122</v>
      </c>
      <c r="F208" s="32">
        <v>121.04198644934543</v>
      </c>
      <c r="G208" s="17"/>
    </row>
    <row r="209" spans="3:7" ht="19.899999999999999" customHeight="1" x14ac:dyDescent="0.25">
      <c r="C209" s="31">
        <f t="shared" ca="1" si="14"/>
        <v>33.938834026783496</v>
      </c>
      <c r="D209" s="31">
        <f t="shared" ca="1" si="14"/>
        <v>98.356791992641874</v>
      </c>
      <c r="E209" s="32">
        <v>60.824204914487183</v>
      </c>
      <c r="F209" s="32">
        <v>101.56790961198058</v>
      </c>
      <c r="G209" s="17"/>
    </row>
    <row r="210" spans="3:7" ht="19.899999999999999" customHeight="1" x14ac:dyDescent="0.25">
      <c r="C210" s="31">
        <f t="shared" ca="1" si="14"/>
        <v>67.135914261543221</v>
      </c>
      <c r="D210" s="31">
        <f t="shared" ca="1" si="14"/>
        <v>114.53642897359745</v>
      </c>
      <c r="E210" s="32">
        <v>43.807919523831778</v>
      </c>
      <c r="F210" s="32">
        <v>130.59830165939297</v>
      </c>
      <c r="G210" s="17"/>
    </row>
    <row r="211" spans="3:7" ht="19.899999999999999" customHeight="1" x14ac:dyDescent="0.25">
      <c r="C211" s="31">
        <f t="shared" ca="1" si="14"/>
        <v>70.098098771955932</v>
      </c>
      <c r="D211" s="31">
        <f t="shared" ca="1" si="14"/>
        <v>89.706231762751074</v>
      </c>
      <c r="E211" s="32">
        <v>53.549271820319554</v>
      </c>
      <c r="F211" s="32">
        <v>98.088679141434667</v>
      </c>
      <c r="G211" s="17"/>
    </row>
    <row r="212" spans="3:7" ht="19.899999999999999" customHeight="1" x14ac:dyDescent="0.25">
      <c r="C212" s="31">
        <f t="shared" ca="1" si="14"/>
        <v>58.319728600114658</v>
      </c>
      <c r="D212" s="31">
        <f t="shared" ca="1" si="14"/>
        <v>101.26508679740334</v>
      </c>
      <c r="E212" s="32">
        <v>42.393455844413474</v>
      </c>
      <c r="F212" s="32">
        <v>96.437932251972882</v>
      </c>
      <c r="G212" s="17"/>
    </row>
    <row r="213" spans="3:7" ht="19.899999999999999" customHeight="1" x14ac:dyDescent="0.25">
      <c r="C213" s="31">
        <f t="shared" ca="1" si="14"/>
        <v>15.53724656484178</v>
      </c>
      <c r="D213" s="31">
        <f t="shared" ca="1" si="14"/>
        <v>112.64652972518483</v>
      </c>
      <c r="E213" s="32">
        <v>44.582160446644629</v>
      </c>
      <c r="F213" s="32">
        <v>104.07277710489694</v>
      </c>
      <c r="G213" s="17"/>
    </row>
    <row r="214" spans="3:7" ht="19.899999999999999" customHeight="1" x14ac:dyDescent="0.25">
      <c r="C214" s="31">
        <f t="shared" ref="C214:D233" ca="1" si="15">_xlfn.NORM.INV(RAND(),C$4,C$5)</f>
        <v>38.231008700059178</v>
      </c>
      <c r="D214" s="31">
        <f t="shared" ca="1" si="15"/>
        <v>129.62501672121471</v>
      </c>
      <c r="E214" s="32">
        <v>66.042177806449956</v>
      </c>
      <c r="F214" s="32">
        <v>109.27379975423169</v>
      </c>
      <c r="G214" s="17"/>
    </row>
    <row r="215" spans="3:7" ht="19.899999999999999" customHeight="1" x14ac:dyDescent="0.25">
      <c r="C215" s="31">
        <f t="shared" ca="1" si="15"/>
        <v>55.902474221888383</v>
      </c>
      <c r="D215" s="31">
        <f t="shared" ca="1" si="15"/>
        <v>104.10356911713821</v>
      </c>
      <c r="E215" s="32">
        <v>40.660945482876961</v>
      </c>
      <c r="F215" s="32">
        <v>124.71303274505364</v>
      </c>
      <c r="G215" s="17"/>
    </row>
    <row r="216" spans="3:7" ht="19.899999999999999" customHeight="1" x14ac:dyDescent="0.25">
      <c r="C216" s="31">
        <f t="shared" ca="1" si="15"/>
        <v>61.995865185212637</v>
      </c>
      <c r="D216" s="31">
        <f t="shared" ca="1" si="15"/>
        <v>117.35109419220464</v>
      </c>
      <c r="E216" s="32">
        <v>33.414326422242411</v>
      </c>
      <c r="F216" s="32">
        <v>95.643533660412729</v>
      </c>
      <c r="G216" s="17"/>
    </row>
    <row r="217" spans="3:7" ht="19.899999999999999" customHeight="1" x14ac:dyDescent="0.25">
      <c r="C217" s="31">
        <f t="shared" ca="1" si="15"/>
        <v>72.176378327834328</v>
      </c>
      <c r="D217" s="31">
        <f t="shared" ca="1" si="15"/>
        <v>121.74556952094834</v>
      </c>
      <c r="E217" s="32">
        <v>31.637953746358235</v>
      </c>
      <c r="F217" s="32">
        <v>128.10886940623953</v>
      </c>
      <c r="G217" s="17"/>
    </row>
    <row r="218" spans="3:7" ht="19.899999999999999" customHeight="1" x14ac:dyDescent="0.25">
      <c r="C218" s="31">
        <f t="shared" ca="1" si="15"/>
        <v>47.321161361871752</v>
      </c>
      <c r="D218" s="31">
        <f t="shared" ca="1" si="15"/>
        <v>97.44616039706473</v>
      </c>
      <c r="E218" s="32">
        <v>52.053006158834371</v>
      </c>
      <c r="F218" s="32">
        <v>120.03375597164869</v>
      </c>
      <c r="G218" s="17"/>
    </row>
    <row r="219" spans="3:7" ht="19.899999999999999" customHeight="1" x14ac:dyDescent="0.25">
      <c r="C219" s="31">
        <f t="shared" ca="1" si="15"/>
        <v>47.737194938938252</v>
      </c>
      <c r="D219" s="31">
        <f t="shared" ca="1" si="15"/>
        <v>78.436658353640127</v>
      </c>
      <c r="E219" s="32">
        <v>79.426004733529822</v>
      </c>
      <c r="F219" s="32">
        <v>84.885879677790783</v>
      </c>
      <c r="G219" s="17"/>
    </row>
    <row r="220" spans="3:7" ht="19.899999999999999" customHeight="1" x14ac:dyDescent="0.25">
      <c r="C220" s="31">
        <f t="shared" ca="1" si="15"/>
        <v>47.08173790784798</v>
      </c>
      <c r="D220" s="31">
        <f t="shared" ca="1" si="15"/>
        <v>114.24922941513196</v>
      </c>
      <c r="E220" s="32">
        <v>40.948328994585495</v>
      </c>
      <c r="F220" s="32">
        <v>113.59168562026568</v>
      </c>
      <c r="G220" s="17"/>
    </row>
    <row r="221" spans="3:7" ht="19.899999999999999" customHeight="1" x14ac:dyDescent="0.25">
      <c r="C221" s="31">
        <f t="shared" ca="1" si="15"/>
        <v>77.20122976196015</v>
      </c>
      <c r="D221" s="31">
        <f t="shared" ca="1" si="15"/>
        <v>120.43937976883969</v>
      </c>
      <c r="E221" s="32">
        <v>51.839207359952766</v>
      </c>
      <c r="F221" s="32">
        <v>111.4325272722148</v>
      </c>
      <c r="G221" s="17"/>
    </row>
    <row r="222" spans="3:7" ht="19.899999999999999" customHeight="1" x14ac:dyDescent="0.25">
      <c r="C222" s="31">
        <f t="shared" ca="1" si="15"/>
        <v>80.467702101968626</v>
      </c>
      <c r="D222" s="31">
        <f t="shared" ca="1" si="15"/>
        <v>112.07729382244921</v>
      </c>
      <c r="E222" s="32">
        <v>39.682213964753075</v>
      </c>
      <c r="F222" s="32">
        <v>95.457752079967435</v>
      </c>
      <c r="G222" s="17"/>
    </row>
    <row r="223" spans="3:7" ht="19.899999999999999" customHeight="1" x14ac:dyDescent="0.25">
      <c r="C223" s="31">
        <f t="shared" ca="1" si="15"/>
        <v>41.014231835943356</v>
      </c>
      <c r="D223" s="31">
        <f t="shared" ca="1" si="15"/>
        <v>100.77568882000566</v>
      </c>
      <c r="E223" s="32">
        <v>14.607448765655683</v>
      </c>
      <c r="F223" s="32">
        <v>118.99560114623199</v>
      </c>
      <c r="G223" s="17"/>
    </row>
    <row r="224" spans="3:7" ht="19.899999999999999" customHeight="1" x14ac:dyDescent="0.25">
      <c r="C224" s="31">
        <f t="shared" ca="1" si="15"/>
        <v>43.428506503454713</v>
      </c>
      <c r="D224" s="31">
        <f t="shared" ca="1" si="15"/>
        <v>113.71442452521227</v>
      </c>
      <c r="E224" s="32">
        <v>42.874713110481899</v>
      </c>
      <c r="F224" s="32">
        <v>114.16102362392716</v>
      </c>
      <c r="G224" s="17"/>
    </row>
    <row r="225" spans="3:7" ht="19.899999999999999" customHeight="1" x14ac:dyDescent="0.25">
      <c r="C225" s="31">
        <f t="shared" ca="1" si="15"/>
        <v>50.540391180102155</v>
      </c>
      <c r="D225" s="31">
        <f t="shared" ca="1" si="15"/>
        <v>116.22578803640293</v>
      </c>
      <c r="E225" s="32">
        <v>68.349253490340203</v>
      </c>
      <c r="F225" s="32">
        <v>125.4146605697693</v>
      </c>
      <c r="G225" s="17"/>
    </row>
    <row r="226" spans="3:7" ht="19.899999999999999" customHeight="1" x14ac:dyDescent="0.25">
      <c r="C226" s="31">
        <f t="shared" ca="1" si="15"/>
        <v>16.898341490094474</v>
      </c>
      <c r="D226" s="31">
        <f t="shared" ca="1" si="15"/>
        <v>98.338882843304944</v>
      </c>
      <c r="E226" s="32">
        <v>53.699595823904012</v>
      </c>
      <c r="F226" s="32">
        <v>122.38143363983941</v>
      </c>
      <c r="G226" s="17"/>
    </row>
    <row r="227" spans="3:7" ht="19.899999999999999" customHeight="1" x14ac:dyDescent="0.25">
      <c r="C227" s="31">
        <f t="shared" ca="1" si="15"/>
        <v>43.175694655830284</v>
      </c>
      <c r="D227" s="31">
        <f t="shared" ca="1" si="15"/>
        <v>97.414816462968417</v>
      </c>
      <c r="E227" s="32">
        <v>42.12221189748621</v>
      </c>
      <c r="F227" s="32">
        <v>118.53467399164867</v>
      </c>
      <c r="G227" s="17"/>
    </row>
    <row r="228" spans="3:7" ht="19.899999999999999" customHeight="1" x14ac:dyDescent="0.25">
      <c r="C228" s="31">
        <f t="shared" ca="1" si="15"/>
        <v>72.175845581546923</v>
      </c>
      <c r="D228" s="31">
        <f t="shared" ca="1" si="15"/>
        <v>131.9781125092542</v>
      </c>
      <c r="E228" s="32">
        <v>22.201740361156759</v>
      </c>
      <c r="F228" s="32">
        <v>121.55691158720106</v>
      </c>
      <c r="G228" s="17"/>
    </row>
    <row r="229" spans="3:7" ht="19.899999999999999" customHeight="1" x14ac:dyDescent="0.25">
      <c r="C229" s="31">
        <f t="shared" ca="1" si="15"/>
        <v>51.067044623779069</v>
      </c>
      <c r="D229" s="31">
        <f t="shared" ca="1" si="15"/>
        <v>105.60695960819152</v>
      </c>
      <c r="E229" s="32">
        <v>36.307450961980244</v>
      </c>
      <c r="F229" s="32">
        <v>101.4882323117839</v>
      </c>
      <c r="G229" s="17"/>
    </row>
    <row r="230" spans="3:7" ht="19.899999999999999" customHeight="1" x14ac:dyDescent="0.25">
      <c r="C230" s="31">
        <f t="shared" ca="1" si="15"/>
        <v>23.691750816501788</v>
      </c>
      <c r="D230" s="31">
        <f t="shared" ca="1" si="15"/>
        <v>103.70341956099523</v>
      </c>
      <c r="E230" s="32">
        <v>35.127142011764285</v>
      </c>
      <c r="F230" s="32">
        <v>90.353053235213963</v>
      </c>
      <c r="G230" s="17"/>
    </row>
    <row r="231" spans="3:7" ht="19.899999999999999" customHeight="1" x14ac:dyDescent="0.25">
      <c r="C231" s="31">
        <f t="shared" ca="1" si="15"/>
        <v>49.177820117994308</v>
      </c>
      <c r="D231" s="31">
        <f t="shared" ca="1" si="15"/>
        <v>101.79396881386172</v>
      </c>
      <c r="E231" s="32">
        <v>31.924126261545101</v>
      </c>
      <c r="F231" s="32">
        <v>74.447516947448605</v>
      </c>
      <c r="G231" s="17"/>
    </row>
    <row r="232" spans="3:7" ht="19.899999999999999" customHeight="1" x14ac:dyDescent="0.25">
      <c r="C232" s="31">
        <f t="shared" ca="1" si="15"/>
        <v>51.729426230195173</v>
      </c>
      <c r="D232" s="31">
        <f t="shared" ca="1" si="15"/>
        <v>89.204185475756731</v>
      </c>
      <c r="E232" s="32">
        <v>24.866565912096625</v>
      </c>
      <c r="F232" s="32">
        <v>125.51961251535505</v>
      </c>
      <c r="G232" s="17"/>
    </row>
    <row r="233" spans="3:7" ht="19.899999999999999" customHeight="1" x14ac:dyDescent="0.25">
      <c r="C233" s="31">
        <f t="shared" ca="1" si="15"/>
        <v>33.396114323633554</v>
      </c>
      <c r="D233" s="31">
        <f t="shared" ca="1" si="15"/>
        <v>112.29180485970173</v>
      </c>
      <c r="E233" s="32">
        <v>66.244435274059612</v>
      </c>
      <c r="F233" s="32">
        <v>119.46027144562507</v>
      </c>
      <c r="G233" s="17"/>
    </row>
    <row r="234" spans="3:7" ht="19.899999999999999" customHeight="1" x14ac:dyDescent="0.25">
      <c r="C234" s="31">
        <f t="shared" ref="C234:D253" ca="1" si="16">_xlfn.NORM.INV(RAND(),C$4,C$5)</f>
        <v>47.543844053614166</v>
      </c>
      <c r="D234" s="31">
        <f t="shared" ca="1" si="16"/>
        <v>109.81037287753206</v>
      </c>
      <c r="E234" s="32">
        <v>33.936848262169633</v>
      </c>
      <c r="F234" s="32">
        <v>114.66280020710359</v>
      </c>
      <c r="G234" s="17"/>
    </row>
    <row r="235" spans="3:7" ht="19.899999999999999" customHeight="1" x14ac:dyDescent="0.25">
      <c r="C235" s="31">
        <f t="shared" ca="1" si="16"/>
        <v>51.49365124279484</v>
      </c>
      <c r="D235" s="31">
        <f t="shared" ca="1" si="16"/>
        <v>100.44038530566175</v>
      </c>
      <c r="E235" s="32">
        <v>80.283017851138482</v>
      </c>
      <c r="F235" s="32">
        <v>117.59689606911029</v>
      </c>
      <c r="G235" s="17"/>
    </row>
    <row r="236" spans="3:7" ht="19.899999999999999" customHeight="1" x14ac:dyDescent="0.25">
      <c r="C236" s="31">
        <f t="shared" ca="1" si="16"/>
        <v>82.308595123417547</v>
      </c>
      <c r="D236" s="31">
        <f t="shared" ca="1" si="16"/>
        <v>127.10838230090297</v>
      </c>
      <c r="E236" s="32">
        <v>36.685638899618262</v>
      </c>
      <c r="F236" s="32">
        <v>91.103732233378992</v>
      </c>
      <c r="G236" s="17"/>
    </row>
    <row r="237" spans="3:7" ht="19.899999999999999" customHeight="1" x14ac:dyDescent="0.25">
      <c r="C237" s="31">
        <f t="shared" ca="1" si="16"/>
        <v>78.841725336549615</v>
      </c>
      <c r="D237" s="31">
        <f t="shared" ca="1" si="16"/>
        <v>117.29567883992353</v>
      </c>
      <c r="E237" s="32">
        <v>78.691586472971551</v>
      </c>
      <c r="F237" s="32">
        <v>86.264776929277915</v>
      </c>
      <c r="G237" s="17"/>
    </row>
    <row r="238" spans="3:7" ht="19.899999999999999" customHeight="1" x14ac:dyDescent="0.25">
      <c r="C238" s="31">
        <f t="shared" ca="1" si="16"/>
        <v>44.656126549867764</v>
      </c>
      <c r="D238" s="31">
        <f t="shared" ca="1" si="16"/>
        <v>122.87390498186548</v>
      </c>
      <c r="E238" s="32">
        <v>50.642881298278844</v>
      </c>
      <c r="F238" s="32">
        <v>120.38649717468638</v>
      </c>
      <c r="G238" s="17"/>
    </row>
    <row r="239" spans="3:7" ht="19.899999999999999" customHeight="1" x14ac:dyDescent="0.25">
      <c r="C239" s="31">
        <f t="shared" ca="1" si="16"/>
        <v>43.558758718113936</v>
      </c>
      <c r="D239" s="31">
        <f t="shared" ca="1" si="16"/>
        <v>111.95424424310619</v>
      </c>
      <c r="E239" s="32">
        <v>56.000501581874225</v>
      </c>
      <c r="F239" s="32">
        <v>101.94648043300541</v>
      </c>
      <c r="G239" s="17"/>
    </row>
    <row r="240" spans="3:7" ht="19.899999999999999" customHeight="1" x14ac:dyDescent="0.25">
      <c r="C240" s="31">
        <f t="shared" ca="1" si="16"/>
        <v>84.960796778447815</v>
      </c>
      <c r="D240" s="31">
        <f t="shared" ca="1" si="16"/>
        <v>94.090098271867163</v>
      </c>
      <c r="E240" s="32">
        <v>43.929023724117002</v>
      </c>
      <c r="F240" s="32">
        <v>109.1964189073278</v>
      </c>
      <c r="G240" s="17"/>
    </row>
    <row r="241" spans="3:7" ht="19.899999999999999" customHeight="1" x14ac:dyDescent="0.25">
      <c r="C241" s="31">
        <f t="shared" ca="1" si="16"/>
        <v>39.81987461780934</v>
      </c>
      <c r="D241" s="31">
        <f t="shared" ca="1" si="16"/>
        <v>116.43868313254761</v>
      </c>
      <c r="E241" s="32">
        <v>68.100657333565977</v>
      </c>
      <c r="F241" s="32">
        <v>113.26500461946662</v>
      </c>
      <c r="G241" s="17"/>
    </row>
    <row r="242" spans="3:7" ht="19.899999999999999" customHeight="1" x14ac:dyDescent="0.25">
      <c r="C242" s="31">
        <f t="shared" ca="1" si="16"/>
        <v>57.964606428084664</v>
      </c>
      <c r="D242" s="31">
        <f t="shared" ca="1" si="16"/>
        <v>121.13796683055271</v>
      </c>
      <c r="E242" s="32">
        <v>70.219972838882512</v>
      </c>
      <c r="F242" s="32">
        <v>89.469273387508167</v>
      </c>
      <c r="G242" s="17"/>
    </row>
    <row r="243" spans="3:7" ht="19.899999999999999" customHeight="1" x14ac:dyDescent="0.25">
      <c r="C243" s="31">
        <f t="shared" ca="1" si="16"/>
        <v>54.426061660562219</v>
      </c>
      <c r="D243" s="31">
        <f t="shared" ca="1" si="16"/>
        <v>101.88851453383958</v>
      </c>
      <c r="E243" s="32">
        <v>41.937410894015628</v>
      </c>
      <c r="F243" s="32">
        <v>98.263143242908797</v>
      </c>
      <c r="G243" s="17"/>
    </row>
    <row r="244" spans="3:7" ht="19.899999999999999" customHeight="1" x14ac:dyDescent="0.25">
      <c r="C244" s="31">
        <f t="shared" ca="1" si="16"/>
        <v>37.740029912788962</v>
      </c>
      <c r="D244" s="31">
        <f t="shared" ca="1" si="16"/>
        <v>110.27088635187492</v>
      </c>
      <c r="E244" s="32">
        <v>36.373863136604854</v>
      </c>
      <c r="F244" s="32">
        <v>112.72042339592711</v>
      </c>
      <c r="G244" s="17"/>
    </row>
    <row r="245" spans="3:7" ht="19.899999999999999" customHeight="1" x14ac:dyDescent="0.25">
      <c r="C245" s="31">
        <f t="shared" ca="1" si="16"/>
        <v>45.000131231807281</v>
      </c>
      <c r="D245" s="31">
        <f t="shared" ca="1" si="16"/>
        <v>88.088692622405773</v>
      </c>
      <c r="E245" s="32">
        <v>34.087590117559017</v>
      </c>
      <c r="F245" s="32">
        <v>98.868949330143892</v>
      </c>
      <c r="G245" s="17"/>
    </row>
    <row r="246" spans="3:7" ht="19.899999999999999" customHeight="1" x14ac:dyDescent="0.25">
      <c r="C246" s="31">
        <f t="shared" ca="1" si="16"/>
        <v>49.536477172722535</v>
      </c>
      <c r="D246" s="31">
        <f t="shared" ca="1" si="16"/>
        <v>115.7054402498039</v>
      </c>
      <c r="E246" s="32">
        <v>52.769597379134325</v>
      </c>
      <c r="F246" s="32">
        <v>111.14031507008828</v>
      </c>
      <c r="G246" s="17"/>
    </row>
    <row r="247" spans="3:7" ht="19.899999999999999" customHeight="1" x14ac:dyDescent="0.25">
      <c r="C247" s="31">
        <f t="shared" ca="1" si="16"/>
        <v>45.633565390083028</v>
      </c>
      <c r="D247" s="31">
        <f t="shared" ca="1" si="16"/>
        <v>98.519846103267867</v>
      </c>
      <c r="E247" s="32">
        <v>71.576763958742177</v>
      </c>
      <c r="F247" s="32">
        <v>106.53298101958167</v>
      </c>
      <c r="G247" s="17"/>
    </row>
    <row r="248" spans="3:7" ht="19.899999999999999" customHeight="1" x14ac:dyDescent="0.25">
      <c r="C248" s="31">
        <f t="shared" ca="1" si="16"/>
        <v>50.313654854340598</v>
      </c>
      <c r="D248" s="31">
        <f t="shared" ca="1" si="16"/>
        <v>94.212131890770721</v>
      </c>
      <c r="E248" s="32">
        <v>70.256221155962791</v>
      </c>
      <c r="F248" s="32">
        <v>122.21124649470369</v>
      </c>
      <c r="G248" s="17"/>
    </row>
    <row r="249" spans="3:7" ht="19.899999999999999" customHeight="1" x14ac:dyDescent="0.25">
      <c r="C249" s="31">
        <f t="shared" ca="1" si="16"/>
        <v>46.072030103587423</v>
      </c>
      <c r="D249" s="31">
        <f t="shared" ca="1" si="16"/>
        <v>112.33694103722908</v>
      </c>
      <c r="E249" s="32">
        <v>39.476066112873887</v>
      </c>
      <c r="F249" s="32">
        <v>122.03339984933559</v>
      </c>
      <c r="G249" s="17"/>
    </row>
    <row r="250" spans="3:7" ht="19.899999999999999" customHeight="1" x14ac:dyDescent="0.25">
      <c r="C250" s="31">
        <f t="shared" ca="1" si="16"/>
        <v>51.181218625375003</v>
      </c>
      <c r="D250" s="31">
        <f t="shared" ca="1" si="16"/>
        <v>114.25622569206251</v>
      </c>
      <c r="E250" s="32">
        <v>52.605897444171681</v>
      </c>
      <c r="F250" s="32">
        <v>125.41716375171936</v>
      </c>
      <c r="G250" s="17"/>
    </row>
    <row r="251" spans="3:7" ht="19.899999999999999" customHeight="1" x14ac:dyDescent="0.25">
      <c r="C251" s="31">
        <f t="shared" ca="1" si="16"/>
        <v>48.822230127250393</v>
      </c>
      <c r="D251" s="31">
        <f t="shared" ca="1" si="16"/>
        <v>135.53496328731421</v>
      </c>
      <c r="E251" s="32">
        <v>64.89087825437953</v>
      </c>
      <c r="F251" s="32">
        <v>109.28896325894475</v>
      </c>
      <c r="G251" s="17"/>
    </row>
    <row r="252" spans="3:7" ht="19.899999999999999" customHeight="1" x14ac:dyDescent="0.25">
      <c r="C252" s="31">
        <f t="shared" ca="1" si="16"/>
        <v>58.859024415486445</v>
      </c>
      <c r="D252" s="31">
        <f t="shared" ca="1" si="16"/>
        <v>130.6042972730927</v>
      </c>
      <c r="E252" s="32">
        <v>54.207044674926081</v>
      </c>
      <c r="F252" s="32">
        <v>121.60037102913154</v>
      </c>
      <c r="G252" s="17"/>
    </row>
    <row r="253" spans="3:7" ht="19.899999999999999" customHeight="1" x14ac:dyDescent="0.25">
      <c r="C253" s="31">
        <f t="shared" ca="1" si="16"/>
        <v>50.243486188130994</v>
      </c>
      <c r="D253" s="31">
        <f t="shared" ca="1" si="16"/>
        <v>123.7549042710494</v>
      </c>
      <c r="E253" s="32">
        <v>52.521557519170777</v>
      </c>
      <c r="F253" s="32">
        <v>115.46581705485949</v>
      </c>
      <c r="G253" s="17"/>
    </row>
    <row r="254" spans="3:7" ht="19.899999999999999" customHeight="1" x14ac:dyDescent="0.25">
      <c r="C254" s="31">
        <f t="shared" ref="C254:D273" ca="1" si="17">_xlfn.NORM.INV(RAND(),C$4,C$5)</f>
        <v>48.0527524076129</v>
      </c>
      <c r="D254" s="31">
        <f t="shared" ca="1" si="17"/>
        <v>134.32813955471727</v>
      </c>
      <c r="E254" s="32">
        <v>40.328700707064833</v>
      </c>
      <c r="F254" s="32">
        <v>88.637483699853234</v>
      </c>
      <c r="G254" s="17"/>
    </row>
    <row r="255" spans="3:7" ht="19.899999999999999" customHeight="1" x14ac:dyDescent="0.25">
      <c r="C255" s="31">
        <f t="shared" ca="1" si="17"/>
        <v>46.366049838219801</v>
      </c>
      <c r="D255" s="31">
        <f t="shared" ca="1" si="17"/>
        <v>100.55771843720767</v>
      </c>
      <c r="E255" s="32">
        <v>43.693641264119321</v>
      </c>
      <c r="F255" s="32">
        <v>105.63539358625171</v>
      </c>
      <c r="G255" s="17"/>
    </row>
    <row r="256" spans="3:7" ht="19.899999999999999" customHeight="1" x14ac:dyDescent="0.25">
      <c r="C256" s="31">
        <f t="shared" ca="1" si="17"/>
        <v>33.73409979700358</v>
      </c>
      <c r="D256" s="31">
        <f t="shared" ca="1" si="17"/>
        <v>112.50047109772635</v>
      </c>
      <c r="E256" s="32">
        <v>46.521234585199373</v>
      </c>
      <c r="F256" s="32">
        <v>110.10231785588216</v>
      </c>
      <c r="G256" s="17"/>
    </row>
    <row r="257" spans="3:7" ht="19.899999999999999" customHeight="1" x14ac:dyDescent="0.25">
      <c r="C257" s="31">
        <f t="shared" ca="1" si="17"/>
        <v>40.468556518246864</v>
      </c>
      <c r="D257" s="31">
        <f t="shared" ca="1" si="17"/>
        <v>124.31644055231219</v>
      </c>
      <c r="E257" s="32">
        <v>62.464080417204904</v>
      </c>
      <c r="F257" s="32">
        <v>101.58361583500677</v>
      </c>
      <c r="G257" s="17"/>
    </row>
    <row r="258" spans="3:7" ht="19.899999999999999" customHeight="1" x14ac:dyDescent="0.25">
      <c r="C258" s="31">
        <f t="shared" ca="1" si="17"/>
        <v>40.330753898801497</v>
      </c>
      <c r="D258" s="31">
        <f t="shared" ca="1" si="17"/>
        <v>103.82101182056259</v>
      </c>
      <c r="E258" s="32">
        <v>55.977634151158931</v>
      </c>
      <c r="F258" s="32">
        <v>107.65244152522205</v>
      </c>
      <c r="G258" s="17"/>
    </row>
    <row r="259" spans="3:7" ht="19.899999999999999" customHeight="1" x14ac:dyDescent="0.25">
      <c r="C259" s="31">
        <f t="shared" ca="1" si="17"/>
        <v>6.2103267521156198</v>
      </c>
      <c r="D259" s="31">
        <f t="shared" ca="1" si="17"/>
        <v>106.41143656309228</v>
      </c>
      <c r="E259" s="32">
        <v>38.46088677340321</v>
      </c>
      <c r="F259" s="32">
        <v>144.77569291680749</v>
      </c>
      <c r="G259" s="17"/>
    </row>
    <row r="260" spans="3:7" ht="19.899999999999999" customHeight="1" x14ac:dyDescent="0.25">
      <c r="C260" s="31">
        <f t="shared" ca="1" si="17"/>
        <v>49.549389809302468</v>
      </c>
      <c r="D260" s="31">
        <f t="shared" ca="1" si="17"/>
        <v>108.48192175210512</v>
      </c>
      <c r="E260" s="32">
        <v>61.463418154807826</v>
      </c>
      <c r="F260" s="32">
        <v>130.02984288459021</v>
      </c>
      <c r="G260" s="17"/>
    </row>
    <row r="261" spans="3:7" ht="19.899999999999999" customHeight="1" x14ac:dyDescent="0.25">
      <c r="C261" s="31">
        <f t="shared" ca="1" si="17"/>
        <v>27.926956377290828</v>
      </c>
      <c r="D261" s="31">
        <f t="shared" ca="1" si="17"/>
        <v>100.46073296500091</v>
      </c>
      <c r="E261" s="32">
        <v>60.080861214148506</v>
      </c>
      <c r="F261" s="32">
        <v>118.51936815555663</v>
      </c>
      <c r="G261" s="17"/>
    </row>
    <row r="262" spans="3:7" ht="19.899999999999999" customHeight="1" x14ac:dyDescent="0.25">
      <c r="C262" s="31">
        <f t="shared" ca="1" si="17"/>
        <v>43.642703130073635</v>
      </c>
      <c r="D262" s="31">
        <f t="shared" ca="1" si="17"/>
        <v>94.745248107493154</v>
      </c>
      <c r="E262" s="32">
        <v>41.491353612626334</v>
      </c>
      <c r="F262" s="32">
        <v>120.26920070821024</v>
      </c>
      <c r="G262" s="17"/>
    </row>
    <row r="263" spans="3:7" ht="19.899999999999999" customHeight="1" x14ac:dyDescent="0.25">
      <c r="C263" s="31">
        <f t="shared" ca="1" si="17"/>
        <v>42.623636862996428</v>
      </c>
      <c r="D263" s="31">
        <f t="shared" ca="1" si="17"/>
        <v>124.51948972445169</v>
      </c>
      <c r="E263" s="32">
        <v>32.527791517653029</v>
      </c>
      <c r="F263" s="32">
        <v>132.58824824702151</v>
      </c>
      <c r="G263" s="17"/>
    </row>
    <row r="264" spans="3:7" ht="19.899999999999999" customHeight="1" x14ac:dyDescent="0.25">
      <c r="C264" s="31">
        <f t="shared" ca="1" si="17"/>
        <v>75.16391313126401</v>
      </c>
      <c r="D264" s="31">
        <f t="shared" ca="1" si="17"/>
        <v>102.60516453111197</v>
      </c>
      <c r="E264" s="32">
        <v>31.727513767044851</v>
      </c>
      <c r="F264" s="32">
        <v>119.64151290138734</v>
      </c>
      <c r="G264" s="17"/>
    </row>
    <row r="265" spans="3:7" ht="19.899999999999999" customHeight="1" x14ac:dyDescent="0.25">
      <c r="C265" s="31">
        <f t="shared" ca="1" si="17"/>
        <v>51.772726126665518</v>
      </c>
      <c r="D265" s="31">
        <f t="shared" ca="1" si="17"/>
        <v>119.96919184218569</v>
      </c>
      <c r="E265" s="32">
        <v>59.338749444338724</v>
      </c>
      <c r="F265" s="32">
        <v>108.66859722023023</v>
      </c>
      <c r="G265" s="17"/>
    </row>
    <row r="266" spans="3:7" ht="19.899999999999999" customHeight="1" x14ac:dyDescent="0.25">
      <c r="C266" s="31">
        <f t="shared" ca="1" si="17"/>
        <v>46.4026833930115</v>
      </c>
      <c r="D266" s="31">
        <f t="shared" ca="1" si="17"/>
        <v>97.247398985643386</v>
      </c>
      <c r="E266" s="32">
        <v>44.001524716046326</v>
      </c>
      <c r="F266" s="32">
        <v>99.513227548608114</v>
      </c>
      <c r="G266" s="17"/>
    </row>
    <row r="267" spans="3:7" ht="19.899999999999999" customHeight="1" x14ac:dyDescent="0.25">
      <c r="C267" s="31">
        <f t="shared" ca="1" si="17"/>
        <v>37.639235502036698</v>
      </c>
      <c r="D267" s="31">
        <f t="shared" ca="1" si="17"/>
        <v>97.520302117456865</v>
      </c>
      <c r="E267" s="32">
        <v>48.542016809198437</v>
      </c>
      <c r="F267" s="32">
        <v>130.88203932115118</v>
      </c>
      <c r="G267" s="17"/>
    </row>
    <row r="268" spans="3:7" ht="19.899999999999999" customHeight="1" x14ac:dyDescent="0.25">
      <c r="C268" s="31">
        <f t="shared" ca="1" si="17"/>
        <v>31.034470534068113</v>
      </c>
      <c r="D268" s="31">
        <f t="shared" ca="1" si="17"/>
        <v>116.93877786450838</v>
      </c>
      <c r="E268" s="32">
        <v>47.530081866535625</v>
      </c>
      <c r="F268" s="32">
        <v>102.00268922705419</v>
      </c>
      <c r="G268" s="17"/>
    </row>
    <row r="269" spans="3:7" ht="19.899999999999999" customHeight="1" x14ac:dyDescent="0.25">
      <c r="C269" s="31">
        <f t="shared" ca="1" si="17"/>
        <v>34.777973337688401</v>
      </c>
      <c r="D269" s="31">
        <f t="shared" ca="1" si="17"/>
        <v>113.27664470913264</v>
      </c>
      <c r="E269" s="32">
        <v>64.465066465032962</v>
      </c>
      <c r="F269" s="32">
        <v>99.25841732578526</v>
      </c>
      <c r="G269" s="17"/>
    </row>
    <row r="270" spans="3:7" ht="19.899999999999999" customHeight="1" x14ac:dyDescent="0.25">
      <c r="C270" s="31">
        <f t="shared" ca="1" si="17"/>
        <v>66.581560318907805</v>
      </c>
      <c r="D270" s="31">
        <f t="shared" ca="1" si="17"/>
        <v>124.48063207665173</v>
      </c>
      <c r="E270" s="32">
        <v>32.61766284403155</v>
      </c>
      <c r="F270" s="32">
        <v>110.8372375314076</v>
      </c>
      <c r="G270" s="17"/>
    </row>
    <row r="271" spans="3:7" ht="19.899999999999999" customHeight="1" x14ac:dyDescent="0.25">
      <c r="C271" s="31">
        <f t="shared" ca="1" si="17"/>
        <v>76.994594260513892</v>
      </c>
      <c r="D271" s="31">
        <f t="shared" ca="1" si="17"/>
        <v>99.614496524621757</v>
      </c>
      <c r="E271" s="32">
        <v>68.186362894946626</v>
      </c>
      <c r="F271" s="32">
        <v>103.36543632385732</v>
      </c>
      <c r="G271" s="17"/>
    </row>
    <row r="272" spans="3:7" ht="19.899999999999999" customHeight="1" x14ac:dyDescent="0.25">
      <c r="C272" s="31">
        <f t="shared" ca="1" si="17"/>
        <v>45.239240634597842</v>
      </c>
      <c r="D272" s="31">
        <f t="shared" ca="1" si="17"/>
        <v>131.18876067665093</v>
      </c>
      <c r="E272" s="32">
        <v>20.874686727842967</v>
      </c>
      <c r="F272" s="32">
        <v>115.1561347214832</v>
      </c>
      <c r="G272" s="17"/>
    </row>
    <row r="273" spans="3:7" ht="19.899999999999999" customHeight="1" x14ac:dyDescent="0.25">
      <c r="C273" s="31">
        <f t="shared" ca="1" si="17"/>
        <v>35.261761158279064</v>
      </c>
      <c r="D273" s="31">
        <f t="shared" ca="1" si="17"/>
        <v>104.242957553385</v>
      </c>
      <c r="E273" s="32">
        <v>64.226959343724715</v>
      </c>
      <c r="F273" s="32">
        <v>101.7900138153025</v>
      </c>
      <c r="G273" s="17"/>
    </row>
    <row r="274" spans="3:7" ht="19.899999999999999" customHeight="1" x14ac:dyDescent="0.25">
      <c r="C274" s="31">
        <f t="shared" ref="C274:D293" ca="1" si="18">_xlfn.NORM.INV(RAND(),C$4,C$5)</f>
        <v>71.41735590381964</v>
      </c>
      <c r="D274" s="31">
        <f t="shared" ca="1" si="18"/>
        <v>96.997916833090699</v>
      </c>
      <c r="E274" s="32">
        <v>51.155797283147606</v>
      </c>
      <c r="F274" s="32">
        <v>102.52397002894514</v>
      </c>
      <c r="G274" s="17"/>
    </row>
    <row r="275" spans="3:7" ht="19.899999999999999" customHeight="1" x14ac:dyDescent="0.25">
      <c r="C275" s="31">
        <f t="shared" ca="1" si="18"/>
        <v>31.518875440948474</v>
      </c>
      <c r="D275" s="31">
        <f t="shared" ca="1" si="18"/>
        <v>122.95708841563882</v>
      </c>
      <c r="E275" s="32">
        <v>47.286227140510981</v>
      </c>
      <c r="F275" s="32">
        <v>111.18722909379488</v>
      </c>
      <c r="G275" s="17"/>
    </row>
    <row r="276" spans="3:7" ht="19.899999999999999" customHeight="1" x14ac:dyDescent="0.25">
      <c r="C276" s="31">
        <f t="shared" ca="1" si="18"/>
        <v>87.602167160552867</v>
      </c>
      <c r="D276" s="31">
        <f t="shared" ca="1" si="18"/>
        <v>122.85093233947929</v>
      </c>
      <c r="E276" s="32">
        <v>40.723113534758859</v>
      </c>
      <c r="F276" s="32">
        <v>108.5614418613907</v>
      </c>
      <c r="G276" s="17"/>
    </row>
    <row r="277" spans="3:7" ht="19.899999999999999" customHeight="1" x14ac:dyDescent="0.25">
      <c r="C277" s="31">
        <f t="shared" ca="1" si="18"/>
        <v>38.88179441746621</v>
      </c>
      <c r="D277" s="31">
        <f t="shared" ca="1" si="18"/>
        <v>119.11059721552964</v>
      </c>
      <c r="E277" s="32">
        <v>39.600846886969862</v>
      </c>
      <c r="F277" s="32">
        <v>115.95481762891512</v>
      </c>
      <c r="G277" s="17"/>
    </row>
    <row r="278" spans="3:7" ht="19.899999999999999" customHeight="1" x14ac:dyDescent="0.25">
      <c r="C278" s="31">
        <f t="shared" ca="1" si="18"/>
        <v>61.030776974019531</v>
      </c>
      <c r="D278" s="31">
        <f t="shared" ca="1" si="18"/>
        <v>118.90376175944313</v>
      </c>
      <c r="E278" s="32">
        <v>-2.6829047923233418</v>
      </c>
      <c r="F278" s="32">
        <v>98.228404452664037</v>
      </c>
      <c r="G278" s="17"/>
    </row>
    <row r="279" spans="3:7" ht="19.899999999999999" customHeight="1" x14ac:dyDescent="0.25">
      <c r="C279" s="31">
        <f t="shared" ca="1" si="18"/>
        <v>18.599540494995278</v>
      </c>
      <c r="D279" s="31">
        <f t="shared" ca="1" si="18"/>
        <v>129.22147766210526</v>
      </c>
      <c r="E279" s="32">
        <v>57.314600068003955</v>
      </c>
      <c r="F279" s="32">
        <v>124.31115182046956</v>
      </c>
      <c r="G279" s="17"/>
    </row>
    <row r="280" spans="3:7" ht="19.899999999999999" customHeight="1" x14ac:dyDescent="0.25">
      <c r="C280" s="31">
        <f t="shared" ca="1" si="18"/>
        <v>42.110205409905916</v>
      </c>
      <c r="D280" s="31">
        <f t="shared" ca="1" si="18"/>
        <v>98.296696223100724</v>
      </c>
      <c r="E280" s="32">
        <v>48.633210327244782</v>
      </c>
      <c r="F280" s="32">
        <v>146.67116502983851</v>
      </c>
      <c r="G280" s="17"/>
    </row>
    <row r="281" spans="3:7" ht="19.899999999999999" customHeight="1" x14ac:dyDescent="0.25">
      <c r="C281" s="31">
        <f t="shared" ca="1" si="18"/>
        <v>96.302070074075573</v>
      </c>
      <c r="D281" s="31">
        <f t="shared" ca="1" si="18"/>
        <v>95.226691333609295</v>
      </c>
      <c r="E281" s="32">
        <v>19.718283251845243</v>
      </c>
      <c r="F281" s="32">
        <v>96.928296588740963</v>
      </c>
      <c r="G281" s="17"/>
    </row>
    <row r="282" spans="3:7" ht="19.899999999999999" customHeight="1" x14ac:dyDescent="0.25">
      <c r="C282" s="31">
        <f t="shared" ca="1" si="18"/>
        <v>46.461667180676884</v>
      </c>
      <c r="D282" s="31">
        <f t="shared" ca="1" si="18"/>
        <v>105.35219199037412</v>
      </c>
      <c r="E282" s="32">
        <v>72.174536149178039</v>
      </c>
      <c r="F282" s="32">
        <v>110.89213649854256</v>
      </c>
      <c r="G282" s="17"/>
    </row>
    <row r="283" spans="3:7" ht="19.899999999999999" customHeight="1" x14ac:dyDescent="0.25">
      <c r="C283" s="31">
        <f t="shared" ca="1" si="18"/>
        <v>58.499217925252644</v>
      </c>
      <c r="D283" s="31">
        <f t="shared" ca="1" si="18"/>
        <v>105.87678603497253</v>
      </c>
      <c r="E283" s="32">
        <v>67.174004642903412</v>
      </c>
      <c r="F283" s="32">
        <v>102.82765819492306</v>
      </c>
      <c r="G283" s="17"/>
    </row>
    <row r="284" spans="3:7" ht="19.899999999999999" customHeight="1" x14ac:dyDescent="0.25">
      <c r="C284" s="31">
        <f t="shared" ca="1" si="18"/>
        <v>60.19300221752269</v>
      </c>
      <c r="D284" s="31">
        <f t="shared" ca="1" si="18"/>
        <v>119.29736165689734</v>
      </c>
      <c r="E284" s="32">
        <v>63.859222246290585</v>
      </c>
      <c r="F284" s="32">
        <v>133.06961813919312</v>
      </c>
      <c r="G284" s="17"/>
    </row>
    <row r="285" spans="3:7" ht="19.899999999999999" customHeight="1" x14ac:dyDescent="0.25">
      <c r="C285" s="31">
        <f t="shared" ca="1" si="18"/>
        <v>70.093117506934746</v>
      </c>
      <c r="D285" s="31">
        <f t="shared" ca="1" si="18"/>
        <v>103.48983505869624</v>
      </c>
      <c r="E285" s="32">
        <v>23.484747855807633</v>
      </c>
      <c r="F285" s="32">
        <v>108.72388448308388</v>
      </c>
      <c r="G285" s="17"/>
    </row>
    <row r="286" spans="3:7" ht="19.899999999999999" customHeight="1" x14ac:dyDescent="0.25">
      <c r="C286" s="31">
        <f t="shared" ca="1" si="18"/>
        <v>73.262155778001144</v>
      </c>
      <c r="D286" s="31">
        <f t="shared" ca="1" si="18"/>
        <v>108.52273203919275</v>
      </c>
      <c r="E286" s="32">
        <v>62.81104263861473</v>
      </c>
      <c r="F286" s="32">
        <v>107.47671402365846</v>
      </c>
      <c r="G286" s="17"/>
    </row>
    <row r="287" spans="3:7" ht="19.899999999999999" customHeight="1" x14ac:dyDescent="0.25">
      <c r="C287" s="31">
        <f t="shared" ca="1" si="18"/>
        <v>45.565071862206871</v>
      </c>
      <c r="D287" s="31">
        <f t="shared" ca="1" si="18"/>
        <v>111.07697988733261</v>
      </c>
      <c r="E287" s="32">
        <v>72.565786357325067</v>
      </c>
      <c r="F287" s="32">
        <v>98.493798918382694</v>
      </c>
      <c r="G287" s="17"/>
    </row>
    <row r="288" spans="3:7" ht="19.899999999999999" customHeight="1" x14ac:dyDescent="0.25">
      <c r="C288" s="31">
        <f t="shared" ca="1" si="18"/>
        <v>29.313709101536904</v>
      </c>
      <c r="D288" s="31">
        <f t="shared" ca="1" si="18"/>
        <v>118.70561141761218</v>
      </c>
      <c r="E288" s="32">
        <v>44.532424691300776</v>
      </c>
      <c r="F288" s="32">
        <v>117.99279640832604</v>
      </c>
      <c r="G288" s="17"/>
    </row>
    <row r="289" spans="3:7" ht="19.899999999999999" customHeight="1" x14ac:dyDescent="0.25">
      <c r="C289" s="31">
        <f t="shared" ca="1" si="18"/>
        <v>67.83850444358643</v>
      </c>
      <c r="D289" s="31">
        <f t="shared" ca="1" si="18"/>
        <v>124.07551282342837</v>
      </c>
      <c r="E289" s="32">
        <v>44.227352607614478</v>
      </c>
      <c r="F289" s="32">
        <v>110.60506944160578</v>
      </c>
      <c r="G289" s="17"/>
    </row>
    <row r="290" spans="3:7" ht="19.899999999999999" customHeight="1" x14ac:dyDescent="0.25">
      <c r="C290" s="31">
        <f t="shared" ca="1" si="18"/>
        <v>41.019085688503743</v>
      </c>
      <c r="D290" s="31">
        <f t="shared" ca="1" si="18"/>
        <v>110.43755451975512</v>
      </c>
      <c r="E290" s="32">
        <v>28.772397218248557</v>
      </c>
      <c r="F290" s="32">
        <v>103.88071641098165</v>
      </c>
      <c r="G290" s="17"/>
    </row>
    <row r="291" spans="3:7" ht="19.899999999999999" customHeight="1" x14ac:dyDescent="0.25">
      <c r="C291" s="31">
        <f t="shared" ca="1" si="18"/>
        <v>49.065766441416301</v>
      </c>
      <c r="D291" s="31">
        <f t="shared" ca="1" si="18"/>
        <v>90.563975319706941</v>
      </c>
      <c r="E291" s="32">
        <v>28.944233949950494</v>
      </c>
      <c r="F291" s="32">
        <v>90.490266874050576</v>
      </c>
      <c r="G291" s="17"/>
    </row>
    <row r="292" spans="3:7" ht="19.899999999999999" customHeight="1" x14ac:dyDescent="0.25">
      <c r="C292" s="31">
        <f t="shared" ca="1" si="18"/>
        <v>41.941682131362796</v>
      </c>
      <c r="D292" s="31">
        <f t="shared" ca="1" si="18"/>
        <v>106.28007401587932</v>
      </c>
      <c r="E292" s="32">
        <v>41.095964593308423</v>
      </c>
      <c r="F292" s="32">
        <v>114.14232258928486</v>
      </c>
      <c r="G292" s="17"/>
    </row>
    <row r="293" spans="3:7" ht="19.899999999999999" customHeight="1" x14ac:dyDescent="0.25">
      <c r="C293" s="31">
        <f t="shared" ca="1" si="18"/>
        <v>22.884923422832149</v>
      </c>
      <c r="D293" s="31">
        <f t="shared" ca="1" si="18"/>
        <v>82.115183674064994</v>
      </c>
      <c r="E293" s="32">
        <v>37.860014721677352</v>
      </c>
      <c r="F293" s="32">
        <v>116.31069819499675</v>
      </c>
      <c r="G293" s="17"/>
    </row>
    <row r="294" spans="3:7" ht="19.899999999999999" customHeight="1" x14ac:dyDescent="0.25">
      <c r="C294" s="31">
        <f t="shared" ref="C294:D313" ca="1" si="19">_xlfn.NORM.INV(RAND(),C$4,C$5)</f>
        <v>61.533484180676055</v>
      </c>
      <c r="D294" s="31">
        <f t="shared" ca="1" si="19"/>
        <v>133.4451424312611</v>
      </c>
      <c r="E294" s="32">
        <v>56.963893771642063</v>
      </c>
      <c r="F294" s="32">
        <v>108.52744555146043</v>
      </c>
      <c r="G294" s="17"/>
    </row>
    <row r="295" spans="3:7" ht="19.899999999999999" customHeight="1" x14ac:dyDescent="0.25">
      <c r="C295" s="31">
        <f t="shared" ca="1" si="19"/>
        <v>85.76893922100929</v>
      </c>
      <c r="D295" s="31">
        <f t="shared" ca="1" si="19"/>
        <v>101.13658104143104</v>
      </c>
      <c r="E295" s="32">
        <v>79.119097721727542</v>
      </c>
      <c r="F295" s="32">
        <v>114.26056110159081</v>
      </c>
      <c r="G295" s="17"/>
    </row>
    <row r="296" spans="3:7" ht="19.899999999999999" customHeight="1" x14ac:dyDescent="0.25">
      <c r="C296" s="31">
        <f t="shared" ca="1" si="19"/>
        <v>41.075009277828208</v>
      </c>
      <c r="D296" s="31">
        <f t="shared" ca="1" si="19"/>
        <v>114.56962747671049</v>
      </c>
      <c r="E296" s="32">
        <v>43.496057108574732</v>
      </c>
      <c r="F296" s="32">
        <v>114.53649651765127</v>
      </c>
      <c r="G296" s="17"/>
    </row>
    <row r="297" spans="3:7" ht="19.899999999999999" customHeight="1" x14ac:dyDescent="0.25">
      <c r="C297" s="31">
        <f t="shared" ca="1" si="19"/>
        <v>66.268971801066641</v>
      </c>
      <c r="D297" s="31">
        <f t="shared" ca="1" si="19"/>
        <v>90.671645644792193</v>
      </c>
      <c r="E297" s="32">
        <v>35.956203107700972</v>
      </c>
      <c r="F297" s="32">
        <v>97.829830269148857</v>
      </c>
      <c r="G297" s="17"/>
    </row>
    <row r="298" spans="3:7" ht="19.899999999999999" customHeight="1" x14ac:dyDescent="0.25">
      <c r="C298" s="31">
        <f t="shared" ca="1" si="19"/>
        <v>71.06480355330315</v>
      </c>
      <c r="D298" s="31">
        <f t="shared" ca="1" si="19"/>
        <v>113.69922551622584</v>
      </c>
      <c r="E298" s="32">
        <v>46.559150543697321</v>
      </c>
      <c r="F298" s="32">
        <v>109.62910900911163</v>
      </c>
      <c r="G298" s="17"/>
    </row>
    <row r="299" spans="3:7" ht="19.899999999999999" customHeight="1" x14ac:dyDescent="0.25">
      <c r="C299" s="31">
        <f t="shared" ca="1" si="19"/>
        <v>1.8338294589640824</v>
      </c>
      <c r="D299" s="31">
        <f t="shared" ca="1" si="19"/>
        <v>119.66132665930711</v>
      </c>
      <c r="E299" s="32">
        <v>67.452244986642114</v>
      </c>
      <c r="F299" s="32">
        <v>106.38610224883173</v>
      </c>
      <c r="G299" s="17"/>
    </row>
    <row r="300" spans="3:7" ht="19.899999999999999" customHeight="1" x14ac:dyDescent="0.25">
      <c r="C300" s="31">
        <f t="shared" ca="1" si="19"/>
        <v>38.720735204404299</v>
      </c>
      <c r="D300" s="31">
        <f t="shared" ca="1" si="19"/>
        <v>88.436330216471092</v>
      </c>
      <c r="E300" s="32">
        <v>57.046361232963044</v>
      </c>
      <c r="F300" s="32">
        <v>123.37887190706361</v>
      </c>
      <c r="G300" s="17"/>
    </row>
    <row r="301" spans="3:7" ht="19.899999999999999" customHeight="1" x14ac:dyDescent="0.25">
      <c r="C301" s="31">
        <f t="shared" ca="1" si="19"/>
        <v>18.979455985820803</v>
      </c>
      <c r="D301" s="31">
        <f t="shared" ca="1" si="19"/>
        <v>110.79988955174582</v>
      </c>
      <c r="E301" s="32">
        <v>28.405606410274558</v>
      </c>
      <c r="F301" s="32">
        <v>112.18100121207586</v>
      </c>
      <c r="G301" s="17"/>
    </row>
    <row r="302" spans="3:7" ht="19.899999999999999" customHeight="1" x14ac:dyDescent="0.25">
      <c r="C302" s="31">
        <f t="shared" ca="1" si="19"/>
        <v>86.216322387782498</v>
      </c>
      <c r="D302" s="31">
        <f t="shared" ca="1" si="19"/>
        <v>117.46842007528075</v>
      </c>
      <c r="E302" s="32">
        <v>52.10205382978269</v>
      </c>
      <c r="F302" s="32">
        <v>103.94634026820704</v>
      </c>
      <c r="G302" s="17"/>
    </row>
    <row r="303" spans="3:7" ht="19.899999999999999" customHeight="1" x14ac:dyDescent="0.25">
      <c r="C303" s="31">
        <f t="shared" ca="1" si="19"/>
        <v>25.559477792787611</v>
      </c>
      <c r="D303" s="31">
        <f t="shared" ca="1" si="19"/>
        <v>125.63462338148884</v>
      </c>
      <c r="E303" s="32">
        <v>40.509085331283444</v>
      </c>
      <c r="F303" s="32">
        <v>100.36108080671777</v>
      </c>
      <c r="G303" s="17"/>
    </row>
    <row r="304" spans="3:7" ht="19.899999999999999" customHeight="1" x14ac:dyDescent="0.25">
      <c r="C304" s="31">
        <f t="shared" ca="1" si="19"/>
        <v>43.434969162383744</v>
      </c>
      <c r="D304" s="31">
        <f t="shared" ca="1" si="19"/>
        <v>145.31080504642091</v>
      </c>
      <c r="E304" s="32">
        <v>70.532126259824665</v>
      </c>
      <c r="F304" s="32">
        <v>96.212146543854672</v>
      </c>
      <c r="G304" s="17"/>
    </row>
    <row r="305" spans="3:7" ht="19.899999999999999" customHeight="1" x14ac:dyDescent="0.25">
      <c r="C305" s="31">
        <f t="shared" ca="1" si="19"/>
        <v>39.893678247397979</v>
      </c>
      <c r="D305" s="31">
        <f t="shared" ca="1" si="19"/>
        <v>109.77802314179286</v>
      </c>
      <c r="E305" s="32">
        <v>42.293662590359396</v>
      </c>
      <c r="F305" s="32">
        <v>113.14183033607129</v>
      </c>
      <c r="G305" s="17"/>
    </row>
    <row r="306" spans="3:7" ht="19.899999999999999" customHeight="1" x14ac:dyDescent="0.25">
      <c r="C306" s="31">
        <f t="shared" ca="1" si="19"/>
        <v>76.341515435174074</v>
      </c>
      <c r="D306" s="31">
        <f t="shared" ca="1" si="19"/>
        <v>107.24951795868313</v>
      </c>
      <c r="E306" s="32">
        <v>10.537173059584852</v>
      </c>
      <c r="F306" s="32">
        <v>128.31120150872849</v>
      </c>
      <c r="G306" s="17"/>
    </row>
    <row r="307" spans="3:7" ht="19.899999999999999" customHeight="1" x14ac:dyDescent="0.25">
      <c r="C307" s="31">
        <f t="shared" ca="1" si="19"/>
        <v>25.714650844484403</v>
      </c>
      <c r="D307" s="31">
        <f t="shared" ca="1" si="19"/>
        <v>119.7851444297082</v>
      </c>
      <c r="E307" s="32">
        <v>32.639958520255263</v>
      </c>
      <c r="F307" s="32">
        <v>135.8616576536935</v>
      </c>
      <c r="G307" s="17"/>
    </row>
    <row r="308" spans="3:7" ht="19.899999999999999" customHeight="1" x14ac:dyDescent="0.25">
      <c r="C308" s="31">
        <f t="shared" ca="1" si="19"/>
        <v>42.917063074135314</v>
      </c>
      <c r="D308" s="31">
        <f t="shared" ca="1" si="19"/>
        <v>101.51190739876083</v>
      </c>
      <c r="E308" s="32">
        <v>56.160328503717622</v>
      </c>
      <c r="F308" s="32">
        <v>115.72029803026685</v>
      </c>
      <c r="G308" s="17"/>
    </row>
    <row r="309" spans="3:7" ht="19.899999999999999" customHeight="1" x14ac:dyDescent="0.25">
      <c r="C309" s="31">
        <f t="shared" ca="1" si="19"/>
        <v>40.371477101433904</v>
      </c>
      <c r="D309" s="31">
        <f t="shared" ca="1" si="19"/>
        <v>115.68891541216344</v>
      </c>
      <c r="E309" s="32">
        <v>42.545344000085066</v>
      </c>
      <c r="F309" s="32">
        <v>124.09267269856788</v>
      </c>
      <c r="G309" s="17"/>
    </row>
    <row r="310" spans="3:7" ht="19.899999999999999" customHeight="1" x14ac:dyDescent="0.25">
      <c r="C310" s="31">
        <f t="shared" ca="1" si="19"/>
        <v>68.384237116687075</v>
      </c>
      <c r="D310" s="31">
        <f t="shared" ca="1" si="19"/>
        <v>122.67589355261251</v>
      </c>
      <c r="E310" s="32">
        <v>64.876280292370524</v>
      </c>
      <c r="F310" s="32">
        <v>105.49462605536397</v>
      </c>
      <c r="G310" s="17"/>
    </row>
    <row r="311" spans="3:7" ht="19.899999999999999" customHeight="1" x14ac:dyDescent="0.25">
      <c r="C311" s="31">
        <f t="shared" ca="1" si="19"/>
        <v>59.026403717802715</v>
      </c>
      <c r="D311" s="31">
        <f t="shared" ca="1" si="19"/>
        <v>126.78923025770526</v>
      </c>
      <c r="E311" s="32">
        <v>69.041636473952224</v>
      </c>
      <c r="F311" s="32">
        <v>112.49270093437998</v>
      </c>
      <c r="G311" s="17"/>
    </row>
    <row r="312" spans="3:7" ht="19.899999999999999" customHeight="1" x14ac:dyDescent="0.25">
      <c r="C312" s="31">
        <f t="shared" ca="1" si="19"/>
        <v>66.459720635984553</v>
      </c>
      <c r="D312" s="31">
        <f t="shared" ca="1" si="19"/>
        <v>106.61454265020069</v>
      </c>
      <c r="E312" s="32">
        <v>16.781339001697702</v>
      </c>
      <c r="F312" s="32">
        <v>113.97170010957939</v>
      </c>
      <c r="G312" s="17"/>
    </row>
    <row r="313" spans="3:7" ht="19.899999999999999" customHeight="1" x14ac:dyDescent="0.25">
      <c r="C313" s="31">
        <f t="shared" ca="1" si="19"/>
        <v>25.516973480572904</v>
      </c>
      <c r="D313" s="31">
        <f t="shared" ca="1" si="19"/>
        <v>111.98277077865305</v>
      </c>
      <c r="E313" s="32">
        <v>15.142367582062278</v>
      </c>
      <c r="F313" s="32">
        <v>109.51419542855821</v>
      </c>
      <c r="G313" s="17"/>
    </row>
    <row r="314" spans="3:7" ht="19.899999999999999" customHeight="1" x14ac:dyDescent="0.25">
      <c r="C314" s="31">
        <f t="shared" ref="C314:D333" ca="1" si="20">_xlfn.NORM.INV(RAND(),C$4,C$5)</f>
        <v>75.826712625331226</v>
      </c>
      <c r="D314" s="31">
        <f t="shared" ca="1" si="20"/>
        <v>138.07705048708621</v>
      </c>
      <c r="E314" s="32">
        <v>44.316052186373234</v>
      </c>
      <c r="F314" s="32">
        <v>119.08720952511254</v>
      </c>
      <c r="G314" s="17"/>
    </row>
    <row r="315" spans="3:7" ht="19.899999999999999" customHeight="1" x14ac:dyDescent="0.25">
      <c r="C315" s="31">
        <f t="shared" ca="1" si="20"/>
        <v>45.715196269048199</v>
      </c>
      <c r="D315" s="31">
        <f t="shared" ca="1" si="20"/>
        <v>108.60307273075284</v>
      </c>
      <c r="E315" s="32">
        <v>61.464915374342652</v>
      </c>
      <c r="F315" s="32">
        <v>117.37781545839169</v>
      </c>
      <c r="G315" s="17"/>
    </row>
    <row r="316" spans="3:7" ht="19.899999999999999" customHeight="1" x14ac:dyDescent="0.25">
      <c r="C316" s="31">
        <f t="shared" ca="1" si="20"/>
        <v>59.992033802509432</v>
      </c>
      <c r="D316" s="31">
        <f t="shared" ca="1" si="20"/>
        <v>94.963275330756289</v>
      </c>
      <c r="E316" s="32">
        <v>65.946481363180567</v>
      </c>
      <c r="F316" s="32">
        <v>117.77938036508647</v>
      </c>
      <c r="G316" s="17"/>
    </row>
    <row r="317" spans="3:7" ht="19.899999999999999" customHeight="1" x14ac:dyDescent="0.25">
      <c r="C317" s="31">
        <f t="shared" ca="1" si="20"/>
        <v>60.840346387196412</v>
      </c>
      <c r="D317" s="31">
        <f t="shared" ca="1" si="20"/>
        <v>101.7924269055313</v>
      </c>
      <c r="E317" s="32">
        <v>53.225719518248638</v>
      </c>
      <c r="F317" s="32">
        <v>123.34351982221548</v>
      </c>
      <c r="G317" s="17"/>
    </row>
    <row r="318" spans="3:7" ht="19.899999999999999" customHeight="1" x14ac:dyDescent="0.25">
      <c r="C318" s="31">
        <f t="shared" ca="1" si="20"/>
        <v>46.881804429672528</v>
      </c>
      <c r="D318" s="31">
        <f t="shared" ca="1" si="20"/>
        <v>93.008423424801521</v>
      </c>
      <c r="E318" s="32">
        <v>49.316806766042959</v>
      </c>
      <c r="F318" s="32">
        <v>102.17096545245282</v>
      </c>
      <c r="G318" s="17"/>
    </row>
    <row r="319" spans="3:7" ht="19.899999999999999" customHeight="1" x14ac:dyDescent="0.25">
      <c r="C319" s="31">
        <f t="shared" ca="1" si="20"/>
        <v>61.807275985332396</v>
      </c>
      <c r="D319" s="31">
        <f t="shared" ca="1" si="20"/>
        <v>97.875364125291483</v>
      </c>
      <c r="E319" s="32">
        <v>79.436380369756989</v>
      </c>
      <c r="F319" s="32">
        <v>93.467031030239966</v>
      </c>
      <c r="G319" s="17"/>
    </row>
    <row r="320" spans="3:7" ht="19.899999999999999" customHeight="1" x14ac:dyDescent="0.25">
      <c r="C320" s="31">
        <f t="shared" ca="1" si="20"/>
        <v>48.631673762443114</v>
      </c>
      <c r="D320" s="31">
        <f t="shared" ca="1" si="20"/>
        <v>105.66169461273167</v>
      </c>
      <c r="E320" s="32">
        <v>32.168126953614021</v>
      </c>
      <c r="F320" s="32">
        <v>115.34328469858313</v>
      </c>
      <c r="G320" s="17"/>
    </row>
    <row r="321" spans="3:7" ht="19.899999999999999" customHeight="1" x14ac:dyDescent="0.25">
      <c r="C321" s="31">
        <f t="shared" ca="1" si="20"/>
        <v>63.129998419419167</v>
      </c>
      <c r="D321" s="31">
        <f t="shared" ca="1" si="20"/>
        <v>84.518868763201525</v>
      </c>
      <c r="E321" s="32">
        <v>44.830153052571056</v>
      </c>
      <c r="F321" s="32">
        <v>89.453809626526123</v>
      </c>
      <c r="G321" s="17"/>
    </row>
    <row r="322" spans="3:7" ht="19.899999999999999" customHeight="1" x14ac:dyDescent="0.25">
      <c r="C322" s="31">
        <f t="shared" ca="1" si="20"/>
        <v>64.109136636673682</v>
      </c>
      <c r="D322" s="31">
        <f t="shared" ca="1" si="20"/>
        <v>98.876618482741094</v>
      </c>
      <c r="E322" s="32">
        <v>63.607193079056231</v>
      </c>
      <c r="F322" s="32">
        <v>128.44555512016473</v>
      </c>
      <c r="G322" s="17"/>
    </row>
    <row r="323" spans="3:7" ht="19.899999999999999" customHeight="1" x14ac:dyDescent="0.25">
      <c r="C323" s="31">
        <f t="shared" ca="1" si="20"/>
        <v>54.914332943553859</v>
      </c>
      <c r="D323" s="31">
        <f t="shared" ca="1" si="20"/>
        <v>115.34545275754695</v>
      </c>
      <c r="E323" s="32">
        <v>43.386374750583691</v>
      </c>
      <c r="F323" s="32">
        <v>121.11516160021414</v>
      </c>
      <c r="G323" s="17"/>
    </row>
    <row r="324" spans="3:7" ht="19.899999999999999" customHeight="1" x14ac:dyDescent="0.25">
      <c r="C324" s="31">
        <f t="shared" ca="1" si="20"/>
        <v>77.079009764143223</v>
      </c>
      <c r="D324" s="31">
        <f t="shared" ca="1" si="20"/>
        <v>116.9883665259311</v>
      </c>
      <c r="E324" s="32">
        <v>28.645328114453402</v>
      </c>
      <c r="F324" s="32">
        <v>107.09009219426235</v>
      </c>
      <c r="G324" s="17"/>
    </row>
    <row r="325" spans="3:7" ht="19.899999999999999" customHeight="1" x14ac:dyDescent="0.25">
      <c r="C325" s="31">
        <f t="shared" ca="1" si="20"/>
        <v>50.53711693127994</v>
      </c>
      <c r="D325" s="31">
        <f t="shared" ca="1" si="20"/>
        <v>105.72687953555405</v>
      </c>
      <c r="E325" s="32">
        <v>43.708609593653691</v>
      </c>
      <c r="F325" s="32">
        <v>124.77643761683723</v>
      </c>
      <c r="G325" s="17"/>
    </row>
    <row r="326" spans="3:7" ht="19.899999999999999" customHeight="1" x14ac:dyDescent="0.25">
      <c r="C326" s="31">
        <f t="shared" ca="1" si="20"/>
        <v>51.988813742607782</v>
      </c>
      <c r="D326" s="31">
        <f t="shared" ca="1" si="20"/>
        <v>123.07995298652544</v>
      </c>
      <c r="E326" s="32">
        <v>55.50590132011699</v>
      </c>
      <c r="F326" s="32">
        <v>117.31876405604754</v>
      </c>
      <c r="G326" s="17"/>
    </row>
    <row r="327" spans="3:7" ht="19.899999999999999" customHeight="1" x14ac:dyDescent="0.25">
      <c r="C327" s="31">
        <f t="shared" ca="1" si="20"/>
        <v>41.773390417125526</v>
      </c>
      <c r="D327" s="31">
        <f t="shared" ca="1" si="20"/>
        <v>112.01427790425876</v>
      </c>
      <c r="E327" s="32">
        <v>45.021112587702483</v>
      </c>
      <c r="F327" s="32">
        <v>94.229210816129779</v>
      </c>
      <c r="G327" s="17"/>
    </row>
    <row r="328" spans="3:7" ht="19.899999999999999" customHeight="1" x14ac:dyDescent="0.25">
      <c r="C328" s="31">
        <f t="shared" ca="1" si="20"/>
        <v>53.95360961983345</v>
      </c>
      <c r="D328" s="31">
        <f t="shared" ca="1" si="20"/>
        <v>94.265539803181241</v>
      </c>
      <c r="E328" s="32">
        <v>51.873192811813681</v>
      </c>
      <c r="F328" s="32">
        <v>103.11331322517063</v>
      </c>
      <c r="G328" s="17"/>
    </row>
    <row r="329" spans="3:7" ht="19.899999999999999" customHeight="1" x14ac:dyDescent="0.25">
      <c r="C329" s="31">
        <f t="shared" ca="1" si="20"/>
        <v>65.298267569301103</v>
      </c>
      <c r="D329" s="31">
        <f t="shared" ca="1" si="20"/>
        <v>125.70344368844223</v>
      </c>
      <c r="E329" s="32">
        <v>61.02003761493809</v>
      </c>
      <c r="F329" s="32">
        <v>123.65850776164321</v>
      </c>
      <c r="G329" s="17"/>
    </row>
    <row r="330" spans="3:7" ht="19.899999999999999" customHeight="1" x14ac:dyDescent="0.25">
      <c r="C330" s="31">
        <f t="shared" ca="1" si="20"/>
        <v>54.832404712295023</v>
      </c>
      <c r="D330" s="31">
        <f t="shared" ca="1" si="20"/>
        <v>96.91060204680339</v>
      </c>
      <c r="E330" s="32">
        <v>49.285794561706446</v>
      </c>
      <c r="F330" s="32">
        <v>101.42979572495132</v>
      </c>
      <c r="G330" s="17"/>
    </row>
    <row r="331" spans="3:7" ht="19.899999999999999" customHeight="1" x14ac:dyDescent="0.25">
      <c r="C331" s="31">
        <f t="shared" ca="1" si="20"/>
        <v>72.647040007184387</v>
      </c>
      <c r="D331" s="31">
        <f t="shared" ca="1" si="20"/>
        <v>113.50208303916438</v>
      </c>
      <c r="E331" s="32">
        <v>70.761307622390049</v>
      </c>
      <c r="F331" s="32">
        <v>104.64974454355445</v>
      </c>
      <c r="G331" s="17"/>
    </row>
    <row r="332" spans="3:7" ht="19.899999999999999" customHeight="1" x14ac:dyDescent="0.25">
      <c r="C332" s="31">
        <f t="shared" ca="1" si="20"/>
        <v>45.174649927328936</v>
      </c>
      <c r="D332" s="31">
        <f t="shared" ca="1" si="20"/>
        <v>95.768029524442028</v>
      </c>
      <c r="E332" s="32">
        <v>54.902110561022354</v>
      </c>
      <c r="F332" s="32">
        <v>109.25058857110983</v>
      </c>
      <c r="G332" s="17"/>
    </row>
    <row r="333" spans="3:7" ht="19.899999999999999" customHeight="1" x14ac:dyDescent="0.25">
      <c r="C333" s="31">
        <f t="shared" ca="1" si="20"/>
        <v>51.622391493657823</v>
      </c>
      <c r="D333" s="31">
        <f t="shared" ca="1" si="20"/>
        <v>117.46205587196377</v>
      </c>
      <c r="E333" s="32">
        <v>10.908591362953786</v>
      </c>
      <c r="F333" s="32">
        <v>113.11846808873113</v>
      </c>
      <c r="G333" s="17"/>
    </row>
    <row r="334" spans="3:7" ht="19.899999999999999" customHeight="1" x14ac:dyDescent="0.25">
      <c r="C334" s="31">
        <f t="shared" ref="C334:D353" ca="1" si="21">_xlfn.NORM.INV(RAND(),C$4,C$5)</f>
        <v>29.90855863814464</v>
      </c>
      <c r="D334" s="31">
        <f t="shared" ca="1" si="21"/>
        <v>114.83601249586299</v>
      </c>
      <c r="E334" s="32">
        <v>86.617127057306703</v>
      </c>
      <c r="F334" s="32">
        <v>109.38949362492559</v>
      </c>
      <c r="G334" s="17"/>
    </row>
    <row r="335" spans="3:7" ht="19.899999999999999" customHeight="1" x14ac:dyDescent="0.25">
      <c r="C335" s="31">
        <f t="shared" ca="1" si="21"/>
        <v>34.886295566505119</v>
      </c>
      <c r="D335" s="31">
        <f t="shared" ca="1" si="21"/>
        <v>104.1389992409394</v>
      </c>
      <c r="E335" s="32">
        <v>62.068099015705847</v>
      </c>
      <c r="F335" s="32">
        <v>112.52961756391856</v>
      </c>
      <c r="G335" s="17"/>
    </row>
    <row r="336" spans="3:7" ht="19.899999999999999" customHeight="1" x14ac:dyDescent="0.25">
      <c r="C336" s="31">
        <f t="shared" ca="1" si="21"/>
        <v>46.136334447497944</v>
      </c>
      <c r="D336" s="31">
        <f t="shared" ca="1" si="21"/>
        <v>94.709899334182296</v>
      </c>
      <c r="E336" s="32">
        <v>13.761609055417523</v>
      </c>
      <c r="F336" s="32">
        <v>127.6425961577697</v>
      </c>
      <c r="G336" s="17"/>
    </row>
    <row r="337" spans="3:7" ht="19.899999999999999" customHeight="1" x14ac:dyDescent="0.25">
      <c r="C337" s="31">
        <f t="shared" ca="1" si="21"/>
        <v>50.878885326665063</v>
      </c>
      <c r="D337" s="31">
        <f t="shared" ca="1" si="21"/>
        <v>103.29191498965154</v>
      </c>
      <c r="E337" s="32">
        <v>45.504781504251191</v>
      </c>
      <c r="F337" s="32">
        <v>101.84411505192858</v>
      </c>
      <c r="G337" s="17"/>
    </row>
    <row r="338" spans="3:7" ht="19.899999999999999" customHeight="1" x14ac:dyDescent="0.25">
      <c r="C338" s="31">
        <f t="shared" ca="1" si="21"/>
        <v>69.305065777927197</v>
      </c>
      <c r="D338" s="31">
        <f t="shared" ca="1" si="21"/>
        <v>132.91265138433823</v>
      </c>
      <c r="E338" s="32">
        <v>48.563494317039812</v>
      </c>
      <c r="F338" s="32">
        <v>103.67998333496428</v>
      </c>
      <c r="G338" s="17"/>
    </row>
    <row r="339" spans="3:7" ht="19.899999999999999" customHeight="1" x14ac:dyDescent="0.25">
      <c r="C339" s="31">
        <f t="shared" ca="1" si="21"/>
        <v>55.02468320658712</v>
      </c>
      <c r="D339" s="31">
        <f t="shared" ca="1" si="21"/>
        <v>90.883072555347766</v>
      </c>
      <c r="E339" s="32">
        <v>41.174735893080019</v>
      </c>
      <c r="F339" s="32">
        <v>82.980294236354027</v>
      </c>
      <c r="G339" s="17"/>
    </row>
    <row r="340" spans="3:7" ht="19.899999999999999" customHeight="1" x14ac:dyDescent="0.25">
      <c r="C340" s="31">
        <f t="shared" ca="1" si="21"/>
        <v>39.410189797301115</v>
      </c>
      <c r="D340" s="31">
        <f t="shared" ca="1" si="21"/>
        <v>106.25101961405265</v>
      </c>
      <c r="E340" s="32">
        <v>37.954496316562029</v>
      </c>
      <c r="F340" s="32">
        <v>123.65734429553359</v>
      </c>
      <c r="G340" s="17"/>
    </row>
    <row r="341" spans="3:7" ht="19.899999999999999" customHeight="1" x14ac:dyDescent="0.25">
      <c r="C341" s="31">
        <f t="shared" ca="1" si="21"/>
        <v>72.132669510316035</v>
      </c>
      <c r="D341" s="31">
        <f t="shared" ca="1" si="21"/>
        <v>112.6518970422987</v>
      </c>
      <c r="E341" s="32">
        <v>73.421059876336642</v>
      </c>
      <c r="F341" s="32">
        <v>123.18312397666796</v>
      </c>
      <c r="G341" s="17"/>
    </row>
    <row r="342" spans="3:7" ht="19.899999999999999" customHeight="1" x14ac:dyDescent="0.25">
      <c r="C342" s="31">
        <f t="shared" ca="1" si="21"/>
        <v>21.488810607929945</v>
      </c>
      <c r="D342" s="31">
        <f t="shared" ca="1" si="21"/>
        <v>110.16612570559155</v>
      </c>
      <c r="E342" s="32">
        <v>54.642709725534139</v>
      </c>
      <c r="F342" s="32">
        <v>107.57430759216226</v>
      </c>
      <c r="G342" s="17"/>
    </row>
    <row r="343" spans="3:7" ht="19.899999999999999" customHeight="1" x14ac:dyDescent="0.25">
      <c r="C343" s="31">
        <f t="shared" ca="1" si="21"/>
        <v>69.641649825175222</v>
      </c>
      <c r="D343" s="31">
        <f t="shared" ca="1" si="21"/>
        <v>103.55038145521328</v>
      </c>
      <c r="E343" s="32">
        <v>66.085429521979293</v>
      </c>
      <c r="F343" s="32">
        <v>133.24312733196041</v>
      </c>
      <c r="G343" s="17"/>
    </row>
    <row r="344" spans="3:7" ht="19.899999999999999" customHeight="1" x14ac:dyDescent="0.25">
      <c r="C344" s="31">
        <f t="shared" ca="1" si="21"/>
        <v>54.829399033425602</v>
      </c>
      <c r="D344" s="31">
        <f t="shared" ca="1" si="21"/>
        <v>116.34588824650417</v>
      </c>
      <c r="E344" s="32">
        <v>58.146702812667321</v>
      </c>
      <c r="F344" s="32">
        <v>103.0746286626788</v>
      </c>
      <c r="G344" s="17"/>
    </row>
    <row r="345" spans="3:7" ht="19.899999999999999" customHeight="1" x14ac:dyDescent="0.25">
      <c r="C345" s="31">
        <f t="shared" ca="1" si="21"/>
        <v>35.552567483938404</v>
      </c>
      <c r="D345" s="31">
        <f t="shared" ca="1" si="21"/>
        <v>126.02531611409302</v>
      </c>
      <c r="E345" s="32">
        <v>63.986588254708202</v>
      </c>
      <c r="F345" s="32">
        <v>117.06873565659811</v>
      </c>
      <c r="G345" s="17"/>
    </row>
    <row r="346" spans="3:7" ht="19.899999999999999" customHeight="1" x14ac:dyDescent="0.25">
      <c r="C346" s="31">
        <f t="shared" ca="1" si="21"/>
        <v>66.953047457541189</v>
      </c>
      <c r="D346" s="31">
        <f t="shared" ca="1" si="21"/>
        <v>111.05376222927313</v>
      </c>
      <c r="E346" s="32">
        <v>57.195249338780712</v>
      </c>
      <c r="F346" s="32">
        <v>123.32237637337261</v>
      </c>
      <c r="G346" s="17"/>
    </row>
    <row r="347" spans="3:7" ht="19.899999999999999" customHeight="1" x14ac:dyDescent="0.25">
      <c r="C347" s="31">
        <f t="shared" ca="1" si="21"/>
        <v>36.828347330770519</v>
      </c>
      <c r="D347" s="31">
        <f t="shared" ca="1" si="21"/>
        <v>94.168483932401259</v>
      </c>
      <c r="E347" s="32">
        <v>54.544895429368474</v>
      </c>
      <c r="F347" s="32">
        <v>114.71907203557576</v>
      </c>
      <c r="G347" s="17"/>
    </row>
    <row r="348" spans="3:7" ht="19.899999999999999" customHeight="1" x14ac:dyDescent="0.25">
      <c r="C348" s="31">
        <f t="shared" ca="1" si="21"/>
        <v>41.564188239542659</v>
      </c>
      <c r="D348" s="31">
        <f t="shared" ca="1" si="21"/>
        <v>105.19578448185183</v>
      </c>
      <c r="E348" s="32">
        <v>55.795745649545417</v>
      </c>
      <c r="F348" s="32">
        <v>90.623538620954363</v>
      </c>
      <c r="G348" s="17"/>
    </row>
    <row r="349" spans="3:7" ht="19.899999999999999" customHeight="1" x14ac:dyDescent="0.25">
      <c r="C349" s="31">
        <f t="shared" ca="1" si="21"/>
        <v>30.047252086310305</v>
      </c>
      <c r="D349" s="31">
        <f t="shared" ca="1" si="21"/>
        <v>133.51015852567426</v>
      </c>
      <c r="E349" s="32">
        <v>93.875027254664161</v>
      </c>
      <c r="F349" s="32">
        <v>104.77243474028784</v>
      </c>
      <c r="G349" s="17"/>
    </row>
    <row r="350" spans="3:7" ht="19.899999999999999" customHeight="1" x14ac:dyDescent="0.25">
      <c r="C350" s="31">
        <f t="shared" ca="1" si="21"/>
        <v>50.355536700888443</v>
      </c>
      <c r="D350" s="31">
        <f t="shared" ca="1" si="21"/>
        <v>119.26739958890482</v>
      </c>
      <c r="E350" s="32">
        <v>39.534716901849414</v>
      </c>
      <c r="F350" s="32">
        <v>98.830901711391419</v>
      </c>
      <c r="G350" s="17"/>
    </row>
    <row r="351" spans="3:7" ht="19.899999999999999" customHeight="1" x14ac:dyDescent="0.25">
      <c r="C351" s="31">
        <f t="shared" ca="1" si="21"/>
        <v>55.74668064145385</v>
      </c>
      <c r="D351" s="31">
        <f t="shared" ca="1" si="21"/>
        <v>120.61696666854601</v>
      </c>
      <c r="E351" s="32">
        <v>0.48285955825769378</v>
      </c>
      <c r="F351" s="32">
        <v>108.70453276540502</v>
      </c>
      <c r="G351" s="17"/>
    </row>
    <row r="352" spans="3:7" ht="19.899999999999999" customHeight="1" x14ac:dyDescent="0.25">
      <c r="C352" s="31">
        <f t="shared" ca="1" si="21"/>
        <v>45.641764133508254</v>
      </c>
      <c r="D352" s="31">
        <f t="shared" ca="1" si="21"/>
        <v>138.33776050857458</v>
      </c>
      <c r="E352" s="32">
        <v>12.781156071666786</v>
      </c>
      <c r="F352" s="32">
        <v>107.4684531929604</v>
      </c>
      <c r="G352" s="17"/>
    </row>
    <row r="353" spans="3:7" ht="19.899999999999999" customHeight="1" x14ac:dyDescent="0.25">
      <c r="C353" s="31">
        <f t="shared" ca="1" si="21"/>
        <v>43.342196957329705</v>
      </c>
      <c r="D353" s="31">
        <f t="shared" ca="1" si="21"/>
        <v>101.44056952066869</v>
      </c>
      <c r="E353" s="32">
        <v>49.299051195292385</v>
      </c>
      <c r="F353" s="32">
        <v>119.76274681009532</v>
      </c>
      <c r="G353" s="17"/>
    </row>
    <row r="354" spans="3:7" ht="19.899999999999999" customHeight="1" x14ac:dyDescent="0.25">
      <c r="C354" s="31">
        <f t="shared" ref="C354:D373" ca="1" si="22">_xlfn.NORM.INV(RAND(),C$4,C$5)</f>
        <v>60.767642704208527</v>
      </c>
      <c r="D354" s="31">
        <f t="shared" ca="1" si="22"/>
        <v>129.60079139448757</v>
      </c>
      <c r="E354" s="32">
        <v>87.643016773741834</v>
      </c>
      <c r="F354" s="32">
        <v>128.03093031906479</v>
      </c>
      <c r="G354" s="17"/>
    </row>
    <row r="355" spans="3:7" ht="19.899999999999999" customHeight="1" x14ac:dyDescent="0.25">
      <c r="C355" s="31">
        <f t="shared" ca="1" si="22"/>
        <v>69.549540507517605</v>
      </c>
      <c r="D355" s="31">
        <f t="shared" ca="1" si="22"/>
        <v>94.083024729208773</v>
      </c>
      <c r="E355" s="32">
        <v>46.491549704668465</v>
      </c>
      <c r="F355" s="32">
        <v>131.68906455249564</v>
      </c>
      <c r="G355" s="17"/>
    </row>
    <row r="356" spans="3:7" ht="19.899999999999999" customHeight="1" x14ac:dyDescent="0.25">
      <c r="C356" s="31">
        <f t="shared" ca="1" si="22"/>
        <v>26.116016775669411</v>
      </c>
      <c r="D356" s="31">
        <f t="shared" ca="1" si="22"/>
        <v>132.80893524699326</v>
      </c>
      <c r="E356" s="32">
        <v>73.635194331713123</v>
      </c>
      <c r="F356" s="32">
        <v>117.72307748133706</v>
      </c>
      <c r="G356" s="17"/>
    </row>
    <row r="357" spans="3:7" ht="19.899999999999999" customHeight="1" x14ac:dyDescent="0.25">
      <c r="C357" s="31">
        <f t="shared" ca="1" si="22"/>
        <v>59.291370020723036</v>
      </c>
      <c r="D357" s="31">
        <f t="shared" ca="1" si="22"/>
        <v>107.30207075775644</v>
      </c>
      <c r="E357" s="32">
        <v>81.387078281059331</v>
      </c>
      <c r="F357" s="32">
        <v>141.54297504578869</v>
      </c>
      <c r="G357" s="17"/>
    </row>
    <row r="358" spans="3:7" ht="19.899999999999999" customHeight="1" x14ac:dyDescent="0.25">
      <c r="C358" s="31">
        <f t="shared" ca="1" si="22"/>
        <v>65.456324263040372</v>
      </c>
      <c r="D358" s="31">
        <f t="shared" ca="1" si="22"/>
        <v>97.172598829513134</v>
      </c>
      <c r="E358" s="32">
        <v>41.255087727172494</v>
      </c>
      <c r="F358" s="32">
        <v>95.747692448785727</v>
      </c>
      <c r="G358" s="17"/>
    </row>
    <row r="359" spans="3:7" ht="19.899999999999999" customHeight="1" x14ac:dyDescent="0.25">
      <c r="C359" s="31">
        <f t="shared" ca="1" si="22"/>
        <v>17.903200591767522</v>
      </c>
      <c r="D359" s="31">
        <f t="shared" ca="1" si="22"/>
        <v>123.28688486841635</v>
      </c>
      <c r="E359" s="32">
        <v>57.349980789193189</v>
      </c>
      <c r="F359" s="32">
        <v>105.578922896406</v>
      </c>
      <c r="G359" s="17"/>
    </row>
    <row r="360" spans="3:7" ht="19.899999999999999" customHeight="1" x14ac:dyDescent="0.25">
      <c r="C360" s="31">
        <f t="shared" ca="1" si="22"/>
        <v>31.824720997282505</v>
      </c>
      <c r="D360" s="31">
        <f t="shared" ca="1" si="22"/>
        <v>107.87361858958606</v>
      </c>
      <c r="E360" s="32">
        <v>49.031166986791462</v>
      </c>
      <c r="F360" s="32">
        <v>91.286320474341466</v>
      </c>
      <c r="G360" s="17"/>
    </row>
    <row r="361" spans="3:7" ht="19.899999999999999" customHeight="1" x14ac:dyDescent="0.25">
      <c r="C361" s="31">
        <f t="shared" ca="1" si="22"/>
        <v>49.76314379408975</v>
      </c>
      <c r="D361" s="31">
        <f t="shared" ca="1" si="22"/>
        <v>110.50944007543121</v>
      </c>
      <c r="E361" s="32">
        <v>33.050423314401755</v>
      </c>
      <c r="F361" s="32">
        <v>111.03173176363315</v>
      </c>
      <c r="G361" s="17"/>
    </row>
    <row r="362" spans="3:7" ht="19.899999999999999" customHeight="1" x14ac:dyDescent="0.25">
      <c r="C362" s="31">
        <f t="shared" ca="1" si="22"/>
        <v>43.01705440813295</v>
      </c>
      <c r="D362" s="31">
        <f t="shared" ca="1" si="22"/>
        <v>134.87865011023811</v>
      </c>
      <c r="E362" s="32">
        <v>28.018122482639761</v>
      </c>
      <c r="F362" s="32">
        <v>110.23591928328877</v>
      </c>
      <c r="G362" s="17"/>
    </row>
    <row r="363" spans="3:7" ht="19.899999999999999" customHeight="1" x14ac:dyDescent="0.25">
      <c r="C363" s="31">
        <f t="shared" ca="1" si="22"/>
        <v>24.679348505915925</v>
      </c>
      <c r="D363" s="31">
        <f t="shared" ca="1" si="22"/>
        <v>125.01967289580868</v>
      </c>
      <c r="E363" s="32">
        <v>39.782991843840421</v>
      </c>
      <c r="F363" s="32">
        <v>136.0909302015979</v>
      </c>
      <c r="G363" s="17"/>
    </row>
    <row r="364" spans="3:7" ht="19.899999999999999" customHeight="1" x14ac:dyDescent="0.25">
      <c r="C364" s="31">
        <f t="shared" ca="1" si="22"/>
        <v>9.7841711268051199</v>
      </c>
      <c r="D364" s="31">
        <f t="shared" ca="1" si="22"/>
        <v>104.88649307426704</v>
      </c>
      <c r="E364" s="32">
        <v>83.411885758554973</v>
      </c>
      <c r="F364" s="32">
        <v>92.098739361016911</v>
      </c>
      <c r="G364" s="17"/>
    </row>
    <row r="365" spans="3:7" ht="19.899999999999999" customHeight="1" x14ac:dyDescent="0.25">
      <c r="C365" s="31">
        <f t="shared" ca="1" si="22"/>
        <v>30.428620381143258</v>
      </c>
      <c r="D365" s="31">
        <f t="shared" ca="1" si="22"/>
        <v>94.501735840477693</v>
      </c>
      <c r="E365" s="32">
        <v>37.990965382329208</v>
      </c>
      <c r="F365" s="32">
        <v>110.76397615298772</v>
      </c>
      <c r="G365" s="17"/>
    </row>
    <row r="366" spans="3:7" ht="19.899999999999999" customHeight="1" x14ac:dyDescent="0.25">
      <c r="C366" s="31">
        <f t="shared" ca="1" si="22"/>
        <v>58.978369071984609</v>
      </c>
      <c r="D366" s="31">
        <f t="shared" ca="1" si="22"/>
        <v>120.29832682286116</v>
      </c>
      <c r="E366" s="32">
        <v>95.74246379714431</v>
      </c>
      <c r="F366" s="32">
        <v>106.85365400066792</v>
      </c>
      <c r="G366" s="17"/>
    </row>
    <row r="367" spans="3:7" ht="19.899999999999999" customHeight="1" x14ac:dyDescent="0.25">
      <c r="C367" s="31">
        <f t="shared" ca="1" si="22"/>
        <v>43.175424826814854</v>
      </c>
      <c r="D367" s="31">
        <f t="shared" ca="1" si="22"/>
        <v>86.384780235947574</v>
      </c>
      <c r="E367" s="32">
        <v>74.780437177836276</v>
      </c>
      <c r="F367" s="32">
        <v>95.206940261055962</v>
      </c>
      <c r="G367" s="17"/>
    </row>
    <row r="368" spans="3:7" ht="19.899999999999999" customHeight="1" x14ac:dyDescent="0.25">
      <c r="C368" s="31">
        <f t="shared" ca="1" si="22"/>
        <v>60.091475539995713</v>
      </c>
      <c r="D368" s="31">
        <f t="shared" ca="1" si="22"/>
        <v>125.02848029312464</v>
      </c>
      <c r="E368" s="32">
        <v>25.219031382973892</v>
      </c>
      <c r="F368" s="32">
        <v>110.81952373129698</v>
      </c>
      <c r="G368" s="17"/>
    </row>
    <row r="369" spans="3:7" ht="19.899999999999999" customHeight="1" x14ac:dyDescent="0.25">
      <c r="C369" s="31">
        <f t="shared" ca="1" si="22"/>
        <v>83.131212413458712</v>
      </c>
      <c r="D369" s="31">
        <f t="shared" ca="1" si="22"/>
        <v>117.53538729657613</v>
      </c>
      <c r="E369" s="32">
        <v>56.532838809675823</v>
      </c>
      <c r="F369" s="32">
        <v>100.92445390403194</v>
      </c>
      <c r="G369" s="17"/>
    </row>
    <row r="370" spans="3:7" ht="19.899999999999999" customHeight="1" x14ac:dyDescent="0.25">
      <c r="C370" s="31">
        <f t="shared" ca="1" si="22"/>
        <v>73.249602450408275</v>
      </c>
      <c r="D370" s="31">
        <f t="shared" ca="1" si="22"/>
        <v>100.11794597799661</v>
      </c>
      <c r="E370" s="32">
        <v>62.237740291193624</v>
      </c>
      <c r="F370" s="32">
        <v>96.067474168320373</v>
      </c>
      <c r="G370" s="17"/>
    </row>
    <row r="371" spans="3:7" ht="19.899999999999999" customHeight="1" x14ac:dyDescent="0.25">
      <c r="C371" s="31">
        <f t="shared" ca="1" si="22"/>
        <v>56.264677426594396</v>
      </c>
      <c r="D371" s="31">
        <f t="shared" ca="1" si="22"/>
        <v>126.56459387617558</v>
      </c>
      <c r="E371" s="32">
        <v>20.553324153352239</v>
      </c>
      <c r="F371" s="32">
        <v>106.28066656244863</v>
      </c>
      <c r="G371" s="17"/>
    </row>
    <row r="372" spans="3:7" ht="19.899999999999999" customHeight="1" x14ac:dyDescent="0.25">
      <c r="C372" s="31">
        <f t="shared" ca="1" si="22"/>
        <v>53.771124606548554</v>
      </c>
      <c r="D372" s="31">
        <f t="shared" ca="1" si="22"/>
        <v>111.29770910379762</v>
      </c>
      <c r="E372" s="32">
        <v>79.059761552047235</v>
      </c>
      <c r="F372" s="32">
        <v>130.36701841899585</v>
      </c>
      <c r="G372" s="17"/>
    </row>
    <row r="373" spans="3:7" ht="19.899999999999999" customHeight="1" x14ac:dyDescent="0.25">
      <c r="C373" s="31">
        <f t="shared" ca="1" si="22"/>
        <v>83.536661644946264</v>
      </c>
      <c r="D373" s="31">
        <f t="shared" ca="1" si="22"/>
        <v>111.89130149599113</v>
      </c>
      <c r="E373" s="32">
        <v>59.247818441062428</v>
      </c>
      <c r="F373" s="32">
        <v>121.1884530999054</v>
      </c>
      <c r="G373" s="17"/>
    </row>
    <row r="374" spans="3:7" ht="19.899999999999999" customHeight="1" x14ac:dyDescent="0.25">
      <c r="C374" s="31">
        <f t="shared" ref="C374:D393" ca="1" si="23">_xlfn.NORM.INV(RAND(),C$4,C$5)</f>
        <v>31.642715818538406</v>
      </c>
      <c r="D374" s="31">
        <f t="shared" ca="1" si="23"/>
        <v>106.81072586986755</v>
      </c>
      <c r="E374" s="32">
        <v>56.529715090038508</v>
      </c>
      <c r="F374" s="32">
        <v>133.56692704287255</v>
      </c>
      <c r="G374" s="17"/>
    </row>
    <row r="375" spans="3:7" ht="19.899999999999999" customHeight="1" x14ac:dyDescent="0.25">
      <c r="C375" s="31">
        <f t="shared" ca="1" si="23"/>
        <v>26.643861919134853</v>
      </c>
      <c r="D375" s="31">
        <f t="shared" ca="1" si="23"/>
        <v>124.52485432294708</v>
      </c>
      <c r="E375" s="32">
        <v>42.579929088318551</v>
      </c>
      <c r="F375" s="32">
        <v>88.780747661621987</v>
      </c>
      <c r="G375" s="17"/>
    </row>
    <row r="376" spans="3:7" ht="19.899999999999999" customHeight="1" x14ac:dyDescent="0.25">
      <c r="C376" s="31">
        <f t="shared" ca="1" si="23"/>
        <v>47.12653257312131</v>
      </c>
      <c r="D376" s="31">
        <f t="shared" ca="1" si="23"/>
        <v>106.62859917493695</v>
      </c>
      <c r="E376" s="32">
        <v>55.445577762748663</v>
      </c>
      <c r="F376" s="32">
        <v>90.698436481000527</v>
      </c>
      <c r="G376" s="17"/>
    </row>
    <row r="377" spans="3:7" ht="19.899999999999999" customHeight="1" x14ac:dyDescent="0.25">
      <c r="C377" s="31">
        <f t="shared" ca="1" si="23"/>
        <v>57.447526103673979</v>
      </c>
      <c r="D377" s="31">
        <f t="shared" ca="1" si="23"/>
        <v>103.907506997173</v>
      </c>
      <c r="E377" s="32">
        <v>60.616904868492014</v>
      </c>
      <c r="F377" s="32">
        <v>123.66370006528017</v>
      </c>
      <c r="G377" s="17"/>
    </row>
    <row r="378" spans="3:7" ht="19.899999999999999" customHeight="1" x14ac:dyDescent="0.25">
      <c r="C378" s="31">
        <f t="shared" ca="1" si="23"/>
        <v>51.788205967316571</v>
      </c>
      <c r="D378" s="31">
        <f t="shared" ca="1" si="23"/>
        <v>98.0164822210171</v>
      </c>
      <c r="E378" s="32">
        <v>50.087631669906528</v>
      </c>
      <c r="F378" s="32">
        <v>96.132359157647272</v>
      </c>
      <c r="G378" s="17"/>
    </row>
    <row r="379" spans="3:7" ht="19.899999999999999" customHeight="1" x14ac:dyDescent="0.25">
      <c r="C379" s="31">
        <f t="shared" ca="1" si="23"/>
        <v>25.709232403380998</v>
      </c>
      <c r="D379" s="31">
        <f t="shared" ca="1" si="23"/>
        <v>123.98640389477154</v>
      </c>
      <c r="E379" s="32">
        <v>37.015431813438433</v>
      </c>
      <c r="F379" s="32">
        <v>107.28517567054091</v>
      </c>
      <c r="G379" s="17"/>
    </row>
    <row r="380" spans="3:7" ht="19.899999999999999" customHeight="1" x14ac:dyDescent="0.25">
      <c r="C380" s="31">
        <f t="shared" ca="1" si="23"/>
        <v>56.193228383863733</v>
      </c>
      <c r="D380" s="31">
        <f t="shared" ca="1" si="23"/>
        <v>132.21059296416249</v>
      </c>
      <c r="E380" s="32">
        <v>66.798772402722321</v>
      </c>
      <c r="F380" s="32">
        <v>89.813130389416685</v>
      </c>
      <c r="G380" s="17"/>
    </row>
    <row r="381" spans="3:7" ht="19.899999999999999" customHeight="1" x14ac:dyDescent="0.25">
      <c r="C381" s="31">
        <f t="shared" ca="1" si="23"/>
        <v>63.963583054020674</v>
      </c>
      <c r="D381" s="31">
        <f t="shared" ca="1" si="23"/>
        <v>117.4045160507647</v>
      </c>
      <c r="E381" s="32">
        <v>64.726824767949012</v>
      </c>
      <c r="F381" s="32">
        <v>90.702282551257341</v>
      </c>
      <c r="G381" s="17"/>
    </row>
    <row r="382" spans="3:7" ht="19.899999999999999" customHeight="1" x14ac:dyDescent="0.25">
      <c r="C382" s="31">
        <f t="shared" ca="1" si="23"/>
        <v>42.201073169575274</v>
      </c>
      <c r="D382" s="31">
        <f t="shared" ca="1" si="23"/>
        <v>109.92356931130004</v>
      </c>
      <c r="E382" s="32">
        <v>54.574012201461713</v>
      </c>
      <c r="F382" s="32">
        <v>96.601090722007669</v>
      </c>
      <c r="G382" s="17"/>
    </row>
    <row r="383" spans="3:7" ht="19.899999999999999" customHeight="1" x14ac:dyDescent="0.25">
      <c r="C383" s="31">
        <f t="shared" ca="1" si="23"/>
        <v>24.707332171318868</v>
      </c>
      <c r="D383" s="31">
        <f t="shared" ca="1" si="23"/>
        <v>124.70993140975794</v>
      </c>
      <c r="E383" s="32">
        <v>49.520114920402229</v>
      </c>
      <c r="F383" s="32">
        <v>112.60616837777424</v>
      </c>
      <c r="G383" s="17"/>
    </row>
    <row r="384" spans="3:7" ht="19.899999999999999" customHeight="1" x14ac:dyDescent="0.25">
      <c r="C384" s="31">
        <f t="shared" ca="1" si="23"/>
        <v>80.165817305921266</v>
      </c>
      <c r="D384" s="31">
        <f t="shared" ca="1" si="23"/>
        <v>126.95628507988047</v>
      </c>
      <c r="E384" s="32">
        <v>27.335926315226438</v>
      </c>
      <c r="F384" s="32">
        <v>94.297089154095204</v>
      </c>
      <c r="G384" s="17"/>
    </row>
    <row r="385" spans="3:7" ht="19.899999999999999" customHeight="1" x14ac:dyDescent="0.25">
      <c r="C385" s="31">
        <f t="shared" ca="1" si="23"/>
        <v>44.246053292751185</v>
      </c>
      <c r="D385" s="31">
        <f t="shared" ca="1" si="23"/>
        <v>122.63676929805095</v>
      </c>
      <c r="E385" s="32">
        <v>37.852622419048167</v>
      </c>
      <c r="F385" s="32">
        <v>114.7096671901796</v>
      </c>
      <c r="G385" s="17"/>
    </row>
    <row r="386" spans="3:7" ht="19.899999999999999" customHeight="1" x14ac:dyDescent="0.25">
      <c r="C386" s="31">
        <f t="shared" ca="1" si="23"/>
        <v>52.812465741271929</v>
      </c>
      <c r="D386" s="31">
        <f t="shared" ca="1" si="23"/>
        <v>104.70019316461088</v>
      </c>
      <c r="E386" s="32">
        <v>72.104637550450462</v>
      </c>
      <c r="F386" s="32">
        <v>101.45924257433067</v>
      </c>
      <c r="G386" s="17"/>
    </row>
    <row r="387" spans="3:7" ht="19.899999999999999" customHeight="1" x14ac:dyDescent="0.25">
      <c r="C387" s="31">
        <f t="shared" ca="1" si="23"/>
        <v>66.987757389364944</v>
      </c>
      <c r="D387" s="31">
        <f t="shared" ca="1" si="23"/>
        <v>110.12039886698422</v>
      </c>
      <c r="E387" s="32">
        <v>54.004598120366261</v>
      </c>
      <c r="F387" s="32">
        <v>119.38396006357932</v>
      </c>
      <c r="G387" s="17"/>
    </row>
    <row r="388" spans="3:7" ht="19.899999999999999" customHeight="1" x14ac:dyDescent="0.25">
      <c r="C388" s="31">
        <f t="shared" ca="1" si="23"/>
        <v>63.997947250690565</v>
      </c>
      <c r="D388" s="31">
        <f t="shared" ca="1" si="23"/>
        <v>119.81951671840309</v>
      </c>
      <c r="E388" s="32">
        <v>40.429073680582853</v>
      </c>
      <c r="F388" s="32">
        <v>110.97149366853236</v>
      </c>
      <c r="G388" s="17"/>
    </row>
    <row r="389" spans="3:7" ht="19.899999999999999" customHeight="1" x14ac:dyDescent="0.25">
      <c r="C389" s="31">
        <f t="shared" ca="1" si="23"/>
        <v>83.561239090091505</v>
      </c>
      <c r="D389" s="31">
        <f t="shared" ca="1" si="23"/>
        <v>116.68164801871085</v>
      </c>
      <c r="E389" s="32">
        <v>78.622275166379509</v>
      </c>
      <c r="F389" s="32">
        <v>111.27883645444072</v>
      </c>
      <c r="G389" s="17"/>
    </row>
    <row r="390" spans="3:7" ht="19.899999999999999" customHeight="1" x14ac:dyDescent="0.25">
      <c r="C390" s="31">
        <f t="shared" ca="1" si="23"/>
        <v>81.568397829321995</v>
      </c>
      <c r="D390" s="31">
        <f t="shared" ca="1" si="23"/>
        <v>116.66027784258804</v>
      </c>
      <c r="E390" s="32">
        <v>12.700186287692354</v>
      </c>
      <c r="F390" s="32">
        <v>111.2712786184361</v>
      </c>
      <c r="G390" s="17"/>
    </row>
    <row r="391" spans="3:7" ht="19.899999999999999" customHeight="1" x14ac:dyDescent="0.25">
      <c r="C391" s="31">
        <f t="shared" ca="1" si="23"/>
        <v>57.045139672313965</v>
      </c>
      <c r="D391" s="31">
        <f t="shared" ca="1" si="23"/>
        <v>126.42671302633471</v>
      </c>
      <c r="E391" s="32">
        <v>45.010735697210535</v>
      </c>
      <c r="F391" s="32">
        <v>134.18771420427973</v>
      </c>
      <c r="G391" s="17"/>
    </row>
    <row r="392" spans="3:7" ht="19.899999999999999" customHeight="1" x14ac:dyDescent="0.25">
      <c r="C392" s="31">
        <f t="shared" ca="1" si="23"/>
        <v>56.646080721959457</v>
      </c>
      <c r="D392" s="31">
        <f t="shared" ca="1" si="23"/>
        <v>122.5015812334827</v>
      </c>
      <c r="E392" s="32">
        <v>55.87778156946559</v>
      </c>
      <c r="F392" s="32">
        <v>89.855136402837047</v>
      </c>
      <c r="G392" s="17"/>
    </row>
    <row r="393" spans="3:7" ht="19.899999999999999" customHeight="1" x14ac:dyDescent="0.25">
      <c r="C393" s="31">
        <f t="shared" ca="1" si="23"/>
        <v>29.137436431708302</v>
      </c>
      <c r="D393" s="31">
        <f t="shared" ca="1" si="23"/>
        <v>128.7389583274128</v>
      </c>
      <c r="E393" s="32">
        <v>7.274830853284314</v>
      </c>
      <c r="F393" s="32">
        <v>123.71127400991391</v>
      </c>
      <c r="G393" s="17"/>
    </row>
    <row r="394" spans="3:7" ht="19.899999999999999" customHeight="1" x14ac:dyDescent="0.25">
      <c r="C394" s="31">
        <f t="shared" ref="C394:D413" ca="1" si="24">_xlfn.NORM.INV(RAND(),C$4,C$5)</f>
        <v>53.790212547045272</v>
      </c>
      <c r="D394" s="31">
        <f t="shared" ca="1" si="24"/>
        <v>110.00440509823993</v>
      </c>
      <c r="E394" s="32">
        <v>32.961726399938087</v>
      </c>
      <c r="F394" s="32">
        <v>126.50213140911029</v>
      </c>
      <c r="G394" s="17"/>
    </row>
    <row r="395" spans="3:7" ht="19.899999999999999" customHeight="1" x14ac:dyDescent="0.25">
      <c r="C395" s="31">
        <f t="shared" ca="1" si="24"/>
        <v>108.37100998348234</v>
      </c>
      <c r="D395" s="31">
        <f t="shared" ca="1" si="24"/>
        <v>116.36531963690435</v>
      </c>
      <c r="E395" s="32">
        <v>38.285403121501815</v>
      </c>
      <c r="F395" s="32">
        <v>134.80480797646663</v>
      </c>
      <c r="G395" s="17"/>
    </row>
    <row r="396" spans="3:7" ht="19.899999999999999" customHeight="1" x14ac:dyDescent="0.25">
      <c r="C396" s="31">
        <f t="shared" ca="1" si="24"/>
        <v>60.665831262028519</v>
      </c>
      <c r="D396" s="31">
        <f t="shared" ca="1" si="24"/>
        <v>108.94547054161282</v>
      </c>
      <c r="E396" s="32">
        <v>53.111582120053647</v>
      </c>
      <c r="F396" s="32">
        <v>99.925147880498116</v>
      </c>
      <c r="G396" s="17"/>
    </row>
    <row r="397" spans="3:7" ht="19.899999999999999" customHeight="1" x14ac:dyDescent="0.25">
      <c r="C397" s="31">
        <f t="shared" ca="1" si="24"/>
        <v>66.840758677080657</v>
      </c>
      <c r="D397" s="31">
        <f t="shared" ca="1" si="24"/>
        <v>113.58847684433985</v>
      </c>
      <c r="E397" s="32">
        <v>54.291339631523897</v>
      </c>
      <c r="F397" s="32">
        <v>99.287465290185054</v>
      </c>
      <c r="G397" s="17"/>
    </row>
    <row r="398" spans="3:7" ht="19.899999999999999" customHeight="1" x14ac:dyDescent="0.25">
      <c r="C398" s="31">
        <f t="shared" ca="1" si="24"/>
        <v>56.654442386273729</v>
      </c>
      <c r="D398" s="31">
        <f t="shared" ca="1" si="24"/>
        <v>128.52679870032173</v>
      </c>
      <c r="E398" s="32">
        <v>69.652688469771306</v>
      </c>
      <c r="F398" s="32">
        <v>124.53780760720805</v>
      </c>
      <c r="G398" s="17"/>
    </row>
    <row r="399" spans="3:7" ht="19.899999999999999" customHeight="1" x14ac:dyDescent="0.25">
      <c r="C399" s="31">
        <f t="shared" ca="1" si="24"/>
        <v>57.192126482062164</v>
      </c>
      <c r="D399" s="31">
        <f t="shared" ca="1" si="24"/>
        <v>109.0563167565801</v>
      </c>
      <c r="E399" s="32">
        <v>70.39882427151619</v>
      </c>
      <c r="F399" s="32">
        <v>83.761584923440651</v>
      </c>
      <c r="G399" s="17"/>
    </row>
    <row r="400" spans="3:7" ht="19.899999999999999" customHeight="1" x14ac:dyDescent="0.25">
      <c r="C400" s="31">
        <f t="shared" ca="1" si="24"/>
        <v>56.05202889146868</v>
      </c>
      <c r="D400" s="31">
        <f t="shared" ca="1" si="24"/>
        <v>117.35587906549254</v>
      </c>
      <c r="E400" s="32">
        <v>68.607099756971209</v>
      </c>
      <c r="F400" s="32">
        <v>119.98482393458693</v>
      </c>
      <c r="G400" s="17"/>
    </row>
    <row r="401" spans="3:7" ht="19.899999999999999" customHeight="1" x14ac:dyDescent="0.25">
      <c r="C401" s="31">
        <f t="shared" ca="1" si="24"/>
        <v>66.805571967257563</v>
      </c>
      <c r="D401" s="31">
        <f t="shared" ca="1" si="24"/>
        <v>106.26248806042967</v>
      </c>
      <c r="E401" s="32">
        <v>37.009912724287958</v>
      </c>
      <c r="F401" s="32">
        <v>108.92841696699253</v>
      </c>
      <c r="G401" s="17"/>
    </row>
    <row r="402" spans="3:7" ht="19.899999999999999" customHeight="1" x14ac:dyDescent="0.25">
      <c r="C402" s="31">
        <f t="shared" ca="1" si="24"/>
        <v>45.056889464667762</v>
      </c>
      <c r="D402" s="31">
        <f t="shared" ca="1" si="24"/>
        <v>78.58667922165651</v>
      </c>
      <c r="E402" s="32">
        <v>37.231765243472935</v>
      </c>
      <c r="F402" s="32">
        <v>118.76988144275722</v>
      </c>
      <c r="G402" s="17"/>
    </row>
    <row r="403" spans="3:7" ht="19.899999999999999" customHeight="1" x14ac:dyDescent="0.25">
      <c r="C403" s="31">
        <f t="shared" ca="1" si="24"/>
        <v>41.206249537801561</v>
      </c>
      <c r="D403" s="31">
        <f t="shared" ca="1" si="24"/>
        <v>118.4654368053732</v>
      </c>
      <c r="E403" s="32">
        <v>50.596585765717926</v>
      </c>
      <c r="F403" s="32">
        <v>102.68916354821384</v>
      </c>
      <c r="G403" s="17"/>
    </row>
    <row r="404" spans="3:7" ht="19.899999999999999" customHeight="1" x14ac:dyDescent="0.25">
      <c r="C404" s="31">
        <f t="shared" ca="1" si="24"/>
        <v>42.567401776724566</v>
      </c>
      <c r="D404" s="31">
        <f t="shared" ca="1" si="24"/>
        <v>126.79894673551428</v>
      </c>
      <c r="E404" s="32">
        <v>32.288762081027762</v>
      </c>
      <c r="F404" s="32">
        <v>128.03911717108227</v>
      </c>
      <c r="G404" s="17"/>
    </row>
    <row r="405" spans="3:7" ht="19.899999999999999" customHeight="1" x14ac:dyDescent="0.25">
      <c r="C405" s="31">
        <f t="shared" ca="1" si="24"/>
        <v>64.255844740586454</v>
      </c>
      <c r="D405" s="31">
        <f t="shared" ca="1" si="24"/>
        <v>113.74290718165607</v>
      </c>
      <c r="E405" s="32">
        <v>81.977047403341516</v>
      </c>
      <c r="F405" s="32">
        <v>102.41110329606524</v>
      </c>
      <c r="G405" s="17"/>
    </row>
    <row r="406" spans="3:7" ht="19.899999999999999" customHeight="1" x14ac:dyDescent="0.25">
      <c r="C406" s="31">
        <f t="shared" ca="1" si="24"/>
        <v>42.028852168394856</v>
      </c>
      <c r="D406" s="31">
        <f t="shared" ca="1" si="24"/>
        <v>125.06779303614242</v>
      </c>
      <c r="E406" s="32">
        <v>48.083052729078574</v>
      </c>
      <c r="F406" s="32">
        <v>97.137557105102928</v>
      </c>
      <c r="G406" s="17"/>
    </row>
    <row r="407" spans="3:7" ht="19.899999999999999" customHeight="1" x14ac:dyDescent="0.25">
      <c r="C407" s="31">
        <f t="shared" ca="1" si="24"/>
        <v>65.279896416847379</v>
      </c>
      <c r="D407" s="31">
        <f t="shared" ca="1" si="24"/>
        <v>121.89529985634533</v>
      </c>
      <c r="E407" s="32">
        <v>62.97683032381552</v>
      </c>
      <c r="F407" s="32">
        <v>117.28685885545579</v>
      </c>
      <c r="G407" s="17"/>
    </row>
    <row r="408" spans="3:7" ht="19.899999999999999" customHeight="1" x14ac:dyDescent="0.25">
      <c r="C408" s="31">
        <f t="shared" ca="1" si="24"/>
        <v>73.682987249897693</v>
      </c>
      <c r="D408" s="31">
        <f t="shared" ca="1" si="24"/>
        <v>103.73755397573579</v>
      </c>
      <c r="E408" s="32">
        <v>27.227012769260828</v>
      </c>
      <c r="F408" s="32">
        <v>100.62193265709247</v>
      </c>
      <c r="G408" s="17"/>
    </row>
    <row r="409" spans="3:7" ht="19.899999999999999" customHeight="1" x14ac:dyDescent="0.25">
      <c r="C409" s="31">
        <f t="shared" ca="1" si="24"/>
        <v>58.11105124815036</v>
      </c>
      <c r="D409" s="31">
        <f t="shared" ca="1" si="24"/>
        <v>94.685617072206952</v>
      </c>
      <c r="E409" s="32">
        <v>52.276326534446333</v>
      </c>
      <c r="F409" s="32">
        <v>134.55133999545927</v>
      </c>
      <c r="G409" s="17"/>
    </row>
    <row r="410" spans="3:7" ht="19.899999999999999" customHeight="1" x14ac:dyDescent="0.25">
      <c r="C410" s="31">
        <f t="shared" ca="1" si="24"/>
        <v>64.262742885215744</v>
      </c>
      <c r="D410" s="31">
        <f t="shared" ca="1" si="24"/>
        <v>120.63167332162617</v>
      </c>
      <c r="E410" s="32">
        <v>20.4611951792097</v>
      </c>
      <c r="F410" s="32">
        <v>86.969290491044902</v>
      </c>
      <c r="G410" s="17"/>
    </row>
    <row r="411" spans="3:7" ht="19.899999999999999" customHeight="1" x14ac:dyDescent="0.25">
      <c r="C411" s="31">
        <f t="shared" ca="1" si="24"/>
        <v>69.75100522396302</v>
      </c>
      <c r="D411" s="31">
        <f t="shared" ca="1" si="24"/>
        <v>101.68688906654263</v>
      </c>
      <c r="E411" s="32">
        <v>14.001586506017119</v>
      </c>
      <c r="F411" s="32">
        <v>123.59246036973592</v>
      </c>
      <c r="G411" s="17"/>
    </row>
    <row r="412" spans="3:7" ht="19.899999999999999" customHeight="1" x14ac:dyDescent="0.25">
      <c r="C412" s="31">
        <f t="shared" ca="1" si="24"/>
        <v>66.962159525937153</v>
      </c>
      <c r="D412" s="31">
        <f t="shared" ca="1" si="24"/>
        <v>104.39891375479219</v>
      </c>
      <c r="E412" s="32">
        <v>58.568986868179053</v>
      </c>
      <c r="F412" s="32">
        <v>76.77102214562268</v>
      </c>
      <c r="G412" s="17"/>
    </row>
    <row r="413" spans="3:7" ht="19.899999999999999" customHeight="1" x14ac:dyDescent="0.25">
      <c r="C413" s="31">
        <f t="shared" ca="1" si="24"/>
        <v>25.62958424845085</v>
      </c>
      <c r="D413" s="31">
        <f t="shared" ca="1" si="24"/>
        <v>94.665014158529686</v>
      </c>
      <c r="E413" s="32">
        <v>56.496456671122516</v>
      </c>
      <c r="F413" s="32">
        <v>123.98916657072266</v>
      </c>
      <c r="G413" s="17"/>
    </row>
    <row r="414" spans="3:7" ht="19.899999999999999" customHeight="1" x14ac:dyDescent="0.25">
      <c r="C414" s="31">
        <f t="shared" ref="C414:D433" ca="1" si="25">_xlfn.NORM.INV(RAND(),C$4,C$5)</f>
        <v>77.887391560888076</v>
      </c>
      <c r="D414" s="31">
        <f t="shared" ca="1" si="25"/>
        <v>99.236620314115726</v>
      </c>
      <c r="E414" s="32">
        <v>89.795378681660225</v>
      </c>
      <c r="F414" s="32">
        <v>103.00435351283132</v>
      </c>
      <c r="G414" s="17"/>
    </row>
    <row r="415" spans="3:7" ht="19.899999999999999" customHeight="1" x14ac:dyDescent="0.25">
      <c r="C415" s="31">
        <f t="shared" ca="1" si="25"/>
        <v>64.360643093727276</v>
      </c>
      <c r="D415" s="31">
        <f t="shared" ca="1" si="25"/>
        <v>105.36692924512919</v>
      </c>
      <c r="E415" s="32">
        <v>70.907109563293517</v>
      </c>
      <c r="F415" s="32">
        <v>98.728001400347651</v>
      </c>
      <c r="G415" s="17"/>
    </row>
    <row r="416" spans="3:7" ht="19.899999999999999" customHeight="1" x14ac:dyDescent="0.25">
      <c r="C416" s="31">
        <f t="shared" ca="1" si="25"/>
        <v>21.258519269322285</v>
      </c>
      <c r="D416" s="31">
        <f t="shared" ca="1" si="25"/>
        <v>111.99811678686441</v>
      </c>
      <c r="E416" s="32">
        <v>88.18924496825025</v>
      </c>
      <c r="F416" s="32">
        <v>106.46125989981822</v>
      </c>
      <c r="G416" s="17"/>
    </row>
    <row r="417" spans="3:7" ht="19.899999999999999" customHeight="1" x14ac:dyDescent="0.25">
      <c r="C417" s="31">
        <f t="shared" ca="1" si="25"/>
        <v>77.65784173781104</v>
      </c>
      <c r="D417" s="31">
        <f t="shared" ca="1" si="25"/>
        <v>100.32850993157554</v>
      </c>
      <c r="E417" s="32">
        <v>72.881946090499369</v>
      </c>
      <c r="F417" s="32">
        <v>134.24923207418394</v>
      </c>
      <c r="G417" s="17"/>
    </row>
    <row r="418" spans="3:7" ht="19.899999999999999" customHeight="1" x14ac:dyDescent="0.25">
      <c r="C418" s="31">
        <f t="shared" ca="1" si="25"/>
        <v>27.806162109444479</v>
      </c>
      <c r="D418" s="31">
        <f t="shared" ca="1" si="25"/>
        <v>110.64372184696687</v>
      </c>
      <c r="E418" s="32">
        <v>45.883190699923418</v>
      </c>
      <c r="F418" s="32">
        <v>101.39584693332235</v>
      </c>
      <c r="G418" s="17"/>
    </row>
    <row r="419" spans="3:7" ht="19.899999999999999" customHeight="1" x14ac:dyDescent="0.25">
      <c r="C419" s="31">
        <f t="shared" ca="1" si="25"/>
        <v>84.063952041198974</v>
      </c>
      <c r="D419" s="31">
        <f t="shared" ca="1" si="25"/>
        <v>118.66019962210069</v>
      </c>
      <c r="E419" s="32">
        <v>82.54039090092553</v>
      </c>
      <c r="F419" s="32">
        <v>104.13971655282023</v>
      </c>
      <c r="G419" s="17"/>
    </row>
    <row r="420" spans="3:7" ht="19.899999999999999" customHeight="1" x14ac:dyDescent="0.25">
      <c r="C420" s="31">
        <f t="shared" ca="1" si="25"/>
        <v>66.824561963369092</v>
      </c>
      <c r="D420" s="31">
        <f t="shared" ca="1" si="25"/>
        <v>108.01379838973629</v>
      </c>
      <c r="E420" s="32">
        <v>64.63358514231706</v>
      </c>
      <c r="F420" s="32">
        <v>128.05426158383489</v>
      </c>
      <c r="G420" s="17"/>
    </row>
    <row r="421" spans="3:7" ht="19.899999999999999" customHeight="1" x14ac:dyDescent="0.25">
      <c r="C421" s="31">
        <f t="shared" ca="1" si="25"/>
        <v>71.414273248464781</v>
      </c>
      <c r="D421" s="31">
        <f t="shared" ca="1" si="25"/>
        <v>125.67185257980523</v>
      </c>
      <c r="E421" s="32">
        <v>31.97010065642456</v>
      </c>
      <c r="F421" s="32">
        <v>109.19096255850344</v>
      </c>
      <c r="G421" s="17"/>
    </row>
    <row r="422" spans="3:7" ht="19.899999999999999" customHeight="1" x14ac:dyDescent="0.25">
      <c r="C422" s="31">
        <f t="shared" ca="1" si="25"/>
        <v>48.252024088091673</v>
      </c>
      <c r="D422" s="31">
        <f t="shared" ca="1" si="25"/>
        <v>110.23430987723299</v>
      </c>
      <c r="E422" s="32">
        <v>50.326292466809086</v>
      </c>
      <c r="F422" s="32">
        <v>105.49908794930718</v>
      </c>
      <c r="G422" s="17"/>
    </row>
    <row r="423" spans="3:7" ht="19.899999999999999" customHeight="1" x14ac:dyDescent="0.25">
      <c r="C423" s="31">
        <f t="shared" ca="1" si="25"/>
        <v>67.161569540441661</v>
      </c>
      <c r="D423" s="31">
        <f t="shared" ca="1" si="25"/>
        <v>100.12738848004693</v>
      </c>
      <c r="E423" s="32">
        <v>12.430139045954121</v>
      </c>
      <c r="F423" s="32">
        <v>112.28754314191858</v>
      </c>
      <c r="G423" s="17"/>
    </row>
    <row r="424" spans="3:7" ht="19.899999999999999" customHeight="1" x14ac:dyDescent="0.25">
      <c r="C424" s="31">
        <f t="shared" ca="1" si="25"/>
        <v>38.888419301983134</v>
      </c>
      <c r="D424" s="31">
        <f t="shared" ca="1" si="25"/>
        <v>110.69557984836787</v>
      </c>
      <c r="E424" s="32">
        <v>28.103257444037979</v>
      </c>
      <c r="F424" s="32">
        <v>102.92148531839415</v>
      </c>
      <c r="G424" s="17"/>
    </row>
    <row r="425" spans="3:7" ht="19.899999999999999" customHeight="1" x14ac:dyDescent="0.25">
      <c r="C425" s="31">
        <f t="shared" ca="1" si="25"/>
        <v>54.570584210248406</v>
      </c>
      <c r="D425" s="31">
        <f t="shared" ca="1" si="25"/>
        <v>112.23889689353598</v>
      </c>
      <c r="E425" s="32">
        <v>72.625701842988775</v>
      </c>
      <c r="F425" s="32">
        <v>122.52332960997273</v>
      </c>
      <c r="G425" s="17"/>
    </row>
    <row r="426" spans="3:7" ht="19.899999999999999" customHeight="1" x14ac:dyDescent="0.25">
      <c r="C426" s="31">
        <f t="shared" ca="1" si="25"/>
        <v>52.541584914525735</v>
      </c>
      <c r="D426" s="31">
        <f t="shared" ca="1" si="25"/>
        <v>108.61153653943435</v>
      </c>
      <c r="E426" s="32">
        <v>43.543867923572215</v>
      </c>
      <c r="F426" s="32">
        <v>107.26897580820139</v>
      </c>
      <c r="G426" s="17"/>
    </row>
    <row r="427" spans="3:7" ht="19.899999999999999" customHeight="1" x14ac:dyDescent="0.25">
      <c r="C427" s="31">
        <f t="shared" ca="1" si="25"/>
        <v>83.178418527184036</v>
      </c>
      <c r="D427" s="31">
        <f t="shared" ca="1" si="25"/>
        <v>120.66904476674671</v>
      </c>
      <c r="E427" s="32">
        <v>51.532560582314666</v>
      </c>
      <c r="F427" s="32">
        <v>110.83719571491483</v>
      </c>
      <c r="G427" s="17"/>
    </row>
    <row r="428" spans="3:7" ht="19.899999999999999" customHeight="1" x14ac:dyDescent="0.25">
      <c r="C428" s="31">
        <f t="shared" ca="1" si="25"/>
        <v>44.153595658391367</v>
      </c>
      <c r="D428" s="31">
        <f t="shared" ca="1" si="25"/>
        <v>109.87834562351115</v>
      </c>
      <c r="E428" s="32">
        <v>57.669715067876254</v>
      </c>
      <c r="F428" s="32">
        <v>92.522989483253028</v>
      </c>
      <c r="G428" s="17"/>
    </row>
    <row r="429" spans="3:7" ht="19.899999999999999" customHeight="1" x14ac:dyDescent="0.25">
      <c r="C429" s="31">
        <f t="shared" ca="1" si="25"/>
        <v>36.493245123217861</v>
      </c>
      <c r="D429" s="31">
        <f t="shared" ca="1" si="25"/>
        <v>103.58660138415073</v>
      </c>
      <c r="E429" s="32">
        <v>37.798509155032548</v>
      </c>
      <c r="F429" s="32">
        <v>125.7338402879181</v>
      </c>
      <c r="G429" s="17"/>
    </row>
    <row r="430" spans="3:7" ht="19.899999999999999" customHeight="1" x14ac:dyDescent="0.25">
      <c r="C430" s="31">
        <f t="shared" ca="1" si="25"/>
        <v>46.398550009550775</v>
      </c>
      <c r="D430" s="31">
        <f t="shared" ca="1" si="25"/>
        <v>102.39782394260506</v>
      </c>
      <c r="E430" s="32">
        <v>53.346163475273087</v>
      </c>
      <c r="F430" s="32">
        <v>96.6232810909638</v>
      </c>
      <c r="G430" s="17"/>
    </row>
    <row r="431" spans="3:7" ht="19.899999999999999" customHeight="1" x14ac:dyDescent="0.25">
      <c r="C431" s="31">
        <f t="shared" ca="1" si="25"/>
        <v>65.05416370563286</v>
      </c>
      <c r="D431" s="31">
        <f t="shared" ca="1" si="25"/>
        <v>122.30567081676237</v>
      </c>
      <c r="E431" s="32">
        <v>60.520701930993809</v>
      </c>
      <c r="F431" s="32">
        <v>130.55036787239587</v>
      </c>
      <c r="G431" s="17"/>
    </row>
    <row r="432" spans="3:7" ht="19.899999999999999" customHeight="1" x14ac:dyDescent="0.25">
      <c r="C432" s="31">
        <f t="shared" ca="1" si="25"/>
        <v>9.1795724014253537</v>
      </c>
      <c r="D432" s="31">
        <f t="shared" ca="1" si="25"/>
        <v>116.97816848372989</v>
      </c>
      <c r="E432" s="32">
        <v>24.809811353616904</v>
      </c>
      <c r="F432" s="32">
        <v>115.95471077748698</v>
      </c>
      <c r="G432" s="17"/>
    </row>
    <row r="433" spans="3:7" ht="19.899999999999999" customHeight="1" x14ac:dyDescent="0.25">
      <c r="C433" s="31">
        <f t="shared" ca="1" si="25"/>
        <v>61.056878911384636</v>
      </c>
      <c r="D433" s="31">
        <f t="shared" ca="1" si="25"/>
        <v>116.13048211794762</v>
      </c>
      <c r="E433" s="32">
        <v>52.409859605780305</v>
      </c>
      <c r="F433" s="32">
        <v>100.54789414163069</v>
      </c>
      <c r="G433" s="17"/>
    </row>
    <row r="434" spans="3:7" ht="19.899999999999999" customHeight="1" x14ac:dyDescent="0.25">
      <c r="C434" s="31">
        <f t="shared" ref="C434:D453" ca="1" si="26">_xlfn.NORM.INV(RAND(),C$4,C$5)</f>
        <v>84.819733491112558</v>
      </c>
      <c r="D434" s="31">
        <f t="shared" ca="1" si="26"/>
        <v>113.23465075799184</v>
      </c>
      <c r="E434" s="32">
        <v>95.142719167870268</v>
      </c>
      <c r="F434" s="32">
        <v>102.62932419916721</v>
      </c>
      <c r="G434" s="17"/>
    </row>
    <row r="435" spans="3:7" ht="19.899999999999999" customHeight="1" x14ac:dyDescent="0.25">
      <c r="C435" s="31">
        <f t="shared" ca="1" si="26"/>
        <v>56.527762891222395</v>
      </c>
      <c r="D435" s="31">
        <f t="shared" ca="1" si="26"/>
        <v>96.625543244339099</v>
      </c>
      <c r="E435" s="32">
        <v>61.642029359206816</v>
      </c>
      <c r="F435" s="32">
        <v>91.955487271910926</v>
      </c>
      <c r="G435" s="17"/>
    </row>
    <row r="436" spans="3:7" ht="19.899999999999999" customHeight="1" x14ac:dyDescent="0.25">
      <c r="C436" s="31">
        <f t="shared" ca="1" si="26"/>
        <v>28.833902549457395</v>
      </c>
      <c r="D436" s="31">
        <f t="shared" ca="1" si="26"/>
        <v>117.5638733800287</v>
      </c>
      <c r="E436" s="32">
        <v>45.04630801923296</v>
      </c>
      <c r="F436" s="32">
        <v>114.53783637447016</v>
      </c>
      <c r="G436" s="17"/>
    </row>
    <row r="437" spans="3:7" ht="19.899999999999999" customHeight="1" x14ac:dyDescent="0.25">
      <c r="C437" s="31">
        <f t="shared" ca="1" si="26"/>
        <v>63.286171430297642</v>
      </c>
      <c r="D437" s="31">
        <f t="shared" ca="1" si="26"/>
        <v>114.72223063102884</v>
      </c>
      <c r="E437" s="32">
        <v>82.279106072363973</v>
      </c>
      <c r="F437" s="32">
        <v>136.9990201704081</v>
      </c>
      <c r="G437" s="17"/>
    </row>
    <row r="438" spans="3:7" ht="19.899999999999999" customHeight="1" x14ac:dyDescent="0.25">
      <c r="C438" s="31">
        <f t="shared" ca="1" si="26"/>
        <v>62.538439376386648</v>
      </c>
      <c r="D438" s="31">
        <f t="shared" ca="1" si="26"/>
        <v>124.58502934656622</v>
      </c>
      <c r="E438" s="32">
        <v>57.432002579818977</v>
      </c>
      <c r="F438" s="32">
        <v>104.41757390681454</v>
      </c>
      <c r="G438" s="17"/>
    </row>
    <row r="439" spans="3:7" ht="19.899999999999999" customHeight="1" x14ac:dyDescent="0.25">
      <c r="C439" s="31">
        <f t="shared" ca="1" si="26"/>
        <v>76.768838170908111</v>
      </c>
      <c r="D439" s="31">
        <f t="shared" ca="1" si="26"/>
        <v>67.021107414803922</v>
      </c>
      <c r="E439" s="32">
        <v>21.903510395935523</v>
      </c>
      <c r="F439" s="32">
        <v>98.658383203388681</v>
      </c>
      <c r="G439" s="17"/>
    </row>
    <row r="440" spans="3:7" ht="19.899999999999999" customHeight="1" x14ac:dyDescent="0.25">
      <c r="C440" s="31">
        <f t="shared" ca="1" si="26"/>
        <v>49.929276622972907</v>
      </c>
      <c r="D440" s="31">
        <f t="shared" ca="1" si="26"/>
        <v>131.04990329580809</v>
      </c>
      <c r="E440" s="32">
        <v>66.12066963665373</v>
      </c>
      <c r="F440" s="32">
        <v>113.55899686787313</v>
      </c>
      <c r="G440" s="17"/>
    </row>
    <row r="441" spans="3:7" ht="19.899999999999999" customHeight="1" x14ac:dyDescent="0.25">
      <c r="C441" s="31">
        <f t="shared" ca="1" si="26"/>
        <v>43.518616244455302</v>
      </c>
      <c r="D441" s="31">
        <f t="shared" ca="1" si="26"/>
        <v>112.60082668472629</v>
      </c>
      <c r="E441" s="32">
        <v>39.029256991732424</v>
      </c>
      <c r="F441" s="32">
        <v>117.8454318112655</v>
      </c>
      <c r="G441" s="17"/>
    </row>
    <row r="442" spans="3:7" ht="19.899999999999999" customHeight="1" x14ac:dyDescent="0.25">
      <c r="C442" s="31">
        <f t="shared" ca="1" si="26"/>
        <v>34.12619868031959</v>
      </c>
      <c r="D442" s="31">
        <f t="shared" ca="1" si="26"/>
        <v>106.5273533964064</v>
      </c>
      <c r="E442" s="32">
        <v>79.869996025768984</v>
      </c>
      <c r="F442" s="32">
        <v>127.96971889406616</v>
      </c>
      <c r="G442" s="17"/>
    </row>
    <row r="443" spans="3:7" ht="19.899999999999999" customHeight="1" x14ac:dyDescent="0.25">
      <c r="C443" s="31">
        <f t="shared" ca="1" si="26"/>
        <v>63.533554463068334</v>
      </c>
      <c r="D443" s="31">
        <f t="shared" ca="1" si="26"/>
        <v>95.176000677154249</v>
      </c>
      <c r="E443" s="32">
        <v>40.445062826682118</v>
      </c>
      <c r="F443" s="32">
        <v>104.51120043873625</v>
      </c>
      <c r="G443" s="17"/>
    </row>
    <row r="444" spans="3:7" ht="19.899999999999999" customHeight="1" x14ac:dyDescent="0.25">
      <c r="C444" s="31">
        <f t="shared" ca="1" si="26"/>
        <v>46.27656341041579</v>
      </c>
      <c r="D444" s="31">
        <f t="shared" ca="1" si="26"/>
        <v>110.10683608920644</v>
      </c>
      <c r="E444" s="32">
        <v>49.976560926894251</v>
      </c>
      <c r="F444" s="32">
        <v>114.00596579395874</v>
      </c>
      <c r="G444" s="17"/>
    </row>
    <row r="445" spans="3:7" ht="19.899999999999999" customHeight="1" x14ac:dyDescent="0.25">
      <c r="C445" s="31">
        <f t="shared" ca="1" si="26"/>
        <v>79.938970610486805</v>
      </c>
      <c r="D445" s="31">
        <f t="shared" ca="1" si="26"/>
        <v>93.449965564774459</v>
      </c>
      <c r="E445" s="32">
        <v>25.34601060834391</v>
      </c>
      <c r="F445" s="32">
        <v>113.29443604780739</v>
      </c>
      <c r="G445" s="17"/>
    </row>
    <row r="446" spans="3:7" ht="19.899999999999999" customHeight="1" x14ac:dyDescent="0.25">
      <c r="C446" s="31">
        <f t="shared" ca="1" si="26"/>
        <v>41.579820219854511</v>
      </c>
      <c r="D446" s="31">
        <f t="shared" ca="1" si="26"/>
        <v>117.10385754662977</v>
      </c>
      <c r="E446" s="32">
        <v>41.871444090873943</v>
      </c>
      <c r="F446" s="32">
        <v>110.72759978761131</v>
      </c>
      <c r="G446" s="17"/>
    </row>
    <row r="447" spans="3:7" ht="19.899999999999999" customHeight="1" x14ac:dyDescent="0.25">
      <c r="C447" s="31">
        <f t="shared" ca="1" si="26"/>
        <v>27.407696674009667</v>
      </c>
      <c r="D447" s="31">
        <f t="shared" ca="1" si="26"/>
        <v>97.596872697281896</v>
      </c>
      <c r="E447" s="32">
        <v>50.314643022900249</v>
      </c>
      <c r="F447" s="32">
        <v>117.89689644743717</v>
      </c>
      <c r="G447" s="17"/>
    </row>
    <row r="448" spans="3:7" ht="19.899999999999999" customHeight="1" x14ac:dyDescent="0.25">
      <c r="C448" s="31">
        <f t="shared" ca="1" si="26"/>
        <v>62.745043281270384</v>
      </c>
      <c r="D448" s="31">
        <f t="shared" ca="1" si="26"/>
        <v>110.95971649810477</v>
      </c>
      <c r="E448" s="32">
        <v>50.644593230959572</v>
      </c>
      <c r="F448" s="32">
        <v>122.17274992668649</v>
      </c>
      <c r="G448" s="17"/>
    </row>
    <row r="449" spans="3:7" ht="19.899999999999999" customHeight="1" x14ac:dyDescent="0.25">
      <c r="C449" s="31">
        <f t="shared" ca="1" si="26"/>
        <v>52.967930941525644</v>
      </c>
      <c r="D449" s="31">
        <f t="shared" ca="1" si="26"/>
        <v>98.108777771894296</v>
      </c>
      <c r="E449" s="32">
        <v>78.887759948640678</v>
      </c>
      <c r="F449" s="32">
        <v>120.35950541033063</v>
      </c>
      <c r="G449" s="17"/>
    </row>
    <row r="450" spans="3:7" ht="19.899999999999999" customHeight="1" x14ac:dyDescent="0.25">
      <c r="C450" s="31">
        <f t="shared" ca="1" si="26"/>
        <v>58.270669127678858</v>
      </c>
      <c r="D450" s="31">
        <f t="shared" ca="1" si="26"/>
        <v>109.24781447988394</v>
      </c>
      <c r="E450" s="32">
        <v>50.263602908344048</v>
      </c>
      <c r="F450" s="32">
        <v>121.72464035386888</v>
      </c>
      <c r="G450" s="17"/>
    </row>
    <row r="451" spans="3:7" ht="19.899999999999999" customHeight="1" x14ac:dyDescent="0.25">
      <c r="C451" s="31">
        <f t="shared" ca="1" si="26"/>
        <v>30.505826802210855</v>
      </c>
      <c r="D451" s="31">
        <f t="shared" ca="1" si="26"/>
        <v>125.77124611669731</v>
      </c>
      <c r="E451" s="32">
        <v>52.759296594514836</v>
      </c>
      <c r="F451" s="32">
        <v>125.71108762504159</v>
      </c>
      <c r="G451" s="17"/>
    </row>
    <row r="452" spans="3:7" ht="19.899999999999999" customHeight="1" x14ac:dyDescent="0.25">
      <c r="C452" s="31">
        <f t="shared" ca="1" si="26"/>
        <v>55.524739178365202</v>
      </c>
      <c r="D452" s="31">
        <f t="shared" ca="1" si="26"/>
        <v>114.4066933025637</v>
      </c>
      <c r="E452" s="32">
        <v>33.403756987830867</v>
      </c>
      <c r="F452" s="32">
        <v>106.83067383895109</v>
      </c>
      <c r="G452" s="17"/>
    </row>
    <row r="453" spans="3:7" ht="19.899999999999999" customHeight="1" x14ac:dyDescent="0.25">
      <c r="C453" s="31">
        <f t="shared" ca="1" si="26"/>
        <v>5.6740946131616781</v>
      </c>
      <c r="D453" s="31">
        <f t="shared" ca="1" si="26"/>
        <v>99.113117902505763</v>
      </c>
      <c r="E453" s="32">
        <v>50.599844689838648</v>
      </c>
      <c r="F453" s="32">
        <v>104.50307457733878</v>
      </c>
      <c r="G453" s="17"/>
    </row>
    <row r="454" spans="3:7" ht="19.899999999999999" customHeight="1" x14ac:dyDescent="0.25">
      <c r="C454" s="31">
        <f t="shared" ref="C454:D473" ca="1" si="27">_xlfn.NORM.INV(RAND(),C$4,C$5)</f>
        <v>57.665241558701915</v>
      </c>
      <c r="D454" s="31">
        <f t="shared" ca="1" si="27"/>
        <v>113.08260563367415</v>
      </c>
      <c r="E454" s="32">
        <v>31.08182067909727</v>
      </c>
      <c r="F454" s="32">
        <v>124.65999099723106</v>
      </c>
      <c r="G454" s="17"/>
    </row>
    <row r="455" spans="3:7" ht="19.899999999999999" customHeight="1" x14ac:dyDescent="0.25">
      <c r="C455" s="31">
        <f t="shared" ca="1" si="27"/>
        <v>70.149983541696244</v>
      </c>
      <c r="D455" s="31">
        <f t="shared" ca="1" si="27"/>
        <v>101.8863148075785</v>
      </c>
      <c r="E455" s="32">
        <v>64.464437159262559</v>
      </c>
      <c r="F455" s="32">
        <v>96.237564101363716</v>
      </c>
      <c r="G455" s="17"/>
    </row>
    <row r="456" spans="3:7" ht="19.899999999999999" customHeight="1" x14ac:dyDescent="0.25">
      <c r="C456" s="31">
        <f t="shared" ca="1" si="27"/>
        <v>51.745307497001789</v>
      </c>
      <c r="D456" s="31">
        <f t="shared" ca="1" si="27"/>
        <v>136.46655176127439</v>
      </c>
      <c r="E456" s="32">
        <v>15.066038696472873</v>
      </c>
      <c r="F456" s="32">
        <v>125.94872675696023</v>
      </c>
      <c r="G456" s="17"/>
    </row>
    <row r="457" spans="3:7" ht="19.899999999999999" customHeight="1" x14ac:dyDescent="0.25">
      <c r="C457" s="31">
        <f t="shared" ca="1" si="27"/>
        <v>65.356409420878322</v>
      </c>
      <c r="D457" s="31">
        <f t="shared" ca="1" si="27"/>
        <v>103.55825135373415</v>
      </c>
      <c r="E457" s="32">
        <v>49.272426459040851</v>
      </c>
      <c r="F457" s="32">
        <v>110.14040915691872</v>
      </c>
      <c r="G457" s="17"/>
    </row>
    <row r="458" spans="3:7" ht="19.899999999999999" customHeight="1" x14ac:dyDescent="0.25">
      <c r="C458" s="31">
        <f t="shared" ca="1" si="27"/>
        <v>68.445320435940673</v>
      </c>
      <c r="D458" s="31">
        <f t="shared" ca="1" si="27"/>
        <v>93.238273244489136</v>
      </c>
      <c r="E458" s="32">
        <v>42.896210125483407</v>
      </c>
      <c r="F458" s="32">
        <v>121.72748683026532</v>
      </c>
      <c r="G458" s="17"/>
    </row>
    <row r="459" spans="3:7" ht="19.899999999999999" customHeight="1" x14ac:dyDescent="0.25">
      <c r="C459" s="31">
        <f t="shared" ca="1" si="27"/>
        <v>46.048219059648396</v>
      </c>
      <c r="D459" s="31">
        <f t="shared" ca="1" si="27"/>
        <v>75.004959353776357</v>
      </c>
      <c r="E459" s="32">
        <v>40.661482652242718</v>
      </c>
      <c r="F459" s="32">
        <v>91.661675092084252</v>
      </c>
      <c r="G459" s="17"/>
    </row>
    <row r="460" spans="3:7" ht="19.899999999999999" customHeight="1" x14ac:dyDescent="0.25">
      <c r="C460" s="31">
        <f t="shared" ca="1" si="27"/>
        <v>25.710463054574952</v>
      </c>
      <c r="D460" s="31">
        <f t="shared" ca="1" si="27"/>
        <v>99.723157746186544</v>
      </c>
      <c r="E460" s="32">
        <v>60.992893520492686</v>
      </c>
      <c r="F460" s="32">
        <v>122.5165217387586</v>
      </c>
      <c r="G460" s="17"/>
    </row>
    <row r="461" spans="3:7" ht="19.899999999999999" customHeight="1" x14ac:dyDescent="0.25">
      <c r="C461" s="31">
        <f t="shared" ca="1" si="27"/>
        <v>58.564889497052889</v>
      </c>
      <c r="D461" s="31">
        <f t="shared" ca="1" si="27"/>
        <v>95.023006595003864</v>
      </c>
      <c r="E461" s="32">
        <v>13.294755970897398</v>
      </c>
      <c r="F461" s="32">
        <v>112.7636863268814</v>
      </c>
      <c r="G461" s="17"/>
    </row>
    <row r="462" spans="3:7" ht="19.899999999999999" customHeight="1" x14ac:dyDescent="0.25">
      <c r="C462" s="31">
        <f t="shared" ca="1" si="27"/>
        <v>36.015460450148694</v>
      </c>
      <c r="D462" s="31">
        <f t="shared" ca="1" si="27"/>
        <v>118.16955271238918</v>
      </c>
      <c r="E462" s="32">
        <v>40.51148033064139</v>
      </c>
      <c r="F462" s="32">
        <v>98.384828915578225</v>
      </c>
      <c r="G462" s="17"/>
    </row>
    <row r="463" spans="3:7" ht="19.899999999999999" customHeight="1" x14ac:dyDescent="0.25">
      <c r="C463" s="31">
        <f t="shared" ca="1" si="27"/>
        <v>87.389051098500772</v>
      </c>
      <c r="D463" s="31">
        <f t="shared" ca="1" si="27"/>
        <v>107.70224369613791</v>
      </c>
      <c r="E463" s="32">
        <v>25.435725058535382</v>
      </c>
      <c r="F463" s="32">
        <v>122.73010841868243</v>
      </c>
      <c r="G463" s="17"/>
    </row>
    <row r="464" spans="3:7" ht="19.899999999999999" customHeight="1" x14ac:dyDescent="0.25">
      <c r="C464" s="31">
        <f t="shared" ca="1" si="27"/>
        <v>20.211618854948824</v>
      </c>
      <c r="D464" s="31">
        <f t="shared" ca="1" si="27"/>
        <v>116.88930546875578</v>
      </c>
      <c r="E464" s="32">
        <v>61.34360356483694</v>
      </c>
      <c r="F464" s="32">
        <v>118.77231709549532</v>
      </c>
      <c r="G464" s="17"/>
    </row>
    <row r="465" spans="3:7" ht="19.899999999999999" customHeight="1" x14ac:dyDescent="0.25">
      <c r="C465" s="31">
        <f t="shared" ca="1" si="27"/>
        <v>63.196294630780386</v>
      </c>
      <c r="D465" s="31">
        <f t="shared" ca="1" si="27"/>
        <v>140.28666597119647</v>
      </c>
      <c r="E465" s="32">
        <v>72.662477289075326</v>
      </c>
      <c r="F465" s="32">
        <v>107.83613213501548</v>
      </c>
      <c r="G465" s="17"/>
    </row>
    <row r="466" spans="3:7" ht="19.899999999999999" customHeight="1" x14ac:dyDescent="0.25">
      <c r="C466" s="31">
        <f t="shared" ca="1" si="27"/>
        <v>46.664231994032889</v>
      </c>
      <c r="D466" s="31">
        <f t="shared" ca="1" si="27"/>
        <v>120.47322269188146</v>
      </c>
      <c r="E466" s="32">
        <v>63.32399633745122</v>
      </c>
      <c r="F466" s="32">
        <v>92.07972953551706</v>
      </c>
      <c r="G466" s="17"/>
    </row>
    <row r="467" spans="3:7" ht="19.899999999999999" customHeight="1" x14ac:dyDescent="0.25">
      <c r="C467" s="31">
        <f t="shared" ca="1" si="27"/>
        <v>48.069573432457929</v>
      </c>
      <c r="D467" s="31">
        <f t="shared" ca="1" si="27"/>
        <v>99.537765488871386</v>
      </c>
      <c r="E467" s="32">
        <v>20.784362514015008</v>
      </c>
      <c r="F467" s="32">
        <v>128.25507914595141</v>
      </c>
      <c r="G467" s="17"/>
    </row>
    <row r="468" spans="3:7" ht="19.899999999999999" customHeight="1" x14ac:dyDescent="0.25">
      <c r="C468" s="31">
        <f t="shared" ca="1" si="27"/>
        <v>43.389012396966521</v>
      </c>
      <c r="D468" s="31">
        <f t="shared" ca="1" si="27"/>
        <v>96.212256209697784</v>
      </c>
      <c r="E468" s="32">
        <v>60.200629909675385</v>
      </c>
      <c r="F468" s="32">
        <v>126.03246675947378</v>
      </c>
      <c r="G468" s="17"/>
    </row>
    <row r="469" spans="3:7" ht="19.899999999999999" customHeight="1" x14ac:dyDescent="0.25">
      <c r="C469" s="31">
        <f t="shared" ca="1" si="27"/>
        <v>52.032365247632157</v>
      </c>
      <c r="D469" s="31">
        <f t="shared" ca="1" si="27"/>
        <v>117.8411991751755</v>
      </c>
      <c r="E469" s="32">
        <v>38.497848371216705</v>
      </c>
      <c r="F469" s="32">
        <v>88.068185445087067</v>
      </c>
      <c r="G469" s="17"/>
    </row>
    <row r="470" spans="3:7" ht="19.899999999999999" customHeight="1" x14ac:dyDescent="0.25">
      <c r="C470" s="31">
        <f t="shared" ca="1" si="27"/>
        <v>38.986313524468343</v>
      </c>
      <c r="D470" s="31">
        <f t="shared" ca="1" si="27"/>
        <v>129.82202918755434</v>
      </c>
      <c r="E470" s="32">
        <v>28.007554701269733</v>
      </c>
      <c r="F470" s="32">
        <v>127.10180200974608</v>
      </c>
      <c r="G470" s="17"/>
    </row>
    <row r="471" spans="3:7" ht="19.899999999999999" customHeight="1" x14ac:dyDescent="0.25">
      <c r="C471" s="31">
        <f t="shared" ca="1" si="27"/>
        <v>30.14931044825715</v>
      </c>
      <c r="D471" s="31">
        <f t="shared" ca="1" si="27"/>
        <v>111.70308446649051</v>
      </c>
      <c r="E471" s="32">
        <v>60.5344491579785</v>
      </c>
      <c r="F471" s="32">
        <v>96.089444234876396</v>
      </c>
      <c r="G471" s="17"/>
    </row>
    <row r="472" spans="3:7" ht="19.899999999999999" customHeight="1" x14ac:dyDescent="0.25">
      <c r="C472" s="31">
        <f t="shared" ca="1" si="27"/>
        <v>74.781401130989039</v>
      </c>
      <c r="D472" s="31">
        <f t="shared" ca="1" si="27"/>
        <v>108.75914326699994</v>
      </c>
      <c r="E472" s="32">
        <v>64.018414950903576</v>
      </c>
      <c r="F472" s="32">
        <v>118.65706693553935</v>
      </c>
      <c r="G472" s="17"/>
    </row>
    <row r="473" spans="3:7" ht="19.899999999999999" customHeight="1" x14ac:dyDescent="0.25">
      <c r="C473" s="31">
        <f t="shared" ca="1" si="27"/>
        <v>22.189772497811962</v>
      </c>
      <c r="D473" s="31">
        <f t="shared" ca="1" si="27"/>
        <v>118.97005499333083</v>
      </c>
      <c r="E473" s="32">
        <v>62.782575683666323</v>
      </c>
      <c r="F473" s="32">
        <v>131.65690205476957</v>
      </c>
      <c r="G473" s="17"/>
    </row>
    <row r="474" spans="3:7" ht="19.899999999999999" customHeight="1" x14ac:dyDescent="0.25">
      <c r="C474" s="31">
        <f t="shared" ref="C474:D493" ca="1" si="28">_xlfn.NORM.INV(RAND(),C$4,C$5)</f>
        <v>65.951231528318417</v>
      </c>
      <c r="D474" s="31">
        <f t="shared" ca="1" si="28"/>
        <v>77.929898424299012</v>
      </c>
      <c r="E474" s="32">
        <v>33.989999048941783</v>
      </c>
      <c r="F474" s="32">
        <v>124.1855809798929</v>
      </c>
      <c r="G474" s="17"/>
    </row>
    <row r="475" spans="3:7" ht="19.899999999999999" customHeight="1" x14ac:dyDescent="0.25">
      <c r="C475" s="31">
        <f t="shared" ca="1" si="28"/>
        <v>76.625056627814658</v>
      </c>
      <c r="D475" s="31">
        <f t="shared" ca="1" si="28"/>
        <v>95.341429043202368</v>
      </c>
      <c r="E475" s="32">
        <v>55.619429714853894</v>
      </c>
      <c r="F475" s="32">
        <v>127.32697125301215</v>
      </c>
      <c r="G475" s="17"/>
    </row>
    <row r="476" spans="3:7" ht="19.899999999999999" customHeight="1" x14ac:dyDescent="0.25">
      <c r="C476" s="31">
        <f t="shared" ca="1" si="28"/>
        <v>44.237809966286079</v>
      </c>
      <c r="D476" s="31">
        <f t="shared" ca="1" si="28"/>
        <v>100.2878759624717</v>
      </c>
      <c r="E476" s="32">
        <v>57.110363963471791</v>
      </c>
      <c r="F476" s="32">
        <v>91.493326222592529</v>
      </c>
      <c r="G476" s="17"/>
    </row>
    <row r="477" spans="3:7" ht="19.899999999999999" customHeight="1" x14ac:dyDescent="0.25">
      <c r="C477" s="31">
        <f t="shared" ca="1" si="28"/>
        <v>63.265820218987855</v>
      </c>
      <c r="D477" s="31">
        <f t="shared" ca="1" si="28"/>
        <v>109.995310658392</v>
      </c>
      <c r="E477" s="32">
        <v>48.281626507479366</v>
      </c>
      <c r="F477" s="32">
        <v>90.53324400345241</v>
      </c>
      <c r="G477" s="17"/>
    </row>
    <row r="478" spans="3:7" ht="19.899999999999999" customHeight="1" x14ac:dyDescent="0.25">
      <c r="C478" s="31">
        <f t="shared" ca="1" si="28"/>
        <v>70.586575471356809</v>
      </c>
      <c r="D478" s="31">
        <f t="shared" ca="1" si="28"/>
        <v>112.52005873688999</v>
      </c>
      <c r="E478" s="32">
        <v>76.223161778112441</v>
      </c>
      <c r="F478" s="32">
        <v>98.98244426528403</v>
      </c>
      <c r="G478" s="17"/>
    </row>
    <row r="479" spans="3:7" ht="19.899999999999999" customHeight="1" x14ac:dyDescent="0.25">
      <c r="C479" s="31">
        <f t="shared" ca="1" si="28"/>
        <v>72.659233626839097</v>
      </c>
      <c r="D479" s="31">
        <f t="shared" ca="1" si="28"/>
        <v>125.34304007345928</v>
      </c>
      <c r="E479" s="32">
        <v>26.888135339529459</v>
      </c>
      <c r="F479" s="32">
        <v>116.26009425254587</v>
      </c>
      <c r="G479" s="17"/>
    </row>
    <row r="480" spans="3:7" ht="19.899999999999999" customHeight="1" x14ac:dyDescent="0.25">
      <c r="C480" s="31">
        <f t="shared" ca="1" si="28"/>
        <v>47.159742470756726</v>
      </c>
      <c r="D480" s="31">
        <f t="shared" ca="1" si="28"/>
        <v>114.61178033173317</v>
      </c>
      <c r="E480" s="32">
        <v>60.868367008390493</v>
      </c>
      <c r="F480" s="32">
        <v>108.7537130129171</v>
      </c>
      <c r="G480" s="17"/>
    </row>
    <row r="481" spans="3:7" ht="19.899999999999999" customHeight="1" x14ac:dyDescent="0.25">
      <c r="C481" s="31">
        <f t="shared" ca="1" si="28"/>
        <v>26.733390773725461</v>
      </c>
      <c r="D481" s="31">
        <f t="shared" ca="1" si="28"/>
        <v>102.59704278401651</v>
      </c>
      <c r="E481" s="32">
        <v>27.966899846587488</v>
      </c>
      <c r="F481" s="32">
        <v>102.58805777107028</v>
      </c>
      <c r="G481" s="17"/>
    </row>
    <row r="482" spans="3:7" ht="19.899999999999999" customHeight="1" x14ac:dyDescent="0.25">
      <c r="C482" s="31">
        <f t="shared" ca="1" si="28"/>
        <v>76.692143011830254</v>
      </c>
      <c r="D482" s="31">
        <f t="shared" ca="1" si="28"/>
        <v>103.44452403678565</v>
      </c>
      <c r="E482" s="32">
        <v>55.566518317999481</v>
      </c>
      <c r="F482" s="32">
        <v>101.0328632764644</v>
      </c>
      <c r="G482" s="17"/>
    </row>
    <row r="483" spans="3:7" ht="19.899999999999999" customHeight="1" x14ac:dyDescent="0.25">
      <c r="C483" s="31">
        <f t="shared" ca="1" si="28"/>
        <v>44.633360995747992</v>
      </c>
      <c r="D483" s="31">
        <f t="shared" ca="1" si="28"/>
        <v>108.28218436033603</v>
      </c>
      <c r="E483" s="32">
        <v>72.46892180147313</v>
      </c>
      <c r="F483" s="32">
        <v>107.19554989885133</v>
      </c>
      <c r="G483" s="17"/>
    </row>
    <row r="484" spans="3:7" ht="19.899999999999999" customHeight="1" x14ac:dyDescent="0.25">
      <c r="C484" s="31">
        <f t="shared" ca="1" si="28"/>
        <v>50.227688088634203</v>
      </c>
      <c r="D484" s="31">
        <f t="shared" ca="1" si="28"/>
        <v>95.847681766276907</v>
      </c>
      <c r="E484" s="32">
        <v>25.981300709980392</v>
      </c>
      <c r="F484" s="32">
        <v>111.23407657774197</v>
      </c>
      <c r="G484" s="17"/>
    </row>
    <row r="485" spans="3:7" ht="19.899999999999999" customHeight="1" x14ac:dyDescent="0.25">
      <c r="C485" s="31">
        <f t="shared" ca="1" si="28"/>
        <v>55.32974387405897</v>
      </c>
      <c r="D485" s="31">
        <f t="shared" ca="1" si="28"/>
        <v>113.4338165481857</v>
      </c>
      <c r="E485" s="32">
        <v>53.241136596017832</v>
      </c>
      <c r="F485" s="32">
        <v>132.44212111252568</v>
      </c>
      <c r="G485" s="17"/>
    </row>
    <row r="486" spans="3:7" ht="19.899999999999999" customHeight="1" x14ac:dyDescent="0.25">
      <c r="C486" s="31">
        <f t="shared" ca="1" si="28"/>
        <v>64.258114516545973</v>
      </c>
      <c r="D486" s="31">
        <f t="shared" ca="1" si="28"/>
        <v>125.55174341888014</v>
      </c>
      <c r="E486" s="32">
        <v>18.5650519496103</v>
      </c>
      <c r="F486" s="32">
        <v>99.306545063212809</v>
      </c>
      <c r="G486" s="17"/>
    </row>
    <row r="487" spans="3:7" ht="19.899999999999999" customHeight="1" x14ac:dyDescent="0.25">
      <c r="C487" s="31">
        <f t="shared" ca="1" si="28"/>
        <v>15.53978195317989</v>
      </c>
      <c r="D487" s="31">
        <f t="shared" ca="1" si="28"/>
        <v>126.48335469737992</v>
      </c>
      <c r="E487" s="32">
        <v>31.659773597817519</v>
      </c>
      <c r="F487" s="32">
        <v>122.3083822661697</v>
      </c>
      <c r="G487" s="17"/>
    </row>
    <row r="488" spans="3:7" ht="19.899999999999999" customHeight="1" x14ac:dyDescent="0.25">
      <c r="C488" s="31">
        <f t="shared" ca="1" si="28"/>
        <v>21.647227215926989</v>
      </c>
      <c r="D488" s="31">
        <f t="shared" ca="1" si="28"/>
        <v>111.130397047656</v>
      </c>
      <c r="E488" s="32">
        <v>48.999919363148308</v>
      </c>
      <c r="F488" s="32">
        <v>122.43295020357428</v>
      </c>
      <c r="G488" s="17"/>
    </row>
    <row r="489" spans="3:7" ht="19.899999999999999" customHeight="1" x14ac:dyDescent="0.25">
      <c r="C489" s="31">
        <f t="shared" ca="1" si="28"/>
        <v>62.912444920031035</v>
      </c>
      <c r="D489" s="31">
        <f t="shared" ca="1" si="28"/>
        <v>105.24506963030748</v>
      </c>
      <c r="E489" s="32">
        <v>6.5449797487681138</v>
      </c>
      <c r="F489" s="32">
        <v>116.63430954341192</v>
      </c>
      <c r="G489" s="17"/>
    </row>
    <row r="490" spans="3:7" ht="19.899999999999999" customHeight="1" x14ac:dyDescent="0.25">
      <c r="C490" s="31">
        <f t="shared" ca="1" si="28"/>
        <v>44.440160834819061</v>
      </c>
      <c r="D490" s="31">
        <f t="shared" ca="1" si="28"/>
        <v>119.13391547628963</v>
      </c>
      <c r="E490" s="32">
        <v>69.64050389166016</v>
      </c>
      <c r="F490" s="32">
        <v>115.13758673760793</v>
      </c>
      <c r="G490" s="17"/>
    </row>
    <row r="491" spans="3:7" ht="19.899999999999999" customHeight="1" x14ac:dyDescent="0.25">
      <c r="C491" s="31">
        <f t="shared" ca="1" si="28"/>
        <v>75.886435887006328</v>
      </c>
      <c r="D491" s="31">
        <f t="shared" ca="1" si="28"/>
        <v>107.18716475179468</v>
      </c>
      <c r="E491" s="32">
        <v>36.726524149933766</v>
      </c>
      <c r="F491" s="32">
        <v>104.88193466833107</v>
      </c>
      <c r="G491" s="17"/>
    </row>
    <row r="492" spans="3:7" ht="19.899999999999999" customHeight="1" x14ac:dyDescent="0.25">
      <c r="C492" s="31">
        <f t="shared" ca="1" si="28"/>
        <v>31.483987893958076</v>
      </c>
      <c r="D492" s="31">
        <f t="shared" ca="1" si="28"/>
        <v>86.129352440411651</v>
      </c>
      <c r="E492" s="32">
        <v>71.114800099188287</v>
      </c>
      <c r="F492" s="32">
        <v>124.76174148796876</v>
      </c>
      <c r="G492" s="17"/>
    </row>
    <row r="493" spans="3:7" ht="19.899999999999999" customHeight="1" x14ac:dyDescent="0.25">
      <c r="C493" s="31">
        <f t="shared" ca="1" si="28"/>
        <v>39.955395425823589</v>
      </c>
      <c r="D493" s="31">
        <f t="shared" ca="1" si="28"/>
        <v>125.79464972838444</v>
      </c>
      <c r="E493" s="32">
        <v>54.431315426378418</v>
      </c>
      <c r="F493" s="32">
        <v>117.49458213181853</v>
      </c>
      <c r="G493" s="17"/>
    </row>
    <row r="494" spans="3:7" ht="19.899999999999999" customHeight="1" x14ac:dyDescent="0.25">
      <c r="C494" s="31">
        <f t="shared" ref="C494:D504" ca="1" si="29">_xlfn.NORM.INV(RAND(),C$4,C$5)</f>
        <v>50.476348696974881</v>
      </c>
      <c r="D494" s="31">
        <f t="shared" ca="1" si="29"/>
        <v>117.59258222388669</v>
      </c>
      <c r="E494" s="32">
        <v>52.27671451452315</v>
      </c>
      <c r="F494" s="32">
        <v>114.16437376010512</v>
      </c>
      <c r="G494" s="17"/>
    </row>
    <row r="495" spans="3:7" ht="19.899999999999999" customHeight="1" x14ac:dyDescent="0.25">
      <c r="C495" s="31">
        <f t="shared" ca="1" si="29"/>
        <v>45.617538425988137</v>
      </c>
      <c r="D495" s="31">
        <f t="shared" ca="1" si="29"/>
        <v>113.14712133790454</v>
      </c>
      <c r="E495" s="32">
        <v>57.874513005157525</v>
      </c>
      <c r="F495" s="32">
        <v>116.71444275099631</v>
      </c>
      <c r="G495" s="17"/>
    </row>
    <row r="496" spans="3:7" ht="19.899999999999999" customHeight="1" x14ac:dyDescent="0.25">
      <c r="C496" s="31">
        <f t="shared" ca="1" si="29"/>
        <v>78.271728913057046</v>
      </c>
      <c r="D496" s="31">
        <f t="shared" ca="1" si="29"/>
        <v>102.73047804541861</v>
      </c>
      <c r="E496" s="32">
        <v>46.722653929561183</v>
      </c>
      <c r="F496" s="32">
        <v>95.793210066046683</v>
      </c>
      <c r="G496" s="17"/>
    </row>
    <row r="497" spans="3:7" ht="19.899999999999999" customHeight="1" x14ac:dyDescent="0.25">
      <c r="C497" s="31">
        <f t="shared" ca="1" si="29"/>
        <v>47.819297770173478</v>
      </c>
      <c r="D497" s="31">
        <f t="shared" ca="1" si="29"/>
        <v>115.84180586682393</v>
      </c>
      <c r="E497" s="32">
        <v>81.184133608497874</v>
      </c>
      <c r="F497" s="32">
        <v>117.42969135498944</v>
      </c>
      <c r="G497" s="17"/>
    </row>
    <row r="498" spans="3:7" ht="19.899999999999999" customHeight="1" x14ac:dyDescent="0.25">
      <c r="C498" s="31">
        <f t="shared" ca="1" si="29"/>
        <v>62.518232918107813</v>
      </c>
      <c r="D498" s="31">
        <f t="shared" ca="1" si="29"/>
        <v>108.75193806852407</v>
      </c>
      <c r="E498" s="32">
        <v>60.830795405982798</v>
      </c>
      <c r="F498" s="32">
        <v>103.80967381894862</v>
      </c>
      <c r="G498" s="17"/>
    </row>
    <row r="499" spans="3:7" ht="19.899999999999999" customHeight="1" x14ac:dyDescent="0.25">
      <c r="C499" s="31">
        <f t="shared" ca="1" si="29"/>
        <v>9.6618342993959132</v>
      </c>
      <c r="D499" s="31">
        <f t="shared" ca="1" si="29"/>
        <v>113.32407723818572</v>
      </c>
      <c r="E499" s="32">
        <v>90.123278845686869</v>
      </c>
      <c r="F499" s="32">
        <v>104.93257690154101</v>
      </c>
      <c r="G499" s="17"/>
    </row>
    <row r="500" spans="3:7" ht="19.899999999999999" customHeight="1" x14ac:dyDescent="0.25">
      <c r="C500" s="31">
        <f t="shared" ca="1" si="29"/>
        <v>61.629564860523629</v>
      </c>
      <c r="D500" s="31">
        <f t="shared" ca="1" si="29"/>
        <v>108.97073549303165</v>
      </c>
      <c r="E500" s="32">
        <v>36.454044255559694</v>
      </c>
      <c r="F500" s="32">
        <v>94.755055251709379</v>
      </c>
      <c r="G500" s="17"/>
    </row>
    <row r="501" spans="3:7" ht="19.899999999999999" customHeight="1" x14ac:dyDescent="0.25">
      <c r="C501" s="31">
        <f t="shared" ca="1" si="29"/>
        <v>59.077415847138766</v>
      </c>
      <c r="D501" s="31">
        <f t="shared" ca="1" si="29"/>
        <v>111.07503366153574</v>
      </c>
      <c r="E501" s="32">
        <v>58.895188204601695</v>
      </c>
      <c r="F501" s="32">
        <v>108.34893119608115</v>
      </c>
      <c r="G501" s="17"/>
    </row>
    <row r="502" spans="3:7" ht="19.899999999999999" customHeight="1" x14ac:dyDescent="0.25">
      <c r="C502" s="31">
        <f t="shared" ca="1" si="29"/>
        <v>33.080532301205125</v>
      </c>
      <c r="D502" s="31">
        <f t="shared" ca="1" si="29"/>
        <v>104.84425858025114</v>
      </c>
      <c r="E502" s="32">
        <v>72.569485036192248</v>
      </c>
      <c r="F502" s="32">
        <v>109.42675122099105</v>
      </c>
      <c r="G502" s="17"/>
    </row>
    <row r="503" spans="3:7" ht="19.899999999999999" customHeight="1" x14ac:dyDescent="0.25">
      <c r="C503" s="31">
        <f t="shared" ca="1" si="29"/>
        <v>52.404175648793156</v>
      </c>
      <c r="D503" s="31">
        <f t="shared" ca="1" si="29"/>
        <v>110.77686858122998</v>
      </c>
      <c r="E503" s="32">
        <v>49.120308635327156</v>
      </c>
      <c r="F503" s="32">
        <v>103.36671185770096</v>
      </c>
      <c r="G503" s="17"/>
    </row>
    <row r="504" spans="3:7" ht="19.899999999999999" customHeight="1" x14ac:dyDescent="0.25">
      <c r="C504" s="31">
        <f t="shared" ca="1" si="29"/>
        <v>64.578164248237925</v>
      </c>
      <c r="D504" s="31">
        <f t="shared" ca="1" si="29"/>
        <v>111.15824598143379</v>
      </c>
      <c r="E504" s="32">
        <v>48.968469788425146</v>
      </c>
      <c r="F504" s="32">
        <v>126.39865344390205</v>
      </c>
      <c r="G504" s="17"/>
    </row>
  </sheetData>
  <mergeCells count="3">
    <mergeCell ref="H7:H8"/>
    <mergeCell ref="C12:D13"/>
    <mergeCell ref="E12:F13"/>
  </mergeCells>
  <conditionalFormatting sqref="J7:AO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AO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Activity 1</vt:lpstr>
      <vt:lpstr>Activity 2</vt:lpstr>
      <vt:lpstr>Activity 3</vt:lpstr>
      <vt:lpstr>Automated</vt:lpstr>
      <vt:lpstr>Single Gaussian</vt:lpstr>
      <vt:lpstr>Problem</vt:lpstr>
      <vt:lpstr>G1_Weight</vt:lpstr>
      <vt:lpstr>G2_Weight</vt:lpstr>
      <vt:lpstr>'Activity 1'!step</vt:lpstr>
      <vt:lpstr>'Activity 2'!step</vt:lpstr>
      <vt:lpstr>step</vt:lpstr>
      <vt:lpstr>Automated!sum_ai</vt:lpstr>
      <vt:lpstr>Automated!sum_ai_xi</vt:lpstr>
      <vt:lpstr>Automated!sum_Bi</vt:lpstr>
      <vt:lpstr>Automated!sum_bi_xi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Rob Collins</cp:lastModifiedBy>
  <dcterms:created xsi:type="dcterms:W3CDTF">2019-11-27T11:33:25Z</dcterms:created>
  <dcterms:modified xsi:type="dcterms:W3CDTF">2022-01-24T18:14:00Z</dcterms:modified>
</cp:coreProperties>
</file>